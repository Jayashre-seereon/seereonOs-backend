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rocess catalogue" sheetId="2" state="visible" r:id="rId2"/>
    <sheet xmlns:r="http://schemas.openxmlformats.org/officeDocument/2006/relationships" name="Role view" sheetId="3" state="visible" r:id="rId3"/>
    <sheet xmlns:r="http://schemas.openxmlformats.org/officeDocument/2006/relationships" name="Roles &amp; permissions" sheetId="4" state="visible" r:id="rId4"/>
    <sheet xmlns:r="http://schemas.openxmlformats.org/officeDocument/2006/relationships" name="Maker-checker" sheetId="5" state="visible" r:id="rId5"/>
    <sheet xmlns:r="http://schemas.openxmlformats.org/officeDocument/2006/relationships" name="Approval workflows" sheetId="6" state="visible" r:id="rId6"/>
    <sheet xmlns:r="http://schemas.openxmlformats.org/officeDocument/2006/relationships" name="Setup &amp; onboarding flow" sheetId="7" state="visible" r:id="rId7"/>
    <sheet xmlns:r="http://schemas.openxmlformats.org/officeDocument/2006/relationships" name="Approvals &amp; SLAs" sheetId="8" state="visible" r:id="rId8"/>
    <sheet xmlns:r="http://schemas.openxmlformats.org/officeDocument/2006/relationships" name="KPI dictionary" sheetId="9" state="visible" r:id="rId9"/>
    <sheet xmlns:r="http://schemas.openxmlformats.org/officeDocument/2006/relationships" name="Requested flows check" sheetId="10" state="visible" r:id="rId10"/>
  </sheets>
  <definedNames>
    <definedName name="_xlnm._FilterDatabase" localSheetId="1" hidden="1">'Process catalogue'!$A$1:$AB$186</definedName>
    <definedName name="_xlnm.Print_Titles" localSheetId="1">'Process catalogue'!$1:$1</definedName>
    <definedName name="_xlnm._FilterDatabase" localSheetId="2" hidden="1">'Role view'!$A$1:$H$957</definedName>
    <definedName name="_xlnm.Print_Titles" localSheetId="2">'Role view'!$1:$1</definedName>
    <definedName name="_xlnm._FilterDatabase" localSheetId="3" hidden="1">'Roles &amp; permissions'!$A$1:$P$82</definedName>
    <definedName name="_xlnm.Print_Titles" localSheetId="3">'Roles &amp; permissions'!$1:$1</definedName>
    <definedName name="_xlnm._FilterDatabase" localSheetId="4" hidden="1">'Maker-checker'!$A$1:$M$14</definedName>
    <definedName name="_xlnm.Print_Titles" localSheetId="4">'Maker-checker'!$1:$1</definedName>
    <definedName name="_xlnm._FilterDatabase" localSheetId="5" hidden="1">'Approval workflows'!$A$1:$M$8</definedName>
    <definedName name="_xlnm.Print_Titles" localSheetId="5">'Approval workflows'!$1:$1</definedName>
    <definedName name="_xlnm._FilterDatabase" localSheetId="6" hidden="1">'Setup &amp; onboarding flow'!$A$1:$G$15</definedName>
    <definedName name="_xlnm.Print_Titles" localSheetId="6">'Setup &amp; onboarding flow'!$1:$1</definedName>
    <definedName name="_xlnm._FilterDatabase" localSheetId="7" hidden="1">'Approvals &amp; SLAs'!$A$1:$N$22</definedName>
    <definedName name="_xlnm.Print_Titles" localSheetId="7">'Approvals &amp; SLAs'!$1:$1</definedName>
    <definedName name="_xlnm._FilterDatabase" localSheetId="8" hidden="1">'KPI dictionary'!$A$1:$I$50</definedName>
    <definedName name="_xlnm.Print_Titles" localSheetId="8">'KPI dictionary'!$1:$1</definedName>
    <definedName name="_xlnm._FilterDatabase" localSheetId="9" hidden="1">'Requested flows check'!$A$1:$J$14</definedName>
    <definedName name="_xlnm.Print_Titles" localSheetId="9">'Requested flows check'!$1:$1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0"/>
    </font>
    <font>
      <name val="Arial"/>
      <sz val="10"/>
    </font>
    <font>
      <name val="Arial"/>
      <b val="1"/>
      <sz val="10"/>
    </font>
    <font>
      <name val="Arial"/>
      <b val="1"/>
      <color rgb="000C6B4E"/>
      <sz val="10"/>
    </font>
    <font>
      <name val="Arial"/>
      <color rgb="00595959"/>
      <sz val="9"/>
    </font>
    <font>
      <name val="Arial"/>
      <b val="1"/>
      <color rgb="000C6B4E"/>
      <sz val="12"/>
    </font>
    <font>
      <name val="Arial"/>
      <b val="1"/>
      <color rgb="000C6B4E"/>
      <sz val="18"/>
    </font>
    <font>
      <name val="Arial"/>
      <color rgb="00595959"/>
      <sz val="10"/>
    </font>
  </fonts>
  <fills count="9">
    <fill>
      <patternFill/>
    </fill>
    <fill>
      <patternFill patternType="gray125"/>
    </fill>
    <fill>
      <patternFill patternType="solid">
        <fgColor rgb="000C6B4E"/>
      </patternFill>
    </fill>
    <fill>
      <patternFill patternType="solid">
        <fgColor rgb="00E2EFDA"/>
      </patternFill>
    </fill>
    <fill>
      <patternFill patternType="solid">
        <fgColor rgb="00F2F2F2"/>
      </patternFill>
    </fill>
    <fill>
      <patternFill patternType="solid">
        <fgColor rgb="00DDEBF7"/>
      </patternFill>
    </fill>
    <fill>
      <patternFill patternType="solid">
        <fgColor rgb="00FFF2CC"/>
      </patternFill>
    </fill>
    <fill>
      <patternFill patternType="solid">
        <fgColor rgb="00FCE4D6"/>
      </patternFill>
    </fill>
    <fill>
      <patternFill patternType="solid">
        <fgColor rgb="00E7E6E6"/>
      </patternFill>
    </fill>
  </fills>
  <borders count="4">
    <border>
      <left/>
      <right/>
      <top/>
      <bottom/>
      <diagonal/>
    </border>
    <border>
      <left style="thin">
        <color rgb="00D9D9D9"/>
      </left>
      <right style="thin">
        <color rgb="00D9D9D9"/>
      </right>
      <top style="thin">
        <color rgb="00D9D9D9"/>
      </top>
      <bottom style="thin">
        <color rgb="00D9D9D9"/>
      </bottom>
    </border>
    <border>
      <bottom style="thin">
        <color rgb="00DAB34F"/>
      </bottom>
    </border>
    <border>
      <bottom style="medium">
        <color rgb="00DAB34F"/>
      </bottom>
    </border>
  </borders>
  <cellStyleXfs count="1">
    <xf numFmtId="0" fontId="0" fillId="0" borderId="0"/>
  </cellStyleXfs>
  <cellXfs count="37">
    <xf numFmtId="0" fontId="0" fillId="0" borderId="0" pivotButton="0" quotePrefix="0" xfId="0"/>
    <xf numFmtId="0" fontId="7" fillId="0" borderId="3" pivotButton="0" quotePrefix="0" xfId="0"/>
    <xf numFmtId="0" fontId="0" fillId="0" borderId="3" pivotButton="0" quotePrefix="0" xfId="0"/>
    <xf numFmtId="0" fontId="8" fillId="0" borderId="0" pivotButton="0" quotePrefix="0" xfId="0"/>
    <xf numFmtId="0" fontId="6" fillId="0" borderId="2" pivotButton="0" quotePrefix="0" xfId="0"/>
    <xf numFmtId="0" fontId="2" fillId="0" borderId="0" applyAlignment="1" pivotButton="0" quotePrefix="0" xfId="0">
      <alignment vertical="top" wrapText="1"/>
    </xf>
    <xf numFmtId="0" fontId="3" fillId="0" borderId="0" applyAlignment="1" pivotButton="0" quotePrefix="0" xfId="0">
      <alignment horizontal="left"/>
    </xf>
    <xf numFmtId="0" fontId="2" fillId="0" borderId="0" pivotButton="0" quotePrefix="0" xfId="0"/>
    <xf numFmtId="0" fontId="3" fillId="3" borderId="1" pivotButton="0" quotePrefix="0" xfId="0"/>
    <xf numFmtId="0" fontId="3" fillId="5" borderId="1" pivotButton="0" quotePrefix="0" xfId="0"/>
    <xf numFmtId="0" fontId="3" fillId="6" borderId="1" pivotButton="0" quotePrefix="0" xfId="0"/>
    <xf numFmtId="0" fontId="3" fillId="7" borderId="1" pivotButton="0" quotePrefix="0" xfId="0"/>
    <xf numFmtId="0" fontId="3" fillId="8" borderId="1" pivotButton="0" quotePrefix="0" xfId="0"/>
    <xf numFmtId="0" fontId="1" fillId="2" borderId="1" applyAlignment="1" pivotButton="0" quotePrefix="0" xfId="0">
      <alignment horizontal="left" wrapText="1"/>
    </xf>
    <xf numFmtId="0" fontId="1" fillId="2" borderId="1" applyAlignment="1" pivotButton="0" quotePrefix="0" xfId="0">
      <alignment horizontal="center" wrapText="1"/>
    </xf>
    <xf numFmtId="0" fontId="2" fillId="0" borderId="1" pivotButton="0" quotePrefix="0" xfId="0"/>
    <xf numFmtId="0" fontId="2" fillId="0" borderId="1" applyAlignment="1" pivotButton="0" quotePrefix="0" xfId="0">
      <alignment horizontal="center"/>
    </xf>
    <xf numFmtId="0" fontId="3" fillId="0" borderId="1" applyAlignment="1" pivotButton="0" quotePrefix="0" xfId="0">
      <alignment horizontal="center"/>
    </xf>
    <xf numFmtId="0" fontId="3" fillId="4" borderId="1" pivotButton="0" quotePrefix="0" xfId="0"/>
    <xf numFmtId="0" fontId="3" fillId="4" borderId="1" applyAlignment="1" pivotButton="0" quotePrefix="0" xfId="0">
      <alignment horizontal="center"/>
    </xf>
    <xf numFmtId="0" fontId="5" fillId="0" borderId="0" pivotButton="0" quotePrefix="0" xfId="0"/>
    <xf numFmtId="0" fontId="5" fillId="0" borderId="0" applyAlignment="1" pivotButton="0" quotePrefix="0" xfId="0">
      <alignment horizontal="center"/>
    </xf>
    <xf numFmtId="0" fontId="1" fillId="2" borderId="1" applyAlignment="1" pivotButton="0" quotePrefix="0" xfId="0">
      <alignment horizontal="left"/>
    </xf>
    <xf numFmtId="0" fontId="1" fillId="2" borderId="1" applyAlignment="1" pivotButton="0" quotePrefix="0" xfId="0">
      <alignment horizontal="center"/>
    </xf>
    <xf numFmtId="0" fontId="2" fillId="0" borderId="0" applyAlignment="1" pivotButton="0" quotePrefix="0" xfId="0">
      <alignment horizontal="center"/>
    </xf>
    <xf numFmtId="0" fontId="1" fillId="2" borderId="1" applyAlignment="1" pivotButton="0" quotePrefix="0" xfId="0">
      <alignment horizontal="left" vertical="center" wrapText="1"/>
    </xf>
    <xf numFmtId="0" fontId="1" fillId="2" borderId="1" applyAlignment="1" pivotButton="0" quotePrefix="0" xfId="0">
      <alignment horizontal="center" vertical="bottom" textRotation="90" wrapText="1"/>
    </xf>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0" borderId="1" applyAlignment="1" pivotButton="0" quotePrefix="0" xfId="0">
      <alignment horizontal="center" vertical="top" wrapText="1"/>
    </xf>
    <xf numFmtId="0" fontId="3" fillId="0" borderId="1" applyAlignment="1" pivotButton="0" quotePrefix="0" xfId="0">
      <alignment horizontal="center" vertical="top" wrapText="1"/>
    </xf>
    <xf numFmtId="0" fontId="4" fillId="3" borderId="1" pivotButton="0" quotePrefix="0" xfId="0"/>
    <xf numFmtId="0" fontId="0" fillId="3" borderId="1" pivotButton="0" quotePrefix="0" xfId="0"/>
    <xf numFmtId="0" fontId="0" fillId="4" borderId="1" pivotButton="0" quotePrefix="0" xfId="0"/>
    <xf numFmtId="0" fontId="5" fillId="4" borderId="1" pivotButton="0" quotePrefix="0" xfId="0"/>
    <xf numFmtId="0" fontId="0" fillId="0" borderId="2" pivotButton="0" quotePrefix="0" xfId="0"/>
    <xf numFmtId="0" fontId="1" fillId="2" borderId="1" applyAlignment="1" pivotButton="0" quotePrefix="0" xfId="0">
      <alignment vertical="center" wrapText="1"/>
    </xf>
  </cellXfs>
  <cellStyles count="1">
    <cellStyle name="Normal" xfId="0" builtinId="0" hidden="0"/>
  </cellStyles>
  <dxfs count="5">
    <dxf>
      <fill>
        <patternFill patternType="solid">
          <fgColor rgb="00E2EFDA"/>
          <bgColor rgb="00E2EFDA"/>
        </patternFill>
      </fill>
    </dxf>
    <dxf>
      <fill>
        <patternFill patternType="solid">
          <fgColor rgb="00DDEBF7"/>
          <bgColor rgb="00DDEBF7"/>
        </patternFill>
      </fill>
    </dxf>
    <dxf>
      <fill>
        <patternFill patternType="solid">
          <fgColor rgb="00FFF2CC"/>
          <bgColor rgb="00FFF2CC"/>
        </patternFill>
      </fill>
    </dxf>
    <dxf>
      <fill>
        <patternFill patternType="solid">
          <fgColor rgb="00FCE4D6"/>
          <bgColor rgb="00FCE4D6"/>
        </patternFill>
      </fill>
    </dxf>
    <dxf>
      <fill>
        <patternFill patternType="solid">
          <fgColor rgb="00E7E6E6"/>
          <bgColor rgb="00E7E6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DAB34F"/>
    <outlinePr summaryBelow="1" summaryRight="1"/>
    <pageSetUpPr fitToPage="1"/>
  </sheetPr>
  <dimension ref="A1:H104"/>
  <sheetViews>
    <sheetView showGridLines="0" workbookViewId="0">
      <selection activeCell="A1" sqref="A1"/>
    </sheetView>
  </sheetViews>
  <sheetFormatPr baseColWidth="8" defaultRowHeight="15"/>
  <cols>
    <col width="34" customWidth="1" min="1" max="1"/>
    <col width="13" customWidth="1" min="2" max="2"/>
    <col width="13" customWidth="1" min="3" max="3"/>
    <col width="13" customWidth="1" min="4" max="4"/>
    <col width="13" customWidth="1" min="5" max="5"/>
    <col width="13" customWidth="1" min="6" max="6"/>
    <col width="13" customWidth="1" min="7" max="7"/>
    <col width="40" customWidth="1" min="8" max="8"/>
  </cols>
  <sheetData>
    <row r="1" ht="30" customHeight="1">
      <c r="A1" s="1" t="inlineStr">
        <is>
          <t>SeereonOS - Business Process Catalogue (v4)</t>
        </is>
      </c>
      <c r="B1" s="2" t="n"/>
      <c r="C1" s="2" t="n"/>
      <c r="D1" s="2" t="n"/>
      <c r="E1" s="2" t="n"/>
      <c r="F1" s="2" t="n"/>
      <c r="G1" s="2" t="n"/>
    </row>
    <row r="2">
      <c r="A2" s="3" t="inlineStr">
        <is>
          <t>Seereon Consulting &amp; IT Services Pvt. Ltd., Bhubaneswar  |  Prepared for Santosh Nayak, Founder &amp; CEO  |  Version v4  |  Version date: 1 Oct 2026</t>
        </is>
      </c>
    </row>
    <row r="4">
      <c r="A4" s="4" t="inlineStr">
        <is>
          <t>Purpose</t>
        </is>
      </c>
    </row>
    <row r="5" ht="42" customHeight="1">
      <c r="A5" s="5" t="inlineStr">
        <is>
          <t>This workbook is the master reference for how a company runs on SeereonOS: every business process, who does it, who approves it, which rules the system enforces, what data it captures, which KPIs it produces and which dashboards it feeds. The aim is a company that can run, grow and build itself on process and data: every task, appraisal, person's performance, revenue earned, revenue lost and additional expense tracked in one system.</t>
        </is>
      </c>
    </row>
    <row r="6" ht="28" customHeight="1">
      <c r="A6" s="5" t="inlineStr">
        <is>
          <t>Status reflects the product as built on 1 Oct 2026 (release v4). Rows marked Planned are processes a complete company OS for an Indian IT services / SAP consulting firm (10-200 people) still needs, each with a one-line recommendation.</t>
        </is>
      </c>
    </row>
    <row r="8">
      <c r="A8" s="4" t="inlineStr">
        <is>
          <t>What is new in v4</t>
        </is>
      </c>
    </row>
    <row r="9" ht="42" customHeight="1">
      <c r="A9" s="5" t="inlineStr">
        <is>
          <t>- Maker-checker: sensitive changes (roles, user access, salaries / cost rates, payroll finalisation, vendor bank and tax details, approval workflows, organisation profile and more) are proposed by one person and applied only when a second person approves. See the Maker-checker sheet and processes MC-01..04.</t>
        </is>
      </c>
    </row>
    <row r="10" ht="42" customHeight="1">
      <c r="A10" s="5" t="inlineStr">
        <is>
          <t>- Granular role-permission matrix: 72 permissions in 9 modules; roles are data per workspace. Default roles: Administrator, CEO, CTO, Project Manager, HR Manager, HR Executive, Sales Manager, Sales Executive, Employee. Per-person extra and revoked permissions on top of the role. See Roles &amp; permissions and ACC-01..03.</t>
        </is>
      </c>
    </row>
    <row r="11" ht="28" customHeight="1">
      <c r="A11" s="5" t="inlineStr">
        <is>
          <t>- One login: screens, actions and data scope follow effective permissions; the role's persona only picks the home dashboard (ACC-09). View as works for any role (ACC-08).</t>
        </is>
      </c>
    </row>
    <row r="12" ht="28" customHeight="1">
      <c r="A12" s="5" t="inlineStr">
        <is>
          <t>- Admin-configurable master data: organisation profile, locations, departments, designations, grades &amp; CTC bands, cost centres, shifts &amp; assignment, email templates &amp; sent log (ADM-01..06).</t>
        </is>
      </c>
    </row>
    <row r="13" ht="28" customHeight="1">
      <c r="A13" s="5" t="inlineStr">
        <is>
          <t>- Configurable approval workflows for leave, expenses, purchase orders, vendor bills, timesheets and task reviews: steps, amount thresholds, SLA and escalation, with a test panel; defaults reproduce v3 (WF-01..03, Approval workflows sheet).</t>
        </is>
      </c>
    </row>
    <row r="14" ht="42" customHeight="1">
      <c r="A14" s="5" t="inlineStr">
        <is>
          <t>- Onboarding flow: Administrator signs in &gt; fills org master data &gt; reviews roles &amp; permissions &gt; creates employees with role and reporting manager &gt; welcome email with temporary credentials (outbox) &gt; employee signs in, must set a password, sees their own portal (SET-01, ACC-04, ACC-05; Setup &amp; onboarding flow sheet).</t>
        </is>
      </c>
    </row>
    <row r="15" ht="28" customHeight="1">
      <c r="A15" s="5" t="inlineStr">
        <is>
          <t>- RACI columns now use the nine v4 roles plus Line manager, Platform super admin and Client, and every R / A was checked against the default permission matrix. Existing processes changed by v4 are marked Extended with a "v4:" note.</t>
        </is>
      </c>
    </row>
    <row r="17">
      <c r="A17" s="4" t="inlineStr">
        <is>
          <t>How to read the workbook</t>
        </is>
      </c>
    </row>
    <row r="18" ht="42" customHeight="1">
      <c r="A18" s="5" t="inlineStr">
        <is>
          <t>- Process catalogue: one row per process. Filter by Domain, Status or any role column. "Permission (v4)" is the permission a role needs to be R or A. Error codes (e.g. DELAY_REASON_REQUIRED, CHANGE_PENDING, LOCKOUT) are the exact codes the system returns; BR-xx are BRD business rules; NTF-xx are notification codes.</t>
        </is>
      </c>
    </row>
    <row r="19" ht="15" customHeight="1">
      <c r="A19" s="5" t="inlineStr">
        <is>
          <t>- Role view: the same processes listed per role. Filter the Role column to see everything one role does, approves or is told about.</t>
        </is>
      </c>
    </row>
    <row r="20" ht="28" customHeight="1">
      <c r="A20" s="5" t="inlineStr">
        <is>
          <t>- Roles &amp; permissions: every permission (module, key, label, description, kind, sensitive) with a tick per default role, totals, and the role &gt; persona &gt; demo user table.</t>
        </is>
      </c>
    </row>
    <row r="21" ht="28" customHeight="1">
      <c r="A21" s="5" t="inlineStr">
        <is>
          <t>- Maker-checker: every change type with its required permission, who can make and check it by default, default on / off, what is applied on approval and failure modes; plus the integrity rules.</t>
        </is>
      </c>
    </row>
    <row r="22" ht="28" customHeight="1">
      <c r="A22" s="5" t="inlineStr">
        <is>
          <t>- Approval workflows: default steps per process (approver, role, threshold, SLA, escalation), the v3 rule it reproduces, what an admin can configure and a resolved demo chain.</t>
        </is>
      </c>
    </row>
    <row r="23" ht="28" customHeight="1">
      <c r="A23" s="5" t="inlineStr">
        <is>
          <t>- Setup &amp; onboarding flow: the Administrator's path (screen, permission, checks) and the new employee's first sign-in, with the welcome email placeholders.</t>
        </is>
      </c>
    </row>
    <row r="24" ht="15" customHeight="1">
      <c r="A24" s="5" t="inlineStr">
        <is>
          <t>- Approvals &amp; SLAs: every approval in the system, approver, SLA, outcome and inbox kind (v4 routing notes added).</t>
        </is>
      </c>
    </row>
    <row r="25" ht="15" customHeight="1">
      <c r="A25" s="5" t="inlineStr">
        <is>
          <t>- KPI dictionary: every KPI the system computes, with the formula used in the code, source data and where it is shown.</t>
        </is>
      </c>
    </row>
    <row r="26" ht="15" customHeight="1">
      <c r="A26" s="5" t="inlineStr">
        <is>
          <t>- Requested flows check: the flows requested on 1 Oct 2026 (v3 and v4) with status, screens, rules and a demo script.</t>
        </is>
      </c>
    </row>
    <row r="28">
      <c r="A28" s="4" t="inlineStr">
        <is>
          <t>Roles (RACI columns)</t>
        </is>
      </c>
    </row>
    <row r="29" ht="42" customHeight="1">
      <c r="A29" s="5" t="inlineStr">
        <is>
          <t>- Administrator, CEO, CTO, Project Manager, HR Manager, HR Executive, Sales Manager, Sales Executive, Employee = the nine v4 default roles. Line manager = any person with direct reports, whatever their role (approves their timesheets, leave, expenses, general tasks, goals and appraisals by default). Platform SA = SeereonOS platform super admin (outside the company, never sees business data). Client = external client contact.</t>
        </is>
      </c>
    </row>
    <row r="30" ht="42" customHeight="1">
      <c r="A30" s="5" t="inlineStr">
        <is>
          <t>- Finance has no column of its own: in v4, finance.view / finance.edit / budgets / leakage sit with the CEO (and Administrator); payroll preparation, ledger view, expense and vendor payments, procurement and the operations register sit with the HR Manager; payroll finalisation needs the CEO (or Administrator) as checker.</t>
        </is>
      </c>
    </row>
    <row r="31" ht="15" customHeight="1">
      <c r="A31" s="5" t="inlineStr">
        <is>
          <t>- Where a role is not staffed (e.g. no CTO or Sales Manager yet) the CEO covers it: the CEO role holds every permission.</t>
        </is>
      </c>
    </row>
    <row r="33">
      <c r="A33" s="4" t="inlineStr">
        <is>
          <t>How the v3 columns were mapped to v4 (deterministic)</t>
        </is>
      </c>
    </row>
    <row r="34" ht="28" customHeight="1">
      <c r="A34" s="5" t="inlineStr">
        <is>
          <t>- CEO/Admin &gt; CEO; for workspace-configuration processes (WS-01/02/04/05/07..11/13, ORG-01/02/05, GOV-04) the Administrator becomes R and the CEO keeps A only if it was A (else I). Processes every internal role did (sign-in, inbox, notifications) give the same letter to Administrator.</t>
        </is>
      </c>
    </row>
    <row r="35" ht="28" customHeight="1">
      <c r="A35" s="5" t="inlineStr">
        <is>
          <t>- Project manager &gt; Project Manager and CTO. In delivery processes (DEL, TSK, DOC-01..04) the CTO takes the CEO's letter (usually A) and the CEO becomes Informed; elsewhere the CTO takes the PM's letter.</t>
        </is>
      </c>
    </row>
    <row r="36" ht="28" customHeight="1">
      <c r="A36" s="5" t="inlineStr">
        <is>
          <t>- HR &amp; ops &gt; HR Manager. HR Executive gets R only for data-entry, onboarding, recruitment, leave entry, company documents and operations register (WS-04, HR-01..06, TIM-09, DOC-05, OPS-01..03) and self-service rows; otherwise I where HR was involved, else blank.</t>
        </is>
      </c>
    </row>
    <row r="37" ht="28" customHeight="1">
      <c r="A37" s="5" t="inlineStr">
        <is>
          <t>- Sales &gt; Sales Executive (R for own deals) and Sales Manager; in Sales and Client processes the Sales Manager takes the CEO's A (team-wide) and the CEO becomes Informed.</t>
        </is>
      </c>
    </row>
    <row r="38" ht="28" customHeight="1">
      <c r="A38" s="5" t="inlineStr">
        <is>
          <t>- Finance &gt; the role that holds the process's permission in the product: HR Manager when it does (payroll.run, ledger.view, expenses.pay, procurement.manage, ops.manage), else CEO. Line manager, Employee, Platform SA and Client unchanged.</t>
        </is>
      </c>
    </row>
    <row r="39" ht="42" customHeight="1">
      <c r="A39" s="5" t="inlineStr">
        <is>
          <t>- Sanity check: any R or A held by a role that lacks the process permission (Permission (v4) column) was downgraded to I (9 cells: DEL-09 Project Manager; TSK-01 Sales Executive; TSK-06 Sales Executive; TSK-07 Sales Executive; REV-02 Sales Executive; REV-03 CTO; REV-03 Project Manager; REV-05 CTO; REV-05 Project Manager). Rows changed by v4 were then set explicitly (e.g. PAY-04: HR Manager R, CEO A; ORG-03: CEO A).</t>
        </is>
      </c>
    </row>
    <row r="41">
      <c r="A41" s="4" t="inlineStr">
        <is>
          <t>RACI legend</t>
        </is>
      </c>
    </row>
    <row r="42">
      <c r="A42" s="6" t="inlineStr">
        <is>
          <t>R</t>
        </is>
      </c>
      <c r="B42" s="7" t="inlineStr">
        <is>
          <t>Responsible: does the work</t>
        </is>
      </c>
    </row>
    <row r="43">
      <c r="A43" s="6" t="inlineStr">
        <is>
          <t>A</t>
        </is>
      </c>
      <c r="B43" s="7" t="inlineStr">
        <is>
          <t>Accountable / approves (shown in bold)</t>
        </is>
      </c>
    </row>
    <row r="44">
      <c r="A44" s="6" t="inlineStr">
        <is>
          <t>C</t>
        </is>
      </c>
      <c r="B44" s="7" t="inlineStr">
        <is>
          <t>Consulted: gives input before or during</t>
        </is>
      </c>
    </row>
    <row r="45">
      <c r="A45" s="6" t="inlineStr">
        <is>
          <t>I</t>
        </is>
      </c>
      <c r="B45" s="7" t="inlineStr">
        <is>
          <t>Informed: notified or sees the result</t>
        </is>
      </c>
    </row>
    <row r="46">
      <c r="A46" s="6" t="inlineStr">
        <is>
          <t>(blank)</t>
        </is>
      </c>
      <c r="B46" s="7" t="inlineStr">
        <is>
          <t>Not involved</t>
        </is>
      </c>
    </row>
    <row r="48">
      <c r="A48" s="4" t="inlineStr">
        <is>
          <t>Status legend</t>
        </is>
      </c>
    </row>
    <row r="49">
      <c r="A49" s="8" t="inlineStr">
        <is>
          <t>Live</t>
        </is>
      </c>
      <c r="B49" s="7" t="inlineStr">
        <is>
          <t>In the product before v3</t>
        </is>
      </c>
    </row>
    <row r="50">
      <c r="A50" s="9" t="inlineStr">
        <is>
          <t>Extended</t>
        </is>
      </c>
      <c r="B50" s="7" t="inlineStr">
        <is>
          <t>Existed and was extended in v3 or v4 (see the "v4:" note)</t>
        </is>
      </c>
    </row>
    <row r="51">
      <c r="A51" s="10" t="inlineStr">
        <is>
          <t>New in v3</t>
        </is>
      </c>
      <c r="B51" s="7" t="inlineStr">
        <is>
          <t>Added in v3</t>
        </is>
      </c>
    </row>
    <row r="52">
      <c r="A52" s="11" t="inlineStr">
        <is>
          <t>New in v4</t>
        </is>
      </c>
      <c r="B52" s="7" t="inlineStr">
        <is>
          <t>Added in v4</t>
        </is>
      </c>
    </row>
    <row r="53">
      <c r="A53" s="12" t="inlineStr">
        <is>
          <t>Planned</t>
        </is>
      </c>
      <c r="B53" s="7" t="inlineStr">
        <is>
          <t>Not built yet; recommended</t>
        </is>
      </c>
    </row>
    <row r="55">
      <c r="A55" s="4" t="inlineStr">
        <is>
          <t>Processes by domain and status (live formulas)</t>
        </is>
      </c>
    </row>
    <row r="56">
      <c r="A56" s="13" t="inlineStr">
        <is>
          <t>Domain</t>
        </is>
      </c>
      <c r="B56" s="14" t="inlineStr">
        <is>
          <t>Live</t>
        </is>
      </c>
      <c r="C56" s="14" t="inlineStr">
        <is>
          <t>Extended</t>
        </is>
      </c>
      <c r="D56" s="14" t="inlineStr">
        <is>
          <t>New in v3</t>
        </is>
      </c>
      <c r="E56" s="14" t="inlineStr">
        <is>
          <t>New in v4</t>
        </is>
      </c>
      <c r="F56" s="14" t="inlineStr">
        <is>
          <t>Planned</t>
        </is>
      </c>
      <c r="G56" s="14" t="inlineStr">
        <is>
          <t>Total</t>
        </is>
      </c>
    </row>
    <row r="57">
      <c r="A57" s="15" t="inlineStr">
        <is>
          <t>Workspace &amp; access</t>
        </is>
      </c>
      <c r="B57" s="16">
        <f>COUNTIFS('Process catalogue'!$B$2:$B$186,$A57,'Process catalogue'!$AA$2:$AA$186,B$56)</f>
        <v/>
      </c>
      <c r="C57" s="16">
        <f>COUNTIFS('Process catalogue'!$B$2:$B$186,$A57,'Process catalogue'!$AA$2:$AA$186,C$56)</f>
        <v/>
      </c>
      <c r="D57" s="16">
        <f>COUNTIFS('Process catalogue'!$B$2:$B$186,$A57,'Process catalogue'!$AA$2:$AA$186,D$56)</f>
        <v/>
      </c>
      <c r="E57" s="16">
        <f>COUNTIFS('Process catalogue'!$B$2:$B$186,$A57,'Process catalogue'!$AA$2:$AA$186,E$56)</f>
        <v/>
      </c>
      <c r="F57" s="16">
        <f>COUNTIFS('Process catalogue'!$B$2:$B$186,$A57,'Process catalogue'!$AA$2:$AA$186,F$56)</f>
        <v/>
      </c>
      <c r="G57" s="17">
        <f>SUM(B57:F57)</f>
        <v/>
      </c>
    </row>
    <row r="58">
      <c r="A58" s="15" t="inlineStr">
        <is>
          <t>Organisation &amp; master data</t>
        </is>
      </c>
      <c r="B58" s="16">
        <f>COUNTIFS('Process catalogue'!$B$2:$B$186,$A58,'Process catalogue'!$AA$2:$AA$186,B$56)</f>
        <v/>
      </c>
      <c r="C58" s="16">
        <f>COUNTIFS('Process catalogue'!$B$2:$B$186,$A58,'Process catalogue'!$AA$2:$AA$186,C$56)</f>
        <v/>
      </c>
      <c r="D58" s="16">
        <f>COUNTIFS('Process catalogue'!$B$2:$B$186,$A58,'Process catalogue'!$AA$2:$AA$186,D$56)</f>
        <v/>
      </c>
      <c r="E58" s="16">
        <f>COUNTIFS('Process catalogue'!$B$2:$B$186,$A58,'Process catalogue'!$AA$2:$AA$186,E$56)</f>
        <v/>
      </c>
      <c r="F58" s="16">
        <f>COUNTIFS('Process catalogue'!$B$2:$B$186,$A58,'Process catalogue'!$AA$2:$AA$186,F$56)</f>
        <v/>
      </c>
      <c r="G58" s="17">
        <f>SUM(B58:F58)</f>
        <v/>
      </c>
    </row>
    <row r="59">
      <c r="A59" s="15" t="inlineStr">
        <is>
          <t>Sales &amp; CRM</t>
        </is>
      </c>
      <c r="B59" s="16">
        <f>COUNTIFS('Process catalogue'!$B$2:$B$186,$A59,'Process catalogue'!$AA$2:$AA$186,B$56)</f>
        <v/>
      </c>
      <c r="C59" s="16">
        <f>COUNTIFS('Process catalogue'!$B$2:$B$186,$A59,'Process catalogue'!$AA$2:$AA$186,C$56)</f>
        <v/>
      </c>
      <c r="D59" s="16">
        <f>COUNTIFS('Process catalogue'!$B$2:$B$186,$A59,'Process catalogue'!$AA$2:$AA$186,D$56)</f>
        <v/>
      </c>
      <c r="E59" s="16">
        <f>COUNTIFS('Process catalogue'!$B$2:$B$186,$A59,'Process catalogue'!$AA$2:$AA$186,E$56)</f>
        <v/>
      </c>
      <c r="F59" s="16">
        <f>COUNTIFS('Process catalogue'!$B$2:$B$186,$A59,'Process catalogue'!$AA$2:$AA$186,F$56)</f>
        <v/>
      </c>
      <c r="G59" s="17">
        <f>SUM(B59:F59)</f>
        <v/>
      </c>
    </row>
    <row r="60">
      <c r="A60" s="15" t="inlineStr">
        <is>
          <t>Client &amp; contract management</t>
        </is>
      </c>
      <c r="B60" s="16">
        <f>COUNTIFS('Process catalogue'!$B$2:$B$186,$A60,'Process catalogue'!$AA$2:$AA$186,B$56)</f>
        <v/>
      </c>
      <c r="C60" s="16">
        <f>COUNTIFS('Process catalogue'!$B$2:$B$186,$A60,'Process catalogue'!$AA$2:$AA$186,C$56)</f>
        <v/>
      </c>
      <c r="D60" s="16">
        <f>COUNTIFS('Process catalogue'!$B$2:$B$186,$A60,'Process catalogue'!$AA$2:$AA$186,D$56)</f>
        <v/>
      </c>
      <c r="E60" s="16">
        <f>COUNTIFS('Process catalogue'!$B$2:$B$186,$A60,'Process catalogue'!$AA$2:$AA$186,E$56)</f>
        <v/>
      </c>
      <c r="F60" s="16">
        <f>COUNTIFS('Process catalogue'!$B$2:$B$186,$A60,'Process catalogue'!$AA$2:$AA$186,F$56)</f>
        <v/>
      </c>
      <c r="G60" s="17">
        <f>SUM(B60:F60)</f>
        <v/>
      </c>
    </row>
    <row r="61">
      <c r="A61" s="15" t="inlineStr">
        <is>
          <t>Project delivery</t>
        </is>
      </c>
      <c r="B61" s="16">
        <f>COUNTIFS('Process catalogue'!$B$2:$B$186,$A61,'Process catalogue'!$AA$2:$AA$186,B$56)</f>
        <v/>
      </c>
      <c r="C61" s="16">
        <f>COUNTIFS('Process catalogue'!$B$2:$B$186,$A61,'Process catalogue'!$AA$2:$AA$186,C$56)</f>
        <v/>
      </c>
      <c r="D61" s="16">
        <f>COUNTIFS('Process catalogue'!$B$2:$B$186,$A61,'Process catalogue'!$AA$2:$AA$186,D$56)</f>
        <v/>
      </c>
      <c r="E61" s="16">
        <f>COUNTIFS('Process catalogue'!$B$2:$B$186,$A61,'Process catalogue'!$AA$2:$AA$186,E$56)</f>
        <v/>
      </c>
      <c r="F61" s="16">
        <f>COUNTIFS('Process catalogue'!$B$2:$B$186,$A61,'Process catalogue'!$AA$2:$AA$186,F$56)</f>
        <v/>
      </c>
      <c r="G61" s="17">
        <f>SUM(B61:F61)</f>
        <v/>
      </c>
    </row>
    <row r="62">
      <c r="A62" s="15" t="inlineStr">
        <is>
          <t>Task governance</t>
        </is>
      </c>
      <c r="B62" s="16">
        <f>COUNTIFS('Process catalogue'!$B$2:$B$186,$A62,'Process catalogue'!$AA$2:$AA$186,B$56)</f>
        <v/>
      </c>
      <c r="C62" s="16">
        <f>COUNTIFS('Process catalogue'!$B$2:$B$186,$A62,'Process catalogue'!$AA$2:$AA$186,C$56)</f>
        <v/>
      </c>
      <c r="D62" s="16">
        <f>COUNTIFS('Process catalogue'!$B$2:$B$186,$A62,'Process catalogue'!$AA$2:$AA$186,D$56)</f>
        <v/>
      </c>
      <c r="E62" s="16">
        <f>COUNTIFS('Process catalogue'!$B$2:$B$186,$A62,'Process catalogue'!$AA$2:$AA$186,E$56)</f>
        <v/>
      </c>
      <c r="F62" s="16">
        <f>COUNTIFS('Process catalogue'!$B$2:$B$186,$A62,'Process catalogue'!$AA$2:$AA$186,F$56)</f>
        <v/>
      </c>
      <c r="G62" s="17">
        <f>SUM(B62:F62)</f>
        <v/>
      </c>
    </row>
    <row r="63">
      <c r="A63" s="15" t="inlineStr">
        <is>
          <t>Time &amp; attendance</t>
        </is>
      </c>
      <c r="B63" s="16">
        <f>COUNTIFS('Process catalogue'!$B$2:$B$186,$A63,'Process catalogue'!$AA$2:$AA$186,B$56)</f>
        <v/>
      </c>
      <c r="C63" s="16">
        <f>COUNTIFS('Process catalogue'!$B$2:$B$186,$A63,'Process catalogue'!$AA$2:$AA$186,C$56)</f>
        <v/>
      </c>
      <c r="D63" s="16">
        <f>COUNTIFS('Process catalogue'!$B$2:$B$186,$A63,'Process catalogue'!$AA$2:$AA$186,D$56)</f>
        <v/>
      </c>
      <c r="E63" s="16">
        <f>COUNTIFS('Process catalogue'!$B$2:$B$186,$A63,'Process catalogue'!$AA$2:$AA$186,E$56)</f>
        <v/>
      </c>
      <c r="F63" s="16">
        <f>COUNTIFS('Process catalogue'!$B$2:$B$186,$A63,'Process catalogue'!$AA$2:$AA$186,F$56)</f>
        <v/>
      </c>
      <c r="G63" s="17">
        <f>SUM(B63:F63)</f>
        <v/>
      </c>
    </row>
    <row r="64">
      <c r="A64" s="15" t="inlineStr">
        <is>
          <t>Documents &amp; knowledge</t>
        </is>
      </c>
      <c r="B64" s="16">
        <f>COUNTIFS('Process catalogue'!$B$2:$B$186,$A64,'Process catalogue'!$AA$2:$AA$186,B$56)</f>
        <v/>
      </c>
      <c r="C64" s="16">
        <f>COUNTIFS('Process catalogue'!$B$2:$B$186,$A64,'Process catalogue'!$AA$2:$AA$186,C$56)</f>
        <v/>
      </c>
      <c r="D64" s="16">
        <f>COUNTIFS('Process catalogue'!$B$2:$B$186,$A64,'Process catalogue'!$AA$2:$AA$186,D$56)</f>
        <v/>
      </c>
      <c r="E64" s="16">
        <f>COUNTIFS('Process catalogue'!$B$2:$B$186,$A64,'Process catalogue'!$AA$2:$AA$186,E$56)</f>
        <v/>
      </c>
      <c r="F64" s="16">
        <f>COUNTIFS('Process catalogue'!$B$2:$B$186,$A64,'Process catalogue'!$AA$2:$AA$186,F$56)</f>
        <v/>
      </c>
      <c r="G64" s="17">
        <f>SUM(B64:F64)</f>
        <v/>
      </c>
    </row>
    <row r="65">
      <c r="A65" s="15" t="inlineStr">
        <is>
          <t>People &amp; HR</t>
        </is>
      </c>
      <c r="B65" s="16">
        <f>COUNTIFS('Process catalogue'!$B$2:$B$186,$A65,'Process catalogue'!$AA$2:$AA$186,B$56)</f>
        <v/>
      </c>
      <c r="C65" s="16">
        <f>COUNTIFS('Process catalogue'!$B$2:$B$186,$A65,'Process catalogue'!$AA$2:$AA$186,C$56)</f>
        <v/>
      </c>
      <c r="D65" s="16">
        <f>COUNTIFS('Process catalogue'!$B$2:$B$186,$A65,'Process catalogue'!$AA$2:$AA$186,D$56)</f>
        <v/>
      </c>
      <c r="E65" s="16">
        <f>COUNTIFS('Process catalogue'!$B$2:$B$186,$A65,'Process catalogue'!$AA$2:$AA$186,E$56)</f>
        <v/>
      </c>
      <c r="F65" s="16">
        <f>COUNTIFS('Process catalogue'!$B$2:$B$186,$A65,'Process catalogue'!$AA$2:$AA$186,F$56)</f>
        <v/>
      </c>
      <c r="G65" s="17">
        <f>SUM(B65:F65)</f>
        <v/>
      </c>
    </row>
    <row r="66">
      <c r="A66" s="15" t="inlineStr">
        <is>
          <t>Payroll &amp; compensation</t>
        </is>
      </c>
      <c r="B66" s="16">
        <f>COUNTIFS('Process catalogue'!$B$2:$B$186,$A66,'Process catalogue'!$AA$2:$AA$186,B$56)</f>
        <v/>
      </c>
      <c r="C66" s="16">
        <f>COUNTIFS('Process catalogue'!$B$2:$B$186,$A66,'Process catalogue'!$AA$2:$AA$186,C$56)</f>
        <v/>
      </c>
      <c r="D66" s="16">
        <f>COUNTIFS('Process catalogue'!$B$2:$B$186,$A66,'Process catalogue'!$AA$2:$AA$186,D$56)</f>
        <v/>
      </c>
      <c r="E66" s="16">
        <f>COUNTIFS('Process catalogue'!$B$2:$B$186,$A66,'Process catalogue'!$AA$2:$AA$186,E$56)</f>
        <v/>
      </c>
      <c r="F66" s="16">
        <f>COUNTIFS('Process catalogue'!$B$2:$B$186,$A66,'Process catalogue'!$AA$2:$AA$186,F$56)</f>
        <v/>
      </c>
      <c r="G66" s="17">
        <f>SUM(B66:F66)</f>
        <v/>
      </c>
    </row>
    <row r="67">
      <c r="A67" s="15" t="inlineStr">
        <is>
          <t>Finance</t>
        </is>
      </c>
      <c r="B67" s="16">
        <f>COUNTIFS('Process catalogue'!$B$2:$B$186,$A67,'Process catalogue'!$AA$2:$AA$186,B$56)</f>
        <v/>
      </c>
      <c r="C67" s="16">
        <f>COUNTIFS('Process catalogue'!$B$2:$B$186,$A67,'Process catalogue'!$AA$2:$AA$186,C$56)</f>
        <v/>
      </c>
      <c r="D67" s="16">
        <f>COUNTIFS('Process catalogue'!$B$2:$B$186,$A67,'Process catalogue'!$AA$2:$AA$186,D$56)</f>
        <v/>
      </c>
      <c r="E67" s="16">
        <f>COUNTIFS('Process catalogue'!$B$2:$B$186,$A67,'Process catalogue'!$AA$2:$AA$186,E$56)</f>
        <v/>
      </c>
      <c r="F67" s="16">
        <f>COUNTIFS('Process catalogue'!$B$2:$B$186,$A67,'Process catalogue'!$AA$2:$AA$186,F$56)</f>
        <v/>
      </c>
      <c r="G67" s="17">
        <f>SUM(B67:F67)</f>
        <v/>
      </c>
    </row>
    <row r="68">
      <c r="A68" s="15" t="inlineStr">
        <is>
          <t>Spend &amp; procurement</t>
        </is>
      </c>
      <c r="B68" s="16">
        <f>COUNTIFS('Process catalogue'!$B$2:$B$186,$A68,'Process catalogue'!$AA$2:$AA$186,B$56)</f>
        <v/>
      </c>
      <c r="C68" s="16">
        <f>COUNTIFS('Process catalogue'!$B$2:$B$186,$A68,'Process catalogue'!$AA$2:$AA$186,C$56)</f>
        <v/>
      </c>
      <c r="D68" s="16">
        <f>COUNTIFS('Process catalogue'!$B$2:$B$186,$A68,'Process catalogue'!$AA$2:$AA$186,D$56)</f>
        <v/>
      </c>
      <c r="E68" s="16">
        <f>COUNTIFS('Process catalogue'!$B$2:$B$186,$A68,'Process catalogue'!$AA$2:$AA$186,E$56)</f>
        <v/>
      </c>
      <c r="F68" s="16">
        <f>COUNTIFS('Process catalogue'!$B$2:$B$186,$A68,'Process catalogue'!$AA$2:$AA$186,F$56)</f>
        <v/>
      </c>
      <c r="G68" s="17">
        <f>SUM(B68:F68)</f>
        <v/>
      </c>
    </row>
    <row r="69">
      <c r="A69" s="15" t="inlineStr">
        <is>
          <t>Revenue assurance</t>
        </is>
      </c>
      <c r="B69" s="16">
        <f>COUNTIFS('Process catalogue'!$B$2:$B$186,$A69,'Process catalogue'!$AA$2:$AA$186,B$56)</f>
        <v/>
      </c>
      <c r="C69" s="16">
        <f>COUNTIFS('Process catalogue'!$B$2:$B$186,$A69,'Process catalogue'!$AA$2:$AA$186,C$56)</f>
        <v/>
      </c>
      <c r="D69" s="16">
        <f>COUNTIFS('Process catalogue'!$B$2:$B$186,$A69,'Process catalogue'!$AA$2:$AA$186,D$56)</f>
        <v/>
      </c>
      <c r="E69" s="16">
        <f>COUNTIFS('Process catalogue'!$B$2:$B$186,$A69,'Process catalogue'!$AA$2:$AA$186,E$56)</f>
        <v/>
      </c>
      <c r="F69" s="16">
        <f>COUNTIFS('Process catalogue'!$B$2:$B$186,$A69,'Process catalogue'!$AA$2:$AA$186,F$56)</f>
        <v/>
      </c>
      <c r="G69" s="17">
        <f>SUM(B69:F69)</f>
        <v/>
      </c>
    </row>
    <row r="70">
      <c r="A70" s="15" t="inlineStr">
        <is>
          <t>Operations &amp; compliance</t>
        </is>
      </c>
      <c r="B70" s="16">
        <f>COUNTIFS('Process catalogue'!$B$2:$B$186,$A70,'Process catalogue'!$AA$2:$AA$186,B$56)</f>
        <v/>
      </c>
      <c r="C70" s="16">
        <f>COUNTIFS('Process catalogue'!$B$2:$B$186,$A70,'Process catalogue'!$AA$2:$AA$186,C$56)</f>
        <v/>
      </c>
      <c r="D70" s="16">
        <f>COUNTIFS('Process catalogue'!$B$2:$B$186,$A70,'Process catalogue'!$AA$2:$AA$186,D$56)</f>
        <v/>
      </c>
      <c r="E70" s="16">
        <f>COUNTIFS('Process catalogue'!$B$2:$B$186,$A70,'Process catalogue'!$AA$2:$AA$186,E$56)</f>
        <v/>
      </c>
      <c r="F70" s="16">
        <f>COUNTIFS('Process catalogue'!$B$2:$B$186,$A70,'Process catalogue'!$AA$2:$AA$186,F$56)</f>
        <v/>
      </c>
      <c r="G70" s="17">
        <f>SUM(B70:F70)</f>
        <v/>
      </c>
    </row>
    <row r="71">
      <c r="A71" s="15" t="inlineStr">
        <is>
          <t>Strategy &amp; governance</t>
        </is>
      </c>
      <c r="B71" s="16">
        <f>COUNTIFS('Process catalogue'!$B$2:$B$186,$A71,'Process catalogue'!$AA$2:$AA$186,B$56)</f>
        <v/>
      </c>
      <c r="C71" s="16">
        <f>COUNTIFS('Process catalogue'!$B$2:$B$186,$A71,'Process catalogue'!$AA$2:$AA$186,C$56)</f>
        <v/>
      </c>
      <c r="D71" s="16">
        <f>COUNTIFS('Process catalogue'!$B$2:$B$186,$A71,'Process catalogue'!$AA$2:$AA$186,D$56)</f>
        <v/>
      </c>
      <c r="E71" s="16">
        <f>COUNTIFS('Process catalogue'!$B$2:$B$186,$A71,'Process catalogue'!$AA$2:$AA$186,E$56)</f>
        <v/>
      </c>
      <c r="F71" s="16">
        <f>COUNTIFS('Process catalogue'!$B$2:$B$186,$A71,'Process catalogue'!$AA$2:$AA$186,F$56)</f>
        <v/>
      </c>
      <c r="G71" s="17">
        <f>SUM(B71:F71)</f>
        <v/>
      </c>
    </row>
    <row r="72">
      <c r="A72" s="15" t="inlineStr">
        <is>
          <t>Analytics &amp; AI</t>
        </is>
      </c>
      <c r="B72" s="16">
        <f>COUNTIFS('Process catalogue'!$B$2:$B$186,$A72,'Process catalogue'!$AA$2:$AA$186,B$56)</f>
        <v/>
      </c>
      <c r="C72" s="16">
        <f>COUNTIFS('Process catalogue'!$B$2:$B$186,$A72,'Process catalogue'!$AA$2:$AA$186,C$56)</f>
        <v/>
      </c>
      <c r="D72" s="16">
        <f>COUNTIFS('Process catalogue'!$B$2:$B$186,$A72,'Process catalogue'!$AA$2:$AA$186,D$56)</f>
        <v/>
      </c>
      <c r="E72" s="16">
        <f>COUNTIFS('Process catalogue'!$B$2:$B$186,$A72,'Process catalogue'!$AA$2:$AA$186,E$56)</f>
        <v/>
      </c>
      <c r="F72" s="16">
        <f>COUNTIFS('Process catalogue'!$B$2:$B$186,$A72,'Process catalogue'!$AA$2:$AA$186,F$56)</f>
        <v/>
      </c>
      <c r="G72" s="17">
        <f>SUM(B72:F72)</f>
        <v/>
      </c>
    </row>
    <row r="73">
      <c r="A73" s="15" t="inlineStr">
        <is>
          <t>Access, master data &amp; controls</t>
        </is>
      </c>
      <c r="B73" s="16">
        <f>COUNTIFS('Process catalogue'!$B$2:$B$186,$A73,'Process catalogue'!$AA$2:$AA$186,B$56)</f>
        <v/>
      </c>
      <c r="C73" s="16">
        <f>COUNTIFS('Process catalogue'!$B$2:$B$186,$A73,'Process catalogue'!$AA$2:$AA$186,C$56)</f>
        <v/>
      </c>
      <c r="D73" s="16">
        <f>COUNTIFS('Process catalogue'!$B$2:$B$186,$A73,'Process catalogue'!$AA$2:$AA$186,D$56)</f>
        <v/>
      </c>
      <c r="E73" s="16">
        <f>COUNTIFS('Process catalogue'!$B$2:$B$186,$A73,'Process catalogue'!$AA$2:$AA$186,E$56)</f>
        <v/>
      </c>
      <c r="F73" s="16">
        <f>COUNTIFS('Process catalogue'!$B$2:$B$186,$A73,'Process catalogue'!$AA$2:$AA$186,F$56)</f>
        <v/>
      </c>
      <c r="G73" s="17">
        <f>SUM(B73:F73)</f>
        <v/>
      </c>
    </row>
    <row r="74">
      <c r="A74" s="18" t="inlineStr">
        <is>
          <t>Total</t>
        </is>
      </c>
      <c r="B74" s="19">
        <f>SUM(B57:B73)</f>
        <v/>
      </c>
      <c r="C74" s="19">
        <f>SUM(C57:C73)</f>
        <v/>
      </c>
      <c r="D74" s="19">
        <f>SUM(D57:D73)</f>
        <v/>
      </c>
      <c r="E74" s="19">
        <f>SUM(E57:E73)</f>
        <v/>
      </c>
      <c r="F74" s="19">
        <f>SUM(F57:F73)</f>
        <v/>
      </c>
      <c r="G74" s="19">
        <f>SUM(G57:G73)</f>
        <v/>
      </c>
    </row>
    <row r="75">
      <c r="A75" s="20" t="inlineStr">
        <is>
          <t>Check: rows in Process catalogue</t>
        </is>
      </c>
      <c r="G75" s="21">
        <f>COUNTA('Process catalogue'!$A$2:$A$186)</f>
        <v/>
      </c>
    </row>
    <row r="77">
      <c r="A77" s="4" t="inlineStr">
        <is>
          <t>Involvement by role (live formulas)</t>
        </is>
      </c>
    </row>
    <row r="78">
      <c r="A78" s="22" t="inlineStr">
        <is>
          <t>Role</t>
        </is>
      </c>
      <c r="B78" s="23" t="inlineStr">
        <is>
          <t>Involved</t>
        </is>
      </c>
      <c r="C78" s="23" t="inlineStr">
        <is>
          <t>Does (R)</t>
        </is>
      </c>
      <c r="D78" s="23" t="inlineStr">
        <is>
          <t>Approves (A)</t>
        </is>
      </c>
      <c r="E78" s="23" t="inlineStr">
        <is>
          <t>Consulted (C)</t>
        </is>
      </c>
      <c r="F78" s="23" t="inlineStr">
        <is>
          <t>Informed (I)</t>
        </is>
      </c>
    </row>
    <row r="79">
      <c r="A79" s="15" t="inlineStr">
        <is>
          <t>Administrator</t>
        </is>
      </c>
      <c r="B79" s="16">
        <f>COUNTIF('Process catalogue'!$H$2:$H$186,"?")</f>
        <v/>
      </c>
      <c r="C79" s="16">
        <f>COUNTIF('Process catalogue'!$H$2:$H$186,"R")</f>
        <v/>
      </c>
      <c r="D79" s="16">
        <f>COUNTIF('Process catalogue'!$H$2:$H$186,"A")</f>
        <v/>
      </c>
      <c r="E79" s="16">
        <f>COUNTIF('Process catalogue'!$H$2:$H$186,"C")</f>
        <v/>
      </c>
      <c r="F79" s="16">
        <f>COUNTIF('Process catalogue'!$H$2:$H$186,"I")</f>
        <v/>
      </c>
    </row>
    <row r="80">
      <c r="A80" s="15" t="inlineStr">
        <is>
          <t>CEO</t>
        </is>
      </c>
      <c r="B80" s="16">
        <f>COUNTIF('Process catalogue'!$I$2:$I$186,"?")</f>
        <v/>
      </c>
      <c r="C80" s="16">
        <f>COUNTIF('Process catalogue'!$I$2:$I$186,"R")</f>
        <v/>
      </c>
      <c r="D80" s="16">
        <f>COUNTIF('Process catalogue'!$I$2:$I$186,"A")</f>
        <v/>
      </c>
      <c r="E80" s="16">
        <f>COUNTIF('Process catalogue'!$I$2:$I$186,"C")</f>
        <v/>
      </c>
      <c r="F80" s="16">
        <f>COUNTIF('Process catalogue'!$I$2:$I$186,"I")</f>
        <v/>
      </c>
    </row>
    <row r="81">
      <c r="A81" s="15" t="inlineStr">
        <is>
          <t>CTO</t>
        </is>
      </c>
      <c r="B81" s="16">
        <f>COUNTIF('Process catalogue'!$J$2:$J$186,"?")</f>
        <v/>
      </c>
      <c r="C81" s="16">
        <f>COUNTIF('Process catalogue'!$J$2:$J$186,"R")</f>
        <v/>
      </c>
      <c r="D81" s="16">
        <f>COUNTIF('Process catalogue'!$J$2:$J$186,"A")</f>
        <v/>
      </c>
      <c r="E81" s="16">
        <f>COUNTIF('Process catalogue'!$J$2:$J$186,"C")</f>
        <v/>
      </c>
      <c r="F81" s="16">
        <f>COUNTIF('Process catalogue'!$J$2:$J$186,"I")</f>
        <v/>
      </c>
    </row>
    <row r="82">
      <c r="A82" s="15" t="inlineStr">
        <is>
          <t>Project Manager</t>
        </is>
      </c>
      <c r="B82" s="16">
        <f>COUNTIF('Process catalogue'!$K$2:$K$186,"?")</f>
        <v/>
      </c>
      <c r="C82" s="16">
        <f>COUNTIF('Process catalogue'!$K$2:$K$186,"R")</f>
        <v/>
      </c>
      <c r="D82" s="16">
        <f>COUNTIF('Process catalogue'!$K$2:$K$186,"A")</f>
        <v/>
      </c>
      <c r="E82" s="16">
        <f>COUNTIF('Process catalogue'!$K$2:$K$186,"C")</f>
        <v/>
      </c>
      <c r="F82" s="16">
        <f>COUNTIF('Process catalogue'!$K$2:$K$186,"I")</f>
        <v/>
      </c>
    </row>
    <row r="83">
      <c r="A83" s="15" t="inlineStr">
        <is>
          <t>HR Manager</t>
        </is>
      </c>
      <c r="B83" s="16">
        <f>COUNTIF('Process catalogue'!$L$2:$L$186,"?")</f>
        <v/>
      </c>
      <c r="C83" s="16">
        <f>COUNTIF('Process catalogue'!$L$2:$L$186,"R")</f>
        <v/>
      </c>
      <c r="D83" s="16">
        <f>COUNTIF('Process catalogue'!$L$2:$L$186,"A")</f>
        <v/>
      </c>
      <c r="E83" s="16">
        <f>COUNTIF('Process catalogue'!$L$2:$L$186,"C")</f>
        <v/>
      </c>
      <c r="F83" s="16">
        <f>COUNTIF('Process catalogue'!$L$2:$L$186,"I")</f>
        <v/>
      </c>
    </row>
    <row r="84">
      <c r="A84" s="15" t="inlineStr">
        <is>
          <t>HR Executive</t>
        </is>
      </c>
      <c r="B84" s="16">
        <f>COUNTIF('Process catalogue'!$M$2:$M$186,"?")</f>
        <v/>
      </c>
      <c r="C84" s="16">
        <f>COUNTIF('Process catalogue'!$M$2:$M$186,"R")</f>
        <v/>
      </c>
      <c r="D84" s="16">
        <f>COUNTIF('Process catalogue'!$M$2:$M$186,"A")</f>
        <v/>
      </c>
      <c r="E84" s="16">
        <f>COUNTIF('Process catalogue'!$M$2:$M$186,"C")</f>
        <v/>
      </c>
      <c r="F84" s="16">
        <f>COUNTIF('Process catalogue'!$M$2:$M$186,"I")</f>
        <v/>
      </c>
    </row>
    <row r="85">
      <c r="A85" s="15" t="inlineStr">
        <is>
          <t>Sales Manager</t>
        </is>
      </c>
      <c r="B85" s="16">
        <f>COUNTIF('Process catalogue'!$N$2:$N$186,"?")</f>
        <v/>
      </c>
      <c r="C85" s="16">
        <f>COUNTIF('Process catalogue'!$N$2:$N$186,"R")</f>
        <v/>
      </c>
      <c r="D85" s="16">
        <f>COUNTIF('Process catalogue'!$N$2:$N$186,"A")</f>
        <v/>
      </c>
      <c r="E85" s="16">
        <f>COUNTIF('Process catalogue'!$N$2:$N$186,"C")</f>
        <v/>
      </c>
      <c r="F85" s="16">
        <f>COUNTIF('Process catalogue'!$N$2:$N$186,"I")</f>
        <v/>
      </c>
    </row>
    <row r="86">
      <c r="A86" s="15" t="inlineStr">
        <is>
          <t>Sales Executive</t>
        </is>
      </c>
      <c r="B86" s="16">
        <f>COUNTIF('Process catalogue'!$O$2:$O$186,"?")</f>
        <v/>
      </c>
      <c r="C86" s="16">
        <f>COUNTIF('Process catalogue'!$O$2:$O$186,"R")</f>
        <v/>
      </c>
      <c r="D86" s="16">
        <f>COUNTIF('Process catalogue'!$O$2:$O$186,"A")</f>
        <v/>
      </c>
      <c r="E86" s="16">
        <f>COUNTIF('Process catalogue'!$O$2:$O$186,"C")</f>
        <v/>
      </c>
      <c r="F86" s="16">
        <f>COUNTIF('Process catalogue'!$O$2:$O$186,"I")</f>
        <v/>
      </c>
    </row>
    <row r="87">
      <c r="A87" s="15" t="inlineStr">
        <is>
          <t>Employee</t>
        </is>
      </c>
      <c r="B87" s="16">
        <f>COUNTIF('Process catalogue'!$P$2:$P$186,"?")</f>
        <v/>
      </c>
      <c r="C87" s="16">
        <f>COUNTIF('Process catalogue'!$P$2:$P$186,"R")</f>
        <v/>
      </c>
      <c r="D87" s="16">
        <f>COUNTIF('Process catalogue'!$P$2:$P$186,"A")</f>
        <v/>
      </c>
      <c r="E87" s="16">
        <f>COUNTIF('Process catalogue'!$P$2:$P$186,"C")</f>
        <v/>
      </c>
      <c r="F87" s="16">
        <f>COUNTIF('Process catalogue'!$P$2:$P$186,"I")</f>
        <v/>
      </c>
    </row>
    <row r="88">
      <c r="A88" s="15" t="inlineStr">
        <is>
          <t>Line manager (any role with reports)</t>
        </is>
      </c>
      <c r="B88" s="16">
        <f>COUNTIF('Process catalogue'!$Q$2:$Q$186,"?")</f>
        <v/>
      </c>
      <c r="C88" s="16">
        <f>COUNTIF('Process catalogue'!$Q$2:$Q$186,"R")</f>
        <v/>
      </c>
      <c r="D88" s="16">
        <f>COUNTIF('Process catalogue'!$Q$2:$Q$186,"A")</f>
        <v/>
      </c>
      <c r="E88" s="16">
        <f>COUNTIF('Process catalogue'!$Q$2:$Q$186,"C")</f>
        <v/>
      </c>
      <c r="F88" s="16">
        <f>COUNTIF('Process catalogue'!$Q$2:$Q$186,"I")</f>
        <v/>
      </c>
    </row>
    <row r="89">
      <c r="A89" s="15" t="inlineStr">
        <is>
          <t>Platform super admin</t>
        </is>
      </c>
      <c r="B89" s="16">
        <f>COUNTIF('Process catalogue'!$R$2:$R$186,"?")</f>
        <v/>
      </c>
      <c r="C89" s="16">
        <f>COUNTIF('Process catalogue'!$R$2:$R$186,"R")</f>
        <v/>
      </c>
      <c r="D89" s="16">
        <f>COUNTIF('Process catalogue'!$R$2:$R$186,"A")</f>
        <v/>
      </c>
      <c r="E89" s="16">
        <f>COUNTIF('Process catalogue'!$R$2:$R$186,"C")</f>
        <v/>
      </c>
      <c r="F89" s="16">
        <f>COUNTIF('Process catalogue'!$R$2:$R$186,"I")</f>
        <v/>
      </c>
    </row>
    <row r="90">
      <c r="A90" s="15" t="inlineStr">
        <is>
          <t>Client (external)</t>
        </is>
      </c>
      <c r="B90" s="16">
        <f>COUNTIF('Process catalogue'!$S$2:$S$186,"?")</f>
        <v/>
      </c>
      <c r="C90" s="16">
        <f>COUNTIF('Process catalogue'!$S$2:$S$186,"R")</f>
        <v/>
      </c>
      <c r="D90" s="16">
        <f>COUNTIF('Process catalogue'!$S$2:$S$186,"A")</f>
        <v/>
      </c>
      <c r="E90" s="16">
        <f>COUNTIF('Process catalogue'!$S$2:$S$186,"C")</f>
        <v/>
      </c>
      <c r="F90" s="16">
        <f>COUNTIF('Process catalogue'!$S$2:$S$186,"I")</f>
        <v/>
      </c>
    </row>
    <row r="92">
      <c r="A92" s="4" t="inlineStr">
        <is>
          <t>Other sheets (rows)</t>
        </is>
      </c>
    </row>
    <row r="93">
      <c r="A93" s="7" t="inlineStr">
        <is>
          <t>Role view</t>
        </is>
      </c>
      <c r="B93" s="24">
        <f>COUNTA('Role view'!$A$2:$A$957)</f>
        <v/>
      </c>
      <c r="C93" s="7" t="inlineStr">
        <is>
          <t>rows</t>
        </is>
      </c>
    </row>
    <row r="94">
      <c r="A94" s="7" t="inlineStr">
        <is>
          <t>Roles &amp; permissions</t>
        </is>
      </c>
      <c r="B94" s="24">
        <f>COUNTA('Roles &amp; permissions'!$B$2:$B$82)</f>
        <v/>
      </c>
      <c r="C94" s="7" t="inlineStr">
        <is>
          <t>permissions</t>
        </is>
      </c>
    </row>
    <row r="95">
      <c r="A95" s="7" t="inlineStr">
        <is>
          <t>Maker-checker</t>
        </is>
      </c>
      <c r="B95" s="24">
        <f>COUNTA('Maker-checker'!$A$2:$A$14)</f>
        <v/>
      </c>
      <c r="C95" s="7" t="inlineStr">
        <is>
          <t>change types</t>
        </is>
      </c>
    </row>
    <row r="96">
      <c r="A96" s="7" t="inlineStr">
        <is>
          <t>Approval workflows</t>
        </is>
      </c>
      <c r="B96" s="24">
        <f>COUNTA('Approval workflows'!$A$2:$A$8)</f>
        <v/>
      </c>
      <c r="C96" s="7" t="inlineStr">
        <is>
          <t>workflow steps</t>
        </is>
      </c>
    </row>
    <row r="97">
      <c r="A97" s="7" t="inlineStr">
        <is>
          <t>Setup &amp; onboarding flow</t>
        </is>
      </c>
      <c r="B97" s="24">
        <f>COUNTA('Setup &amp; onboarding flow'!$A$2:$A$15)</f>
        <v/>
      </c>
      <c r="C97" s="7" t="inlineStr">
        <is>
          <t>steps</t>
        </is>
      </c>
    </row>
    <row r="98">
      <c r="A98" s="7" t="inlineStr">
        <is>
          <t>Approvals &amp; SLAs</t>
        </is>
      </c>
      <c r="B98" s="24">
        <f>COUNTA('Approvals &amp; SLAs'!$A$2:$A$22)</f>
        <v/>
      </c>
      <c r="C98" s="7" t="inlineStr">
        <is>
          <t>rows</t>
        </is>
      </c>
    </row>
    <row r="99">
      <c r="A99" s="7" t="inlineStr">
        <is>
          <t>KPI dictionary</t>
        </is>
      </c>
      <c r="B99" s="24">
        <f>COUNTA('KPI dictionary'!$A$2:$A$50)</f>
        <v/>
      </c>
      <c r="C99" s="7" t="inlineStr">
        <is>
          <t>rows</t>
        </is>
      </c>
    </row>
    <row r="100">
      <c r="A100" s="7" t="inlineStr">
        <is>
          <t>Requested flows check</t>
        </is>
      </c>
      <c r="B100" s="24">
        <f>COUNTA('Requested flows check'!$A$2:$A$14)</f>
        <v/>
      </c>
      <c r="C100" s="7" t="inlineStr">
        <is>
          <t>rows</t>
        </is>
      </c>
    </row>
    <row r="102">
      <c r="A102" s="4" t="inlineStr">
        <is>
          <t>Sources</t>
        </is>
      </c>
    </row>
    <row r="103" ht="42" customHeight="1">
      <c r="A103" s="5" t="inlineStr">
        <is>
          <t>Product code v4 (src/domain/permissionCatalog.ts PERMISSIONS and DEFAULT_ROLES, src/mock/makerChecker.ts, src/mock/workflows.ts, src/mock/seeds/access.ts, mock routes access / people / master, Setup screens, Create employee, First password and Changes screens) and specs (BRD/FSD business rules BR-01..27, settings, notifications NTF-01..17). The permission matrix and workflow chains were extracted by running the product code.</t>
        </is>
      </c>
    </row>
    <row r="104" ht="42" customHeight="1">
      <c r="A104" s="5" t="inlineStr">
        <is>
          <t>Demo logins (password Seereon@123, all @seereon.co.in): santosh@ (CEO), debasish@ (Administrator), subhankar@ (Project Manager + margins.view, documents.view_all), priya@ (HR Manager), baishali@ (Sales Manager), subham@ (Sales Executive), hritesh@ and other developers (Employee). No demo user holds CTO or HR Executive.</t>
        </is>
      </c>
    </row>
  </sheetData>
  <mergeCells count="29">
    <mergeCell ref="A9:H9"/>
    <mergeCell ref="A30:H30"/>
    <mergeCell ref="A39:H39"/>
    <mergeCell ref="A15:H15"/>
    <mergeCell ref="A24:H24"/>
    <mergeCell ref="A36:H36"/>
    <mergeCell ref="A11:H11"/>
    <mergeCell ref="A103:H103"/>
    <mergeCell ref="A6:H6"/>
    <mergeCell ref="A25:H25"/>
    <mergeCell ref="A37:H37"/>
    <mergeCell ref="A12:H12"/>
    <mergeCell ref="A18:H18"/>
    <mergeCell ref="A26:H26"/>
    <mergeCell ref="A21:H21"/>
    <mergeCell ref="A104:H104"/>
    <mergeCell ref="A14:H14"/>
    <mergeCell ref="A5:H5"/>
    <mergeCell ref="A23:H23"/>
    <mergeCell ref="A22:H22"/>
    <mergeCell ref="A29:H29"/>
    <mergeCell ref="A35:H35"/>
    <mergeCell ref="A20:H20"/>
    <mergeCell ref="A38:H38"/>
    <mergeCell ref="A10:H10"/>
    <mergeCell ref="A13:H13"/>
    <mergeCell ref="A19:H19"/>
    <mergeCell ref="A31:H31"/>
    <mergeCell ref="A34:H34"/>
  </mergeCells>
  <pageMargins left="0.75" right="0.75" top="1" bottom="1" header="0.5" footer="0.5"/>
  <pageSetup orientation="landscape" fitToHeight="0" fitToWidth="1"/>
</worksheet>
</file>

<file path=xl/worksheets/sheet2.xml><?xml version="1.0" encoding="utf-8"?>
<worksheet xmlns="http://schemas.openxmlformats.org/spreadsheetml/2006/main">
  <sheetPr>
    <tabColor rgb="000C6B4E"/>
    <outlinePr summaryBelow="1" summaryRight="1"/>
    <pageSetUpPr fitToPage="1"/>
  </sheetPr>
  <dimension ref="A1:AB186"/>
  <sheetViews>
    <sheetView workbookViewId="0">
      <pane xSplit="4" ySplit="1" topLeftCell="E2" activePane="bottomRight" state="frozen"/>
      <selection pane="topRight"/>
      <selection pane="bottomLeft"/>
      <selection pane="bottomRight"/>
      <selection pane="bottomLeft"/>
      <selection pane="bottomRight" activeCell="A1" sqref="A1"/>
    </sheetView>
  </sheetViews>
  <sheetFormatPr baseColWidth="8" defaultRowHeight="15"/>
  <cols>
    <col width="8" customWidth="1" min="1" max="1"/>
    <col width="16" customWidth="1" min="2" max="2"/>
    <col width="13" customWidth="1" min="3" max="3"/>
    <col width="26" customWidth="1" min="4" max="4"/>
    <col width="34" customWidth="1" min="5" max="5"/>
    <col width="22" customWidth="1" min="6" max="6"/>
    <col width="52"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2" customWidth="1" min="20" max="20"/>
    <col width="38" customWidth="1" min="21" max="21"/>
    <col width="26" customWidth="1" min="22" max="22"/>
    <col width="30" customWidth="1" min="23" max="23"/>
    <col width="24" customWidth="1" min="24" max="24"/>
    <col width="22" customWidth="1" min="25" max="25"/>
    <col width="22" customWidth="1" min="26" max="26"/>
    <col width="11" customWidth="1" min="27" max="27"/>
    <col width="40" customWidth="1" min="28" max="28"/>
  </cols>
  <sheetData>
    <row r="1" ht="92" customHeight="1">
      <c r="A1" s="25" t="inlineStr">
        <is>
          <t>ID</t>
        </is>
      </c>
      <c r="B1" s="25" t="inlineStr">
        <is>
          <t>Domain</t>
        </is>
      </c>
      <c r="C1" s="25" t="inlineStr">
        <is>
          <t>Sub-domain</t>
        </is>
      </c>
      <c r="D1" s="25" t="inlineStr">
        <is>
          <t>Process</t>
        </is>
      </c>
      <c r="E1" s="25" t="inlineStr">
        <is>
          <t>Purpose (why the business needs it)</t>
        </is>
      </c>
      <c r="F1" s="25" t="inlineStr">
        <is>
          <t>Trigger</t>
        </is>
      </c>
      <c r="G1" s="25" t="inlineStr">
        <is>
          <t>Steps</t>
        </is>
      </c>
      <c r="H1" s="26" t="inlineStr">
        <is>
          <t>Administrator</t>
        </is>
      </c>
      <c r="I1" s="26" t="inlineStr">
        <is>
          <t>CEO</t>
        </is>
      </c>
      <c r="J1" s="26" t="inlineStr">
        <is>
          <t>CTO</t>
        </is>
      </c>
      <c r="K1" s="26" t="inlineStr">
        <is>
          <t>Project Manager</t>
        </is>
      </c>
      <c r="L1" s="26" t="inlineStr">
        <is>
          <t>HR Manager</t>
        </is>
      </c>
      <c r="M1" s="26" t="inlineStr">
        <is>
          <t>HR Executive</t>
        </is>
      </c>
      <c r="N1" s="26" t="inlineStr">
        <is>
          <t>Sales Manager</t>
        </is>
      </c>
      <c r="O1" s="26" t="inlineStr">
        <is>
          <t>Sales Executive</t>
        </is>
      </c>
      <c r="P1" s="26" t="inlineStr">
        <is>
          <t>Employee</t>
        </is>
      </c>
      <c r="Q1" s="26" t="inlineStr">
        <is>
          <t>Line manager</t>
        </is>
      </c>
      <c r="R1" s="26" t="inlineStr">
        <is>
          <t>Platform SA</t>
        </is>
      </c>
      <c r="S1" s="26" t="inlineStr">
        <is>
          <t>Client</t>
        </is>
      </c>
      <c r="T1" s="25" t="inlineStr">
        <is>
          <t>Validations &amp; business rules</t>
        </is>
      </c>
      <c r="U1" s="25" t="inlineStr">
        <is>
          <t>Data captured</t>
        </is>
      </c>
      <c r="V1" s="25" t="inlineStr">
        <is>
          <t>KPIs produced</t>
        </is>
      </c>
      <c r="W1" s="25" t="inlineStr">
        <is>
          <t>Dashboards / reports fed</t>
        </is>
      </c>
      <c r="X1" s="25" t="inlineStr">
        <is>
          <t>Notifications</t>
        </is>
      </c>
      <c r="Y1" s="25" t="inlineStr">
        <is>
          <t>Screen / route</t>
        </is>
      </c>
      <c r="Z1" s="25" t="inlineStr">
        <is>
          <t>Permission (v4)</t>
        </is>
      </c>
      <c r="AA1" s="27" t="inlineStr">
        <is>
          <t>Status</t>
        </is>
      </c>
      <c r="AB1" s="25" t="inlineStr">
        <is>
          <t>Notes / gaps</t>
        </is>
      </c>
    </row>
    <row r="2" ht="95" customHeight="1">
      <c r="A2" s="28" t="inlineStr">
        <is>
          <t>WS-01</t>
        </is>
      </c>
      <c r="B2" s="28" t="inlineStr">
        <is>
          <t>Workspace &amp; access</t>
        </is>
      </c>
      <c r="C2" s="28" t="inlineStr">
        <is>
          <t>Tenancy</t>
        </is>
      </c>
      <c r="D2" s="28" t="inlineStr">
        <is>
          <t>Company sign-up and 14-day trial</t>
        </is>
      </c>
      <c r="E2" s="28" t="inlineStr">
        <is>
          <t>Lets a new company start using SeereonOS on its own, with its own isolated workspace.</t>
        </is>
      </c>
      <c r="F2" s="28" t="inlineStr">
        <is>
          <t>A company decides to try SeereonOS</t>
        </is>
      </c>
      <c r="G2" s="28" t="inlineStr">
        <is>
          <t>1. Enter company name, your name, work email and password
2. Workspace is created with you as admin and a 14-day trial (up to 25 people)
3. Land on the onboarding checklist</t>
        </is>
      </c>
      <c r="H2" s="29" t="inlineStr">
        <is>
          <t>R</t>
        </is>
      </c>
      <c r="I2" s="29" t="inlineStr">
        <is>
          <t>I</t>
        </is>
      </c>
      <c r="J2" s="29" t="inlineStr"/>
      <c r="K2" s="29" t="inlineStr"/>
      <c r="L2" s="29" t="inlineStr"/>
      <c r="M2" s="29" t="inlineStr"/>
      <c r="N2" s="29" t="inlineStr"/>
      <c r="O2" s="29" t="inlineStr"/>
      <c r="P2" s="29" t="inlineStr"/>
      <c r="Q2" s="29" t="inlineStr"/>
      <c r="R2" s="29" t="inlineStr">
        <is>
          <t>I</t>
        </is>
      </c>
      <c r="S2" s="29" t="inlineStr"/>
      <c r="T2" s="28" t="inlineStr">
        <is>
          <t>Company and name required; valid work email; PASSWORD_WEAK (min 10 characters); USER_EMAIL_TAKEN. Trial = 14 days, 25-person cap.</t>
        </is>
      </c>
      <c r="U2" s="28" t="inlineStr">
        <is>
          <t>tenants, users, subscriptions (plan trial, status trialing)</t>
        </is>
      </c>
      <c r="V2" s="28" t="inlineStr">
        <is>
          <t>Tenant count, trials (platform)</t>
        </is>
      </c>
      <c r="W2" s="28" t="inlineStr">
        <is>
          <t>Platform tenant list</t>
        </is>
      </c>
      <c r="X2" s="28" t="inlineStr">
        <is>
          <t>NTF-11 trial ends in 3 days (catalogue only)</t>
        </is>
      </c>
      <c r="Y2" s="28" t="inlineStr">
        <is>
          <t>/signup</t>
        </is>
      </c>
      <c r="Z2" s="28" t="inlineStr">
        <is>
          <t>-</t>
        </is>
      </c>
      <c r="AA2" s="29" t="inlineStr">
        <is>
          <t>Extended</t>
        </is>
      </c>
      <c r="AB2" s="28" t="inlineStr">
        <is>
          <t>NTF-11 is defined in the spec but not raised by the product yet. v4: sign-up now provisions the nine default roles, organisation master data, the six approval workflows, system email templates and maker-checker (preselected, off) for the new workspace. The signer becomes Administrator.</t>
        </is>
      </c>
    </row>
    <row r="3" ht="56" customHeight="1">
      <c r="A3" s="28" t="inlineStr">
        <is>
          <t>WS-02</t>
        </is>
      </c>
      <c r="B3" s="28" t="inlineStr">
        <is>
          <t>Workspace &amp; access</t>
        </is>
      </c>
      <c r="C3" s="28" t="inlineStr">
        <is>
          <t>Tenancy</t>
        </is>
      </c>
      <c r="D3" s="28" t="inlineStr">
        <is>
          <t>Onboarding checklist and sample data</t>
        </is>
      </c>
      <c r="E3" s="28" t="inlineStr">
        <is>
          <t>Gets a new workspace to first value fast: rules, calendar, people, first project, first timesheet week.</t>
        </is>
      </c>
      <c r="F3" s="28" t="inlineStr">
        <is>
          <t>First login after sign-up</t>
        </is>
      </c>
      <c r="G3" s="28" t="inlineStr">
        <is>
          <t>1. Admin sees the checklist on Home: company settings, holidays, invite people, first project, first week
2. Optionally load sample data into an empty workspace
3. Dismiss or restore the checklist</t>
        </is>
      </c>
      <c r="H3" s="29" t="inlineStr">
        <is>
          <t>R</t>
        </is>
      </c>
      <c r="I3" s="29" t="inlineStr">
        <is>
          <t>I</t>
        </is>
      </c>
      <c r="J3" s="29" t="inlineStr"/>
      <c r="K3" s="29" t="inlineStr"/>
      <c r="L3" s="29" t="inlineStr">
        <is>
          <t>C</t>
        </is>
      </c>
      <c r="M3" s="29" t="inlineStr">
        <is>
          <t>I</t>
        </is>
      </c>
      <c r="N3" s="29" t="inlineStr"/>
      <c r="O3" s="29" t="inlineStr"/>
      <c r="P3" s="29" t="inlineStr"/>
      <c r="Q3" s="29" t="inlineStr"/>
      <c r="R3" s="29" t="inlineStr"/>
      <c r="S3" s="29" t="inlineStr"/>
      <c r="T3" s="28" t="inlineStr">
        <is>
          <t>SAMPLE_NOT_EMPTY: sample data loads only into an empty workspace.</t>
        </is>
      </c>
      <c r="U3" s="28" t="inlineStr">
        <is>
          <t>onboarding state per tenant</t>
        </is>
      </c>
      <c r="V3" s="28" t="inlineStr">
        <is>
          <t>Setup completion</t>
        </is>
      </c>
      <c r="W3" s="28" t="inlineStr">
        <is>
          <t>CEO Home (onboarding card)</t>
        </is>
      </c>
      <c r="X3" s="28" t="inlineStr">
        <is>
          <t>-</t>
        </is>
      </c>
      <c r="Y3" s="28" t="inlineStr">
        <is>
          <t>/home, /onboarding</t>
        </is>
      </c>
      <c r="Z3" s="28" t="inlineStr">
        <is>
          <t>master.view</t>
        </is>
      </c>
      <c r="AA3" s="29" t="inlineStr">
        <is>
          <t>Extended</t>
        </is>
      </c>
      <c r="AB3" s="28" t="inlineStr">
        <is>
          <t>v4: superseded by the Setup checklist (SET-01, /setup) - org data, roles, workflows, people, emails.</t>
        </is>
      </c>
    </row>
    <row r="4" ht="69" customHeight="1">
      <c r="A4" s="28" t="inlineStr">
        <is>
          <t>WS-03</t>
        </is>
      </c>
      <c r="B4" s="28" t="inlineStr">
        <is>
          <t>Workspace &amp; access</t>
        </is>
      </c>
      <c r="C4" s="28" t="inlineStr">
        <is>
          <t>Access</t>
        </is>
      </c>
      <c r="D4" s="28" t="inlineStr">
        <is>
          <t>Sign in, lockout and password reset</t>
        </is>
      </c>
      <c r="E4" s="28" t="inlineStr">
        <is>
          <t>Keeps accounts safe while letting people recover access themselves.</t>
        </is>
      </c>
      <c r="F4" s="28" t="inlineStr">
        <is>
          <t>Any user opens the app or forgets a password</t>
        </is>
      </c>
      <c r="G4" s="28" t="inlineStr">
        <is>
          <t>1. Sign in with email and password
2. After 5 failed attempts the account locks for 15 minutes
3. Request a reset link (always accepted, link valid 60 minutes)
4. Set a new password</t>
        </is>
      </c>
      <c r="H4" s="29" t="inlineStr">
        <is>
          <t>R</t>
        </is>
      </c>
      <c r="I4" s="29" t="inlineStr">
        <is>
          <t>R</t>
        </is>
      </c>
      <c r="J4" s="29" t="inlineStr">
        <is>
          <t>R</t>
        </is>
      </c>
      <c r="K4" s="29" t="inlineStr">
        <is>
          <t>R</t>
        </is>
      </c>
      <c r="L4" s="29" t="inlineStr">
        <is>
          <t>R</t>
        </is>
      </c>
      <c r="M4" s="29" t="inlineStr">
        <is>
          <t>R</t>
        </is>
      </c>
      <c r="N4" s="29" t="inlineStr">
        <is>
          <t>R</t>
        </is>
      </c>
      <c r="O4" s="29" t="inlineStr">
        <is>
          <t>R</t>
        </is>
      </c>
      <c r="P4" s="29" t="inlineStr">
        <is>
          <t>R</t>
        </is>
      </c>
      <c r="Q4" s="29" t="inlineStr"/>
      <c r="R4" s="29" t="inlineStr">
        <is>
          <t>R</t>
        </is>
      </c>
      <c r="S4" s="29" t="inlineStr"/>
      <c r="T4" s="28" t="inlineStr">
        <is>
          <t>LOGIN_FAILED (attempts left shown); LOGIN_LOCKED (security.lockout_attempts 5 / lockout_minutes 15); USER_DEACTIVATED; TENANT_SUSPENDED; RESET_EXPIRED; PASSWORD_WEAK (security.password_min_length 10).</t>
        </is>
      </c>
      <c r="U4" s="28" t="inlineStr">
        <is>
          <t>users.last_login_at, password reset tokens</t>
        </is>
      </c>
      <c r="V4" s="28" t="inlineStr">
        <is>
          <t>-</t>
        </is>
      </c>
      <c r="W4" s="28" t="inlineStr">
        <is>
          <t>-</t>
        </is>
      </c>
      <c r="X4" s="28" t="inlineStr">
        <is>
          <t>NTF-01 password reset (email)</t>
        </is>
      </c>
      <c r="Y4" s="28" t="inlineStr">
        <is>
          <t>/login, /reset-password</t>
        </is>
      </c>
      <c r="Z4" s="28" t="inlineStr">
        <is>
          <t>-</t>
        </is>
      </c>
      <c r="AA4" s="29" t="inlineStr">
        <is>
          <t>Extended</t>
        </is>
      </c>
      <c r="AB4" s="28" t="inlineStr">
        <is>
          <t>v4: one login for every role; screens and actions follow effective permissions (ACC-09). A temporary password forces a password change first (ACC-05, PASSWORD_CHANGE_REQUIRED).</t>
        </is>
      </c>
    </row>
    <row r="5" ht="82" customHeight="1">
      <c r="A5" s="28" t="inlineStr">
        <is>
          <t>WS-04</t>
        </is>
      </c>
      <c r="B5" s="28" t="inlineStr">
        <is>
          <t>Workspace &amp; access</t>
        </is>
      </c>
      <c r="C5" s="28" t="inlineStr">
        <is>
          <t>People</t>
        </is>
      </c>
      <c r="D5" s="28" t="inlineStr">
        <is>
          <t>Invite people (single or bulk CSV) and accept invitation</t>
        </is>
      </c>
      <c r="E5" s="28" t="inlineStr">
        <is>
          <t>Brings every employee into the system with the right role and manager from day one.</t>
        </is>
      </c>
      <c r="F5" s="28" t="inlineStr">
        <is>
          <t>New joiner, or initial roll-out</t>
        </is>
      </c>
      <c r="G5" s="28" t="inlineStr">
        <is>
          <t>1. Admin enters name, email, role and reports-to (or pastes CSV: name,email,role,reports_to_email; max 200 rows)
2. Invite link is emailed (valid 7 days); resend or revoke while pending
3. Invitee opens link, sets name and password, lands on their role dashboard</t>
        </is>
      </c>
      <c r="H5" s="29" t="inlineStr">
        <is>
          <t>R</t>
        </is>
      </c>
      <c r="I5" s="29" t="inlineStr">
        <is>
          <t>I</t>
        </is>
      </c>
      <c r="J5" s="29" t="inlineStr"/>
      <c r="K5" s="29" t="inlineStr"/>
      <c r="L5" s="30" t="inlineStr">
        <is>
          <t>A</t>
        </is>
      </c>
      <c r="M5" s="29" t="inlineStr">
        <is>
          <t>R</t>
        </is>
      </c>
      <c r="N5" s="29" t="inlineStr"/>
      <c r="O5" s="29" t="inlineStr"/>
      <c r="P5" s="29" t="inlineStr">
        <is>
          <t>R</t>
        </is>
      </c>
      <c r="Q5" s="29" t="inlineStr">
        <is>
          <t>I</t>
        </is>
      </c>
      <c r="R5" s="29" t="inlineStr"/>
      <c r="S5" s="29" t="inlineStr"/>
      <c r="T5" s="28" t="inlineStr">
        <is>
          <t>USER_EMAIL_TAKEN; SEATS_FULL (trial 25 people or paid seats); bulk import is all-or-nothing (any row error = nothing invited); INVITE_ACCEPTED (cannot revoke accepted); INVITE_EXPIRED; PASSWORD_WEAK.</t>
        </is>
      </c>
      <c r="U5" s="28" t="inlineStr">
        <is>
          <t>invites (email, name, role, reports_to_id, token, expires_at, accepted_at), users</t>
        </is>
      </c>
      <c r="V5" s="28" t="inlineStr">
        <is>
          <t>Headcount, pending invites</t>
        </is>
      </c>
      <c r="W5" s="28" t="inlineStr">
        <is>
          <t>People list; HR dashboard headcount</t>
        </is>
      </c>
      <c r="X5" s="28" t="inlineStr">
        <is>
          <t>NTF-02 invited (email)</t>
        </is>
      </c>
      <c r="Y5" s="28" t="inlineStr">
        <is>
          <t>/people, /invite/:token</t>
        </is>
      </c>
      <c r="Z5" s="28" t="inlineStr">
        <is>
          <t>R: (none); A: employees.create</t>
        </is>
      </c>
      <c r="AA5" s="29" t="inlineStr">
        <is>
          <t>Extended</t>
        </is>
      </c>
      <c r="AB5" s="28" t="inlineStr">
        <is>
          <t>Hiring a candidate creates the invite automatically (see HR-05). v4: superseded by Create employee (ACC-04) for single hires; invitations remain for bulk CSV and for hired candidates (HR-05). Gated by employees.create.</t>
        </is>
      </c>
    </row>
    <row r="6" ht="95" customHeight="1">
      <c r="A6" s="28" t="inlineStr">
        <is>
          <t>WS-05</t>
        </is>
      </c>
      <c r="B6" s="28" t="inlineStr">
        <is>
          <t>Workspace &amp; access</t>
        </is>
      </c>
      <c r="C6" s="28" t="inlineStr">
        <is>
          <t>People</t>
        </is>
      </c>
      <c r="D6" s="28" t="inlineStr">
        <is>
          <t>Roles, reporting lines and access grants</t>
        </is>
      </c>
      <c r="E6" s="28" t="inlineStr">
        <is>
          <t>Decides who sees and approves what: the reports-to line drives timesheet, leave, expense and task approvals.</t>
        </is>
      </c>
      <c r="F6" s="28" t="inlineStr">
        <is>
          <t>Joiner, promotion, team change</t>
        </is>
      </c>
      <c r="G6" s="28" t="inlineStr">
        <is>
          <t>1. Admin opens People and edits role (Admin, Project manager, Sales, HR &amp; operations, Employee), reports-to and department
2. Optionally grant "margins" (PMs) or "salaries" (PMs, HR &amp; operations)
3. Change takes effect immediately for approvals and visibility</t>
        </is>
      </c>
      <c r="H6" s="29" t="inlineStr">
        <is>
          <t>R</t>
        </is>
      </c>
      <c r="I6" s="30" t="inlineStr">
        <is>
          <t>A</t>
        </is>
      </c>
      <c r="J6" s="29" t="inlineStr">
        <is>
          <t>I</t>
        </is>
      </c>
      <c r="K6" s="29" t="inlineStr"/>
      <c r="L6" s="29" t="inlineStr">
        <is>
          <t>C</t>
        </is>
      </c>
      <c r="M6" s="29" t="inlineStr"/>
      <c r="N6" s="29" t="inlineStr"/>
      <c r="O6" s="29" t="inlineStr"/>
      <c r="P6" s="29" t="inlineStr">
        <is>
          <t>I</t>
        </is>
      </c>
      <c r="Q6" s="29" t="inlineStr">
        <is>
          <t>C</t>
        </is>
      </c>
      <c r="R6" s="29" t="inlineStr"/>
      <c r="S6" s="29" t="inlineStr"/>
      <c r="T6" s="28" t="inlineStr">
        <is>
          <t>LAST_ADMIN (at least one active admin); USER_REPORTS_LOOP (no self or circular reporting); GRANT_UNUSED warning; BR-07 approver = reports-to or active delegate; top person auto-approved.</t>
        </is>
      </c>
      <c r="U6" s="28" t="inlineStr">
        <is>
          <t>users (role, reports_to_id, department, grants)</t>
        </is>
      </c>
      <c r="V6" s="28" t="inlineStr">
        <is>
          <t>Span of control</t>
        </is>
      </c>
      <c r="W6" s="28" t="inlineStr">
        <is>
          <t>Team, Approvals inbox routing</t>
        </is>
      </c>
      <c r="X6" s="28" t="inlineStr">
        <is>
          <t>-</t>
        </is>
      </c>
      <c r="Y6" s="28" t="inlineStr">
        <is>
          <t>/people</t>
        </is>
      </c>
      <c r="Z6" s="28" t="inlineStr">
        <is>
          <t>users.manage</t>
        </is>
      </c>
      <c r="AA6" s="29" t="inlineStr">
        <is>
          <t>Extended</t>
        </is>
      </c>
      <c r="AB6" s="28" t="inlineStr">
        <is>
          <t>v4: the five hard-coded roles and grants are replaced by roles as data (ACC-01) and per-user extra / revoked permissions (ACC-03); grants "margins" / "salaries" became margins.view / cost_rates.view; LAST_ADMIN became LOCKOUT; role and access changes are maker-checked in Seereon.</t>
        </is>
      </c>
    </row>
    <row r="7" ht="69" customHeight="1">
      <c r="A7" s="28" t="inlineStr">
        <is>
          <t>WS-06</t>
        </is>
      </c>
      <c r="B7" s="28" t="inlineStr">
        <is>
          <t>Workspace &amp; access</t>
        </is>
      </c>
      <c r="C7" s="28" t="inlineStr">
        <is>
          <t>People</t>
        </is>
      </c>
      <c r="D7" s="28" t="inlineStr">
        <is>
          <t>Approval delegation (cover during leave)</t>
        </is>
      </c>
      <c r="E7" s="28" t="inlineStr">
        <is>
          <t>Approvals never stall when a manager is away.</t>
        </is>
      </c>
      <c r="F7" s="28" t="inlineStr">
        <is>
          <t>Manager goes on leave or travel</t>
        </is>
      </c>
      <c r="G7" s="28" t="inlineStr">
        <is>
          <t>1. Choose the delegate, from and to dates and a short reason
2. Delegate sees the manager's timesheet and leave approvals in their inbox for that period
3. Delete the delegation early if plans change</t>
        </is>
      </c>
      <c r="H7" s="29" t="inlineStr"/>
      <c r="I7" s="29" t="inlineStr">
        <is>
          <t>R</t>
        </is>
      </c>
      <c r="J7" s="29" t="inlineStr">
        <is>
          <t>R</t>
        </is>
      </c>
      <c r="K7" s="29" t="inlineStr">
        <is>
          <t>R</t>
        </is>
      </c>
      <c r="L7" s="29" t="inlineStr"/>
      <c r="M7" s="29" t="inlineStr"/>
      <c r="N7" s="29" t="inlineStr"/>
      <c r="O7" s="29" t="inlineStr"/>
      <c r="P7" s="29" t="inlineStr"/>
      <c r="Q7" s="29" t="inlineStr">
        <is>
          <t>R</t>
        </is>
      </c>
      <c r="R7" s="29" t="inlineStr"/>
      <c r="S7" s="29" t="inlineStr"/>
      <c r="T7" s="28" t="inlineStr">
        <is>
          <t>Admin, PM, HR &amp; operations and Sales line managers can delegate (delegations.manage). Delegate must be active and not the delegator; both dates required; end on/after start and not in the past; reason min 3 characters; DELEGATION_OVERLAP.</t>
        </is>
      </c>
      <c r="U7" s="28" t="inlineStr">
        <is>
          <t>delegations (from_user_id, to_user_id, from_on, to_on, reason)</t>
        </is>
      </c>
      <c r="V7" s="28" t="inlineStr">
        <is>
          <t>Approval KPI stays clean</t>
        </is>
      </c>
      <c r="W7" s="28" t="inlineStr">
        <is>
          <t>Approvals inbox</t>
        </is>
      </c>
      <c r="X7" s="28" t="inlineStr">
        <is>
          <t>NTF-04 copies to delegate (leave)</t>
        </is>
      </c>
      <c r="Y7" s="28" t="inlineStr">
        <is>
          <t>/settings/delegations</t>
        </is>
      </c>
      <c r="Z7" s="28" t="inlineStr">
        <is>
          <t>delegations.manage</t>
        </is>
      </c>
      <c r="AA7" s="29" t="inlineStr">
        <is>
          <t>Extended</t>
        </is>
      </c>
      <c r="AB7" s="28" t="inlineStr">
        <is>
          <t>v3 opens delegation to HR &amp; operations and Sales line managers (previously Admin and PM only).</t>
        </is>
      </c>
    </row>
    <row r="8" ht="43" customHeight="1">
      <c r="A8" s="28" t="inlineStr">
        <is>
          <t>WS-07</t>
        </is>
      </c>
      <c r="B8" s="28" t="inlineStr">
        <is>
          <t>Workspace &amp; access</t>
        </is>
      </c>
      <c r="C8" s="28" t="inlineStr">
        <is>
          <t>People</t>
        </is>
      </c>
      <c r="D8" s="28" t="inlineStr">
        <is>
          <t>View as another role</t>
        </is>
      </c>
      <c r="E8" s="28" t="inlineStr">
        <is>
          <t>Lets the CEO check exactly what each role sees before rolling out.</t>
        </is>
      </c>
      <c r="F8" s="28" t="inlineStr">
        <is>
          <t>Admin wants to verify a role view</t>
        </is>
      </c>
      <c r="G8" s="28" t="inlineStr">
        <is>
          <t>1. Admin picks "View as" a role or person
2. App shows that view with a read-only banner
3. Exit view-as to return</t>
        </is>
      </c>
      <c r="H8" s="29" t="inlineStr">
        <is>
          <t>R</t>
        </is>
      </c>
      <c r="I8" s="29" t="inlineStr">
        <is>
          <t>I</t>
        </is>
      </c>
      <c r="J8" s="29" t="inlineStr"/>
      <c r="K8" s="29" t="inlineStr"/>
      <c r="L8" s="29" t="inlineStr"/>
      <c r="M8" s="29" t="inlineStr"/>
      <c r="N8" s="29" t="inlineStr"/>
      <c r="O8" s="29" t="inlineStr"/>
      <c r="P8" s="29" t="inlineStr"/>
      <c r="Q8" s="29" t="inlineStr"/>
      <c r="R8" s="29" t="inlineStr"/>
      <c r="S8" s="29" t="inlineStr"/>
      <c r="T8" s="28" t="inlineStr">
        <is>
          <t>All writes return 403 while view-as is active (enforced by the server).</t>
        </is>
      </c>
      <c r="U8" s="28" t="inlineStr">
        <is>
          <t>-</t>
        </is>
      </c>
      <c r="V8" s="28" t="inlineStr">
        <is>
          <t>-</t>
        </is>
      </c>
      <c r="W8" s="28" t="inlineStr">
        <is>
          <t>-</t>
        </is>
      </c>
      <c r="X8" s="28" t="inlineStr">
        <is>
          <t>-</t>
        </is>
      </c>
      <c r="Y8" s="28" t="inlineStr">
        <is>
          <t>Top bar (admin)</t>
        </is>
      </c>
      <c r="Z8" s="28" t="inlineStr">
        <is>
          <t>view_as</t>
        </is>
      </c>
      <c r="AA8" s="29" t="inlineStr">
        <is>
          <t>Extended</t>
        </is>
      </c>
      <c r="AB8" s="28" t="inlineStr">
        <is>
          <t>v4: any role, including custom roles, can be previewed; needs view_as (ACC-08).</t>
        </is>
      </c>
    </row>
    <row r="9" ht="69" customHeight="1">
      <c r="A9" s="28" t="inlineStr">
        <is>
          <t>WS-08</t>
        </is>
      </c>
      <c r="B9" s="28" t="inlineStr">
        <is>
          <t>Workspace &amp; access</t>
        </is>
      </c>
      <c r="C9" s="28" t="inlineStr">
        <is>
          <t>Access</t>
        </is>
      </c>
      <c r="D9" s="28" t="inlineStr">
        <is>
          <t>Security, two-step verification and personal settings</t>
        </is>
      </c>
      <c r="E9" s="28" t="inlineStr">
        <is>
          <t>Protects admin accounts and lets each person manage their own profile and sessions.</t>
        </is>
      </c>
      <c r="F9" s="28" t="inlineStr">
        <is>
          <t>User setup or company security policy</t>
        </is>
      </c>
      <c r="G9" s="28" t="inlineStr">
        <is>
          <t>1. Turn on two-step verification (TOTP) with a 6-digit code
2. Review and end other sessions
3. Change password, profile, avatar and theme preference
4. Admin can require 2FA for admins and set company theme/logo</t>
        </is>
      </c>
      <c r="H9" s="29" t="inlineStr">
        <is>
          <t>R</t>
        </is>
      </c>
      <c r="I9" s="30" t="inlineStr">
        <is>
          <t>A</t>
        </is>
      </c>
      <c r="J9" s="29" t="inlineStr">
        <is>
          <t>R</t>
        </is>
      </c>
      <c r="K9" s="29" t="inlineStr">
        <is>
          <t>R</t>
        </is>
      </c>
      <c r="L9" s="29" t="inlineStr">
        <is>
          <t>R</t>
        </is>
      </c>
      <c r="M9" s="29" t="inlineStr">
        <is>
          <t>R</t>
        </is>
      </c>
      <c r="N9" s="29" t="inlineStr">
        <is>
          <t>R</t>
        </is>
      </c>
      <c r="O9" s="29" t="inlineStr">
        <is>
          <t>R</t>
        </is>
      </c>
      <c r="P9" s="29" t="inlineStr">
        <is>
          <t>R</t>
        </is>
      </c>
      <c r="Q9" s="29" t="inlineStr">
        <is>
          <t>R</t>
        </is>
      </c>
      <c r="R9" s="29" t="inlineStr">
        <is>
          <t>R</t>
        </is>
      </c>
      <c r="S9" s="29" t="inlineStr"/>
      <c r="T9" s="28" t="inlineStr">
        <is>
          <t>TWO_FACTOR_CODE; TWO_FACTOR_REQUIRED (security.require_2fa_admins); TWO_FACTOR_PENDING warning; PASSWORD_WRONG; session idle 60 min; logo PNG/SVG/JPG/WebP up to 1 MB (FILE_REJECTED); colours must be hex.</t>
        </is>
      </c>
      <c r="U9" s="28" t="inlineStr">
        <is>
          <t>users.two_factor, sessions, prefs, tenant.theme, logo</t>
        </is>
      </c>
      <c r="V9" s="28" t="inlineStr">
        <is>
          <t>-</t>
        </is>
      </c>
      <c r="W9" s="28" t="inlineStr">
        <is>
          <t>-</t>
        </is>
      </c>
      <c r="X9" s="28" t="inlineStr">
        <is>
          <t>-</t>
        </is>
      </c>
      <c r="Y9" s="28" t="inlineStr">
        <is>
          <t>/settings/security, /settings/profile, /settings/appearance</t>
        </is>
      </c>
      <c r="Z9" s="28" t="inlineStr">
        <is>
          <t>R: (none); A: settings.edit</t>
        </is>
      </c>
      <c r="AA9" s="29" t="inlineStr">
        <is>
          <t>Live</t>
        </is>
      </c>
      <c r="AB9" s="28" t="inlineStr">
        <is>
          <t>-</t>
        </is>
      </c>
    </row>
    <row r="10" ht="56" customHeight="1">
      <c r="A10" s="28" t="inlineStr">
        <is>
          <t>WS-09</t>
        </is>
      </c>
      <c r="B10" s="28" t="inlineStr">
        <is>
          <t>Workspace &amp; access</t>
        </is>
      </c>
      <c r="C10" s="28" t="inlineStr">
        <is>
          <t>People</t>
        </is>
      </c>
      <c r="D10" s="28" t="inlineStr">
        <is>
          <t>Deactivate or reactivate a person</t>
        </is>
      </c>
      <c r="E10" s="28" t="inlineStr">
        <is>
          <t>Removes access on exit without losing their history, hours or approvals.</t>
        </is>
      </c>
      <c r="F10" s="28" t="inlineStr">
        <is>
          <t>Exit completed, or re-joining</t>
        </is>
      </c>
      <c r="G10" s="28" t="inlineStr">
        <is>
          <t>1. Admin deactivates the person (or the exit checklist does it after the last day)
2. Their reports are flagged to be re-assigned
3. Reactivate if they return</t>
        </is>
      </c>
      <c r="H10" s="29" t="inlineStr">
        <is>
          <t>R</t>
        </is>
      </c>
      <c r="I10" s="29" t="inlineStr">
        <is>
          <t>I</t>
        </is>
      </c>
      <c r="J10" s="29" t="inlineStr"/>
      <c r="K10" s="29" t="inlineStr"/>
      <c r="L10" s="30" t="inlineStr">
        <is>
          <t>A</t>
        </is>
      </c>
      <c r="M10" s="29" t="inlineStr">
        <is>
          <t>C</t>
        </is>
      </c>
      <c r="N10" s="29" t="inlineStr"/>
      <c r="O10" s="29" t="inlineStr"/>
      <c r="P10" s="29" t="inlineStr"/>
      <c r="Q10" s="29" t="inlineStr">
        <is>
          <t>C</t>
        </is>
      </c>
      <c r="R10" s="29" t="inlineStr"/>
      <c r="S10" s="29" t="inlineStr"/>
      <c r="T10" s="28" t="inlineStr">
        <is>
          <t>LAST_ADMIN (cannot deactivate yourself or the last admin); REPORTS_ORPHANED warning; deactivated users cannot sign in (USER_DEACTIVATED).</t>
        </is>
      </c>
      <c r="U10" s="28" t="inlineStr">
        <is>
          <t>users.status</t>
        </is>
      </c>
      <c r="V10" s="28" t="inlineStr">
        <is>
          <t>Headcount, attrition</t>
        </is>
      </c>
      <c r="W10" s="28" t="inlineStr">
        <is>
          <t>HR dashboard</t>
        </is>
      </c>
      <c r="X10" s="28" t="inlineStr">
        <is>
          <t>-</t>
        </is>
      </c>
      <c r="Y10" s="28" t="inlineStr">
        <is>
          <t>/people</t>
        </is>
      </c>
      <c r="Z10" s="28" t="inlineStr">
        <is>
          <t>employees.deactivate</t>
        </is>
      </c>
      <c r="AA10" s="29" t="inlineStr">
        <is>
          <t>Extended</t>
        </is>
      </c>
      <c r="AB10" s="28" t="inlineStr">
        <is>
          <t>v4: needs employees.deactivate; PERMISSION_ESCALATION and LOCKOUT protect access administrators; maker-checked when "Employee creation &amp; deactivation" is on (ACC-07).</t>
        </is>
      </c>
    </row>
    <row r="11" ht="43" customHeight="1">
      <c r="A11" s="28" t="inlineStr">
        <is>
          <t>WS-10</t>
        </is>
      </c>
      <c r="B11" s="28" t="inlineStr">
        <is>
          <t>Workspace &amp; access</t>
        </is>
      </c>
      <c r="C11" s="28" t="inlineStr">
        <is>
          <t>Data</t>
        </is>
      </c>
      <c r="D11" s="28" t="inlineStr">
        <is>
          <t>Full data export</t>
        </is>
      </c>
      <c r="E11" s="28" t="inlineStr">
        <is>
          <t>The company owns its data and can take a complete copy at any time.</t>
        </is>
      </c>
      <c r="F11" s="28" t="inlineStr">
        <is>
          <t>Audit, backup or migration</t>
        </is>
      </c>
      <c r="G11" s="28" t="inlineStr">
        <is>
          <t>1. Admin requests an export
2. System prepares it and notifies when ready
3. Download within 24 hours</t>
        </is>
      </c>
      <c r="H11" s="29" t="inlineStr">
        <is>
          <t>R</t>
        </is>
      </c>
      <c r="I11" s="29" t="inlineStr">
        <is>
          <t>I</t>
        </is>
      </c>
      <c r="J11" s="29" t="inlineStr"/>
      <c r="K11" s="29" t="inlineStr"/>
      <c r="L11" s="29" t="inlineStr"/>
      <c r="M11" s="29" t="inlineStr"/>
      <c r="N11" s="29" t="inlineStr"/>
      <c r="O11" s="29" t="inlineStr"/>
      <c r="P11" s="29" t="inlineStr"/>
      <c r="Q11" s="29" t="inlineStr"/>
      <c r="R11" s="29" t="inlineStr"/>
      <c r="S11" s="29" t="inlineStr"/>
      <c r="T11" s="28" t="inlineStr">
        <is>
          <t>RATE_LIMITED (several exports in a minute); EXPORT_EXPIRED after 24 hours.</t>
        </is>
      </c>
      <c r="U11" s="28" t="inlineStr">
        <is>
          <t>data_exports</t>
        </is>
      </c>
      <c r="V11" s="28" t="inlineStr">
        <is>
          <t>-</t>
        </is>
      </c>
      <c r="W11" s="28" t="inlineStr">
        <is>
          <t>-</t>
        </is>
      </c>
      <c r="X11" s="28" t="inlineStr">
        <is>
          <t>NTF-17 export ready</t>
        </is>
      </c>
      <c r="Y11" s="28" t="inlineStr">
        <is>
          <t>/settings/data</t>
        </is>
      </c>
      <c r="Z11" s="28" t="inlineStr">
        <is>
          <t>data.export</t>
        </is>
      </c>
      <c r="AA11" s="29" t="inlineStr">
        <is>
          <t>Live</t>
        </is>
      </c>
      <c r="AB11" s="28" t="inlineStr">
        <is>
          <t>-</t>
        </is>
      </c>
    </row>
    <row r="12" ht="56" customHeight="1">
      <c r="A12" s="28" t="inlineStr">
        <is>
          <t>WS-11</t>
        </is>
      </c>
      <c r="B12" s="28" t="inlineStr">
        <is>
          <t>Workspace &amp; access</t>
        </is>
      </c>
      <c r="C12" s="28" t="inlineStr">
        <is>
          <t>Subscription</t>
        </is>
      </c>
      <c r="D12" s="28" t="inlineStr">
        <is>
          <t>Plan, seats and payment</t>
        </is>
      </c>
      <c r="E12" s="28" t="inlineStr">
        <is>
          <t>Pays for SeereonOS per user and keeps seats in line with headcount.</t>
        </is>
      </c>
      <c r="F12" s="28" t="inlineStr">
        <is>
          <t>Trial ending, or headcount change</t>
        </is>
      </c>
      <c r="G12" s="28" t="inlineStr">
        <is>
          <t>1. Admin compares plans (Starter Rs 399, Growth Rs 499, Scale Rs 699 per user per month + 18% GST)
2. Choose seats and pay by card or UPI (Razorpay)
3. Add seats later; download billing invoices</t>
        </is>
      </c>
      <c r="H12" s="29" t="inlineStr">
        <is>
          <t>R</t>
        </is>
      </c>
      <c r="I12" s="29" t="inlineStr">
        <is>
          <t>I</t>
        </is>
      </c>
      <c r="J12" s="29" t="inlineStr"/>
      <c r="K12" s="29" t="inlineStr"/>
      <c r="L12" s="29" t="inlineStr"/>
      <c r="M12" s="29" t="inlineStr"/>
      <c r="N12" s="29" t="inlineStr"/>
      <c r="O12" s="29" t="inlineStr"/>
      <c r="P12" s="29" t="inlineStr"/>
      <c r="Q12" s="29" t="inlineStr"/>
      <c r="R12" s="29" t="inlineStr">
        <is>
          <t>I</t>
        </is>
      </c>
      <c r="S12" s="29" t="inlineStr"/>
      <c r="T12" s="28" t="inlineStr">
        <is>
          <t>SEATS_BELOW_USAGE (seats cannot be below people + pending invites); PLAN_LIMIT; PAYMENT_FAILED; read-only tenant can open Billing only, everything else returns 402 TENANT_READ_ONLY.</t>
        </is>
      </c>
      <c r="U12" s="28" t="inlineStr">
        <is>
          <t>subscriptions, billing_invoices</t>
        </is>
      </c>
      <c r="V12" s="28" t="inlineStr">
        <is>
          <t>Seat usage</t>
        </is>
      </c>
      <c r="W12" s="28" t="inlineStr">
        <is>
          <t>Billing</t>
        </is>
      </c>
      <c r="X12" s="28" t="inlineStr">
        <is>
          <t>NTF-16 payment failed</t>
        </is>
      </c>
      <c r="Y12" s="28" t="inlineStr">
        <is>
          <t>/billing</t>
        </is>
      </c>
      <c r="Z12" s="28" t="inlineStr">
        <is>
          <t>billing.manage</t>
        </is>
      </c>
      <c r="AA12" s="29" t="inlineStr">
        <is>
          <t>Live</t>
        </is>
      </c>
      <c r="AB12" s="28" t="inlineStr">
        <is>
          <t>-</t>
        </is>
      </c>
    </row>
    <row r="13" ht="56" customHeight="1">
      <c r="A13" s="28" t="inlineStr">
        <is>
          <t>WS-12</t>
        </is>
      </c>
      <c r="B13" s="28" t="inlineStr">
        <is>
          <t>Workspace &amp; access</t>
        </is>
      </c>
      <c r="C13" s="28" t="inlineStr">
        <is>
          <t>Platform</t>
        </is>
      </c>
      <c r="D13" s="28" t="inlineStr">
        <is>
          <t>Platform tenant administration</t>
        </is>
      </c>
      <c r="E13" s="28" t="inlineStr">
        <is>
          <t>Lets SeereonOS operations support customers without ever seeing their business data.</t>
        </is>
      </c>
      <c r="F13" s="28" t="inlineStr">
        <is>
          <t>Support request, trial extension, non-payment</t>
        </is>
      </c>
      <c r="G13" s="28" t="inlineStr">
        <is>
          <t>1. Platform admin opens the tenant list
2. Extend a trial by 1-30 days, suspend or reactivate with a reason
3. Every action is audited</t>
        </is>
      </c>
      <c r="H13" s="29" t="inlineStr"/>
      <c r="I13" s="29" t="inlineStr"/>
      <c r="J13" s="29" t="inlineStr"/>
      <c r="K13" s="29" t="inlineStr"/>
      <c r="L13" s="29" t="inlineStr"/>
      <c r="M13" s="29" t="inlineStr"/>
      <c r="N13" s="29" t="inlineStr"/>
      <c r="O13" s="29" t="inlineStr"/>
      <c r="P13" s="29" t="inlineStr"/>
      <c r="Q13" s="29" t="inlineStr"/>
      <c r="R13" s="29" t="inlineStr">
        <is>
          <t>R</t>
        </is>
      </c>
      <c r="S13" s="29" t="inlineStr"/>
      <c r="T13" s="28" t="inlineStr">
        <is>
          <t>Reason min 5 characters (audited); extend 1-30 days; TENANT_ACTIVE (paid tenants have no trial); TENANT_SUSPENDED.</t>
        </is>
      </c>
      <c r="U13" s="28" t="inlineStr">
        <is>
          <t>tenants.status, trial_ends_on</t>
        </is>
      </c>
      <c r="V13" s="28" t="inlineStr">
        <is>
          <t>Active tenants, trials</t>
        </is>
      </c>
      <c r="W13" s="28" t="inlineStr">
        <is>
          <t>Platform tenant list</t>
        </is>
      </c>
      <c r="X13" s="28" t="inlineStr">
        <is>
          <t>-</t>
        </is>
      </c>
      <c r="Y13" s="28" t="inlineStr">
        <is>
          <t>/admin</t>
        </is>
      </c>
      <c r="Z13" s="28" t="inlineStr">
        <is>
          <t>-</t>
        </is>
      </c>
      <c r="AA13" s="29" t="inlineStr">
        <is>
          <t>Live</t>
        </is>
      </c>
      <c r="AB13" s="28" t="inlineStr">
        <is>
          <t>-</t>
        </is>
      </c>
    </row>
    <row r="14" ht="69" customHeight="1">
      <c r="A14" s="28" t="inlineStr">
        <is>
          <t>WS-13</t>
        </is>
      </c>
      <c r="B14" s="28" t="inlineStr">
        <is>
          <t>Workspace &amp; access</t>
        </is>
      </c>
      <c r="C14" s="28" t="inlineStr">
        <is>
          <t>Access</t>
        </is>
      </c>
      <c r="D14" s="28" t="inlineStr">
        <is>
          <t>Single sign-on and custom roles</t>
        </is>
      </c>
      <c r="E14" s="28" t="inlineStr">
        <is>
          <t>Larger customers expect Google / Microsoft login and roles beyond the five built-in ones.</t>
        </is>
      </c>
      <c r="F14" s="28" t="inlineStr">
        <is>
          <t>Enterprise customer onboarding</t>
        </is>
      </c>
      <c r="G14" s="28" t="inlineStr">
        <is>
          <t>1. Admin connects Google Workspace or Microsoft Entra ID
2. People sign in with company accounts; password login optional
3. Admin clones a built-in role and adjusts permissions</t>
        </is>
      </c>
      <c r="H14" s="29" t="inlineStr">
        <is>
          <t>R</t>
        </is>
      </c>
      <c r="I14" s="29" t="inlineStr">
        <is>
          <t>I</t>
        </is>
      </c>
      <c r="J14" s="29" t="inlineStr"/>
      <c r="K14" s="29" t="inlineStr"/>
      <c r="L14" s="29" t="inlineStr">
        <is>
          <t>C</t>
        </is>
      </c>
      <c r="M14" s="29" t="inlineStr">
        <is>
          <t>I</t>
        </is>
      </c>
      <c r="N14" s="29" t="inlineStr"/>
      <c r="O14" s="29" t="inlineStr"/>
      <c r="P14" s="29" t="inlineStr">
        <is>
          <t>I</t>
        </is>
      </c>
      <c r="Q14" s="29" t="inlineStr"/>
      <c r="R14" s="29" t="inlineStr">
        <is>
          <t>C</t>
        </is>
      </c>
      <c r="S14" s="29" t="inlineStr"/>
      <c r="T14" s="28" t="inlineStr">
        <is>
          <t>-</t>
        </is>
      </c>
      <c r="U14" s="28" t="inlineStr">
        <is>
          <t>-</t>
        </is>
      </c>
      <c r="V14" s="28" t="inlineStr">
        <is>
          <t>-</t>
        </is>
      </c>
      <c r="W14" s="28" t="inlineStr">
        <is>
          <t>-</t>
        </is>
      </c>
      <c r="X14" s="28" t="inlineStr">
        <is>
          <t>-</t>
        </is>
      </c>
      <c r="Y14" s="28" t="inlineStr">
        <is>
          <t>-</t>
        </is>
      </c>
      <c r="Z14" s="28" t="inlineStr">
        <is>
          <t>- (planned)</t>
        </is>
      </c>
      <c r="AA14" s="29" t="inlineStr">
        <is>
          <t>Planned</t>
        </is>
      </c>
      <c r="AB14" s="28" t="inlineStr">
        <is>
          <t>Recommendation: add Google/Microsoft SSO first (most Indian IT firms use Google Workspace); custom roles after (spec future scope). v4: custom roles are delivered (ACC-01, ACC-02). Recommendation stands for Google / Microsoft SSO.</t>
        </is>
      </c>
    </row>
    <row r="15" ht="69" customHeight="1">
      <c r="A15" s="28" t="inlineStr">
        <is>
          <t>ORG-01</t>
        </is>
      </c>
      <c r="B15" s="28" t="inlineStr">
        <is>
          <t>Organisation &amp; master data</t>
        </is>
      </c>
      <c r="C15" s="28" t="inlineStr">
        <is>
          <t>Company rules</t>
        </is>
      </c>
      <c r="D15" s="28" t="inlineStr">
        <is>
          <t>Company rules and settings</t>
        </is>
      </c>
      <c r="E15" s="28" t="inlineStr">
        <is>
          <t>Sets the rules every calculation uses: working hours, approval SLA, margin floor, pay rules, security.</t>
        </is>
      </c>
      <c r="F15" s="28" t="inlineStr">
        <is>
          <t>Set-up, or a policy change</t>
        </is>
      </c>
      <c r="G15" s="28" t="inlineStr">
        <is>
          <t>1. Admin opens Company settings
2. Edit company name, time zone, FY start, weekly off, Saturday rule, min/max hours, timesheet step, SLA, margin floor, stale-deal days, pay rules, AI on/off
3. Save (each setting shows its effect inline)</t>
        </is>
      </c>
      <c r="H15" s="29" t="inlineStr">
        <is>
          <t>R</t>
        </is>
      </c>
      <c r="I15" s="29" t="inlineStr">
        <is>
          <t>I</t>
        </is>
      </c>
      <c r="J15" s="29" t="inlineStr">
        <is>
          <t>C</t>
        </is>
      </c>
      <c r="K15" s="29" t="inlineStr">
        <is>
          <t>C</t>
        </is>
      </c>
      <c r="L15" s="29" t="inlineStr">
        <is>
          <t>C</t>
        </is>
      </c>
      <c r="M15" s="29" t="inlineStr">
        <is>
          <t>I</t>
        </is>
      </c>
      <c r="N15" s="29" t="inlineStr"/>
      <c r="O15" s="29" t="inlineStr"/>
      <c r="P15" s="29" t="inlineStr"/>
      <c r="Q15" s="29" t="inlineStr"/>
      <c r="R15" s="29" t="inlineStr"/>
      <c r="S15" s="29" t="inlineStr"/>
      <c r="T15" s="28" t="inlineStr">
        <is>
          <t>Every setting has a fixed range (e.g. min hours 1-12, SLA 1-10 days, variable 0-50%); max hours &gt;= min hours; Saturdays off must be 1st-5th; STALE if someone else saved first.</t>
        </is>
      </c>
      <c r="U15" s="28" t="inlineStr">
        <is>
          <t>tenant.settings (calendar.*, timesheet.*, approval.*, pay.*, projects.*, allocation.*, sales.*, security.*, ai.enabled)</t>
        </is>
      </c>
      <c r="V15" s="28" t="inlineStr">
        <is>
          <t>Drives all KPIs</t>
        </is>
      </c>
      <c r="W15" s="28" t="inlineStr">
        <is>
          <t>All</t>
        </is>
      </c>
      <c r="X15" s="28" t="inlineStr">
        <is>
          <t>-</t>
        </is>
      </c>
      <c r="Y15" s="28" t="inlineStr">
        <is>
          <t>/settings/company</t>
        </is>
      </c>
      <c r="Z15" s="28" t="inlineStr">
        <is>
          <t>settings.edit</t>
        </is>
      </c>
      <c r="AA15" s="29" t="inlineStr">
        <is>
          <t>Extended</t>
        </is>
      </c>
      <c r="AB15" s="28" t="inlineStr">
        <is>
          <t>v4: "Company settings" is listed as a maker-checker change type, but saving company settings applies directly in this build (not routed through propose).</t>
        </is>
      </c>
    </row>
    <row r="16" ht="69" customHeight="1">
      <c r="A16" s="28" t="inlineStr">
        <is>
          <t>ORG-02</t>
        </is>
      </c>
      <c r="B16" s="28" t="inlineStr">
        <is>
          <t>Organisation &amp; master data</t>
        </is>
      </c>
      <c r="C16" s="28" t="inlineStr">
        <is>
          <t>Calendar</t>
        </is>
      </c>
      <c r="D16" s="28" t="inlineStr">
        <is>
          <t>Working calendar and holidays</t>
        </is>
      </c>
      <c r="E16" s="28" t="inlineStr">
        <is>
          <t>Defines working days, which drive costs, SLAs, timeliness, leave and pay.</t>
        </is>
      </c>
      <c r="F16" s="28" t="inlineStr">
        <is>
          <t>Start of year, or a new holiday announced</t>
        </is>
      </c>
      <c r="G16" s="28" t="inlineStr">
        <is>
          <t>1. Admin adds holidays one by one or imports CSV (date,name[,optional])
2. Edit or delete a holiday
3. Calendar applies to timesheets, SLA, payroll and task timeliness</t>
        </is>
      </c>
      <c r="H16" s="29" t="inlineStr">
        <is>
          <t>R</t>
        </is>
      </c>
      <c r="I16" s="29" t="inlineStr">
        <is>
          <t>I</t>
        </is>
      </c>
      <c r="J16" s="29" t="inlineStr"/>
      <c r="K16" s="29" t="inlineStr"/>
      <c r="L16" s="29" t="inlineStr">
        <is>
          <t>R</t>
        </is>
      </c>
      <c r="M16" s="29" t="inlineStr">
        <is>
          <t>I</t>
        </is>
      </c>
      <c r="N16" s="29" t="inlineStr"/>
      <c r="O16" s="29" t="inlineStr"/>
      <c r="P16" s="29" t="inlineStr">
        <is>
          <t>I</t>
        </is>
      </c>
      <c r="Q16" s="29" t="inlineStr"/>
      <c r="R16" s="29" t="inlineStr"/>
      <c r="S16" s="29" t="inlineStr"/>
      <c r="T16" s="28" t="inlineStr">
        <is>
          <t>BR-01 working day = not weekly off, not holiday, not approved leave; BR-02 Sunday off, Saturday rule; HOLIDAY_EXISTS; CSV import all-or-nothing; PAYROLL_FINAL warning if month already paid.</t>
        </is>
      </c>
      <c r="U16" s="28" t="inlineStr">
        <is>
          <t>holidays (date, name, optional)</t>
        </is>
      </c>
      <c r="V16" s="28" t="inlineStr">
        <is>
          <t>Working days per month</t>
        </is>
      </c>
      <c r="W16" s="28" t="inlineStr">
        <is>
          <t>Timesheet, Leave, Payroll</t>
        </is>
      </c>
      <c r="X16" s="28" t="inlineStr">
        <is>
          <t>-</t>
        </is>
      </c>
      <c r="Y16" s="28" t="inlineStr">
        <is>
          <t>/settings/holidays</t>
        </is>
      </c>
      <c r="Z16" s="28" t="inlineStr">
        <is>
          <t>holidays.edit</t>
        </is>
      </c>
      <c r="AA16" s="29" t="inlineStr">
        <is>
          <t>Extended</t>
        </is>
      </c>
      <c r="AB16" s="28" t="inlineStr">
        <is>
          <t>One calendar per company; location-wise calendars are future scope. v4: HR Manager can maintain holidays (holidays.edit).</t>
        </is>
      </c>
    </row>
    <row r="17" ht="108" customHeight="1">
      <c r="A17" s="28" t="inlineStr">
        <is>
          <t>ORG-03</t>
        </is>
      </c>
      <c r="B17" s="28" t="inlineStr">
        <is>
          <t>Organisation &amp; master data</t>
        </is>
      </c>
      <c r="C17" s="28" t="inlineStr">
        <is>
          <t>Cost</t>
        </is>
      </c>
      <c r="D17" s="28" t="inlineStr">
        <is>
          <t>Cost rates (CTC history)</t>
        </is>
      </c>
      <c r="E17" s="28" t="inlineStr">
        <is>
          <t>Turns every approved hour into cost, so project margins and payroll are exact.</t>
        </is>
      </c>
      <c r="F17" s="28" t="inlineStr">
        <is>
          <t>Joining, increment (auto-created when an appraisal with an increment is completed), or correction</t>
        </is>
      </c>
      <c r="G17" s="28" t="inlineStr">
        <is>
          <t>1. Admin adds a rate: monthly CTC, variable %, sales target, effective-from
2. History is append-only; the rate valid on each work date is used
3. Future rates can be removed</t>
        </is>
      </c>
      <c r="H17" s="29" t="inlineStr">
        <is>
          <t>C</t>
        </is>
      </c>
      <c r="I17" s="30" t="inlineStr">
        <is>
          <t>A</t>
        </is>
      </c>
      <c r="J17" s="29" t="inlineStr"/>
      <c r="K17" s="29" t="inlineStr"/>
      <c r="L17" s="29" t="inlineStr">
        <is>
          <t>C</t>
        </is>
      </c>
      <c r="M17" s="29" t="inlineStr"/>
      <c r="N17" s="29" t="inlineStr"/>
      <c r="O17" s="29" t="inlineStr"/>
      <c r="P17" s="29" t="inlineStr"/>
      <c r="Q17" s="29" t="inlineStr"/>
      <c r="R17" s="29" t="inlineStr"/>
      <c r="S17" s="29" t="inlineStr"/>
      <c r="T17" s="28" t="inlineStr">
        <is>
          <t>BR-23 cost/hour = monthly CTC / (working days x min hours); MONEY_INVALID; variable 0-50%; RATE_PERIOD_LOCKED (month already paid, or not after latest); RATE_EXISTS; RATE_BACKDATED warning.</t>
        </is>
      </c>
      <c r="U17" s="28" t="inlineStr">
        <is>
          <t>cost_rates (user_id, monthly_ctc_paise, variable_pct, sales_target_paise, effective_from)</t>
        </is>
      </c>
      <c r="V17" s="28" t="inlineStr">
        <is>
          <t>Cost per hour, project cost, margin</t>
        </is>
      </c>
      <c r="W17" s="28" t="inlineStr">
        <is>
          <t>Project money tab, P&amp;L, Payroll</t>
        </is>
      </c>
      <c r="X17" s="28" t="inlineStr">
        <is>
          <t>-</t>
        </is>
      </c>
      <c r="Y17" s="28" t="inlineStr">
        <is>
          <t>/settings/cost-rates</t>
        </is>
      </c>
      <c r="Z17" s="28" t="inlineStr">
        <is>
          <t>cost_rates.edit</t>
        </is>
      </c>
      <c r="AA17" s="29" t="inlineStr">
        <is>
          <t>Extended</t>
        </is>
      </c>
      <c r="AB17" s="28" t="inlineStr">
        <is>
          <t>v4: visible to holders of cost_rates.view (CEO, Administrator, HR Manager by default). Salary / cost-rate changes are maker-checked in Seereon (entity cost_rate, needs cost_rates.edit). Only CEO and Administrator hold cost_rates.edit, so one proposes and the other checks. Create employee can carry a CTC (CTC_NEEDS_APPROVAL when salaries are checked).</t>
        </is>
      </c>
    </row>
    <row r="18" ht="56" customHeight="1">
      <c r="A18" s="28" t="inlineStr">
        <is>
          <t>ORG-04</t>
        </is>
      </c>
      <c r="B18" s="28" t="inlineStr">
        <is>
          <t>Organisation &amp; master data</t>
        </is>
      </c>
      <c r="C18" s="28" t="inlineStr">
        <is>
          <t>Vendors</t>
        </is>
      </c>
      <c r="D18" s="28" t="inlineStr">
        <is>
          <t>Vendor master (onboard, block, unblock)</t>
        </is>
      </c>
      <c r="E18" s="28" t="inlineStr">
        <is>
          <t>One verified list of suppliers so purchases and bills are clean and GST-compliant.</t>
        </is>
      </c>
      <c r="F18" s="28" t="inlineStr">
        <is>
          <t>New supplier, or a supplier problem</t>
        </is>
      </c>
      <c r="G18" s="28" t="inlineStr">
        <is>
          <t>1. Admin / HR &amp; operations adds vendor: name, category, GSTIN, PAN, contact, payment terms
2. Block a vendor with a reason; unblock when resolved
3. Blocked vendors cannot get new POs</t>
        </is>
      </c>
      <c r="H18" s="29" t="inlineStr"/>
      <c r="I18" s="30" t="inlineStr">
        <is>
          <t>A</t>
        </is>
      </c>
      <c r="J18" s="29" t="inlineStr"/>
      <c r="K18" s="29" t="inlineStr"/>
      <c r="L18" s="29" t="inlineStr">
        <is>
          <t>R</t>
        </is>
      </c>
      <c r="M18" s="29" t="inlineStr">
        <is>
          <t>I</t>
        </is>
      </c>
      <c r="N18" s="29" t="inlineStr"/>
      <c r="O18" s="29" t="inlineStr"/>
      <c r="P18" s="29" t="inlineStr"/>
      <c r="Q18" s="29" t="inlineStr"/>
      <c r="R18" s="29" t="inlineStr"/>
      <c r="S18" s="29" t="inlineStr"/>
      <c r="T18" s="28" t="inlineStr">
        <is>
          <t>DUPLICATE_VENDOR; VAL_GSTIN (15 characters, valid structure); VAL_PAN (10 characters, must match GSTIN chars 3-12); payment terms 0-180 days; block reason min 5 characters.</t>
        </is>
      </c>
      <c r="U18" s="28" t="inlineStr">
        <is>
          <t>vendors (name, category, gstin, pan, contact, payment_terms_days, status)</t>
        </is>
      </c>
      <c r="V18" s="28" t="inlineStr">
        <is>
          <t>Vendor count, spend by vendor</t>
        </is>
      </c>
      <c r="W18" s="28" t="inlineStr">
        <is>
          <t>Purchases &amp; vendors</t>
        </is>
      </c>
      <c r="X18" s="28" t="inlineStr">
        <is>
          <t>-</t>
        </is>
      </c>
      <c r="Y18" s="28" t="inlineStr">
        <is>
          <t>/purchases (Vendors tab)</t>
        </is>
      </c>
      <c r="Z18" s="28" t="inlineStr">
        <is>
          <t>procurement.manage</t>
        </is>
      </c>
      <c r="AA18" s="29" t="inlineStr">
        <is>
          <t>Extended</t>
        </is>
      </c>
      <c r="AB18" s="28" t="inlineStr">
        <is>
          <t>New in v3. v4: adding a vendor, or changing its tax or bank details, is maker-checked in Seereon (entity vendor, needs procurement.manage); other vendor edits apply directly.</t>
        </is>
      </c>
    </row>
    <row r="19" ht="69" customHeight="1">
      <c r="A19" s="28" t="inlineStr">
        <is>
          <t>ORG-05</t>
        </is>
      </c>
      <c r="B19" s="28" t="inlineStr">
        <is>
          <t>Organisation &amp; master data</t>
        </is>
      </c>
      <c r="C19" s="28" t="inlineStr">
        <is>
          <t>Catalogues</t>
        </is>
      </c>
      <c r="D19" s="28" t="inlineStr">
        <is>
          <t>Product, category and service catalogue maintenance</t>
        </is>
      </c>
      <c r="E19" s="28" t="inlineStr">
        <is>
          <t>Lets each company define its own products, ledger categories and ops categories.</t>
        </is>
      </c>
      <c r="F19" s="28" t="inlineStr">
        <is>
          <t>New product launch or new cost head</t>
        </is>
      </c>
      <c r="G19" s="28" t="inlineStr">
        <is>
          <t>1. Admin edits products used in Sales, ledger income/expense categories and ops areas
2. Retire old entries without breaking history</t>
        </is>
      </c>
      <c r="H19" s="29" t="inlineStr">
        <is>
          <t>R</t>
        </is>
      </c>
      <c r="I19" s="29" t="inlineStr">
        <is>
          <t>I</t>
        </is>
      </c>
      <c r="J19" s="29" t="inlineStr"/>
      <c r="K19" s="29" t="inlineStr"/>
      <c r="L19" s="29" t="inlineStr">
        <is>
          <t>C</t>
        </is>
      </c>
      <c r="M19" s="29" t="inlineStr">
        <is>
          <t>I</t>
        </is>
      </c>
      <c r="N19" s="29" t="inlineStr">
        <is>
          <t>C</t>
        </is>
      </c>
      <c r="O19" s="29" t="inlineStr">
        <is>
          <t>C</t>
        </is>
      </c>
      <c r="P19" s="29" t="inlineStr"/>
      <c r="Q19" s="29" t="inlineStr"/>
      <c r="R19" s="29" t="inlineStr"/>
      <c r="S19" s="29" t="inlineStr"/>
      <c r="T19" s="28" t="inlineStr">
        <is>
          <t>-</t>
        </is>
      </c>
      <c r="U19" s="28" t="inlineStr">
        <is>
          <t>-</t>
        </is>
      </c>
      <c r="V19" s="28" t="inlineStr">
        <is>
          <t>-</t>
        </is>
      </c>
      <c r="W19" s="28" t="inlineStr">
        <is>
          <t>-</t>
        </is>
      </c>
      <c r="X19" s="28" t="inlineStr">
        <is>
          <t>-</t>
        </is>
      </c>
      <c r="Y19" s="28" t="inlineStr">
        <is>
          <t>-</t>
        </is>
      </c>
      <c r="Z19" s="28" t="inlineStr">
        <is>
          <t>- (planned)</t>
        </is>
      </c>
      <c r="AA19" s="29" t="inlineStr">
        <is>
          <t>Planned</t>
        </is>
      </c>
      <c r="AB19" s="28" t="inlineStr">
        <is>
          <t>Today products (EduReon, SeerHR, LeadSync, Munim AI, MineReon, SAP consulting, Custom software) and categories are fixed in code. Recommendation: make them tenant-editable (spec F-SET-03).</t>
        </is>
      </c>
    </row>
    <row r="20" ht="56" customHeight="1">
      <c r="A20" s="28" t="inlineStr">
        <is>
          <t>ORG-06</t>
        </is>
      </c>
      <c r="B20" s="28" t="inlineStr">
        <is>
          <t>Organisation &amp; master data</t>
        </is>
      </c>
      <c r="C20" s="28" t="inlineStr">
        <is>
          <t>Entities</t>
        </is>
      </c>
      <c r="D20" s="28" t="inlineStr">
        <is>
          <t>Multi-entity and multi-currency</t>
        </is>
      </c>
      <c r="E20" s="28" t="inlineStr">
        <is>
          <t>Needed once Seereon bills overseas clients (AlUla, ZooPlus) in USD/SAR/EUR or opens a second legal entity.</t>
        </is>
      </c>
      <c r="F20" s="28" t="inlineStr">
        <is>
          <t>Foreign client or new entity</t>
        </is>
      </c>
      <c r="G20" s="28" t="inlineStr">
        <is>
          <t>1. Define legal entities with their own GSTIN and books
2. Record invoices and payments in client currency with an exchange rate
3. Consolidate P&amp;L in INR</t>
        </is>
      </c>
      <c r="H20" s="29" t="inlineStr"/>
      <c r="I20" s="30" t="inlineStr">
        <is>
          <t>A</t>
        </is>
      </c>
      <c r="J20" s="29" t="inlineStr"/>
      <c r="K20" s="29" t="inlineStr"/>
      <c r="L20" s="29" t="inlineStr"/>
      <c r="M20" s="29" t="inlineStr"/>
      <c r="N20" s="29" t="inlineStr">
        <is>
          <t>C</t>
        </is>
      </c>
      <c r="O20" s="29" t="inlineStr">
        <is>
          <t>C</t>
        </is>
      </c>
      <c r="P20" s="29" t="inlineStr"/>
      <c r="Q20" s="29" t="inlineStr"/>
      <c r="R20" s="29" t="inlineStr"/>
      <c r="S20" s="29" t="inlineStr"/>
      <c r="T20" s="28" t="inlineStr">
        <is>
          <t>-</t>
        </is>
      </c>
      <c r="U20" s="28" t="inlineStr">
        <is>
          <t>-</t>
        </is>
      </c>
      <c r="V20" s="28" t="inlineStr">
        <is>
          <t>-</t>
        </is>
      </c>
      <c r="W20" s="28" t="inlineStr">
        <is>
          <t>-</t>
        </is>
      </c>
      <c r="X20" s="28" t="inlineStr">
        <is>
          <t>-</t>
        </is>
      </c>
      <c r="Y20" s="28" t="inlineStr">
        <is>
          <t>-</t>
        </is>
      </c>
      <c r="Z20" s="28" t="inlineStr">
        <is>
          <t>- (planned)</t>
        </is>
      </c>
      <c r="AA20" s="29" t="inlineStr">
        <is>
          <t>Planned</t>
        </is>
      </c>
      <c r="AB20" s="28" t="inlineStr">
        <is>
          <t>Recommendation: start with currency on invoice + realised FX gain/loss; full multi-entity later (debt TD-A06).</t>
        </is>
      </c>
    </row>
    <row r="21" ht="56" customHeight="1">
      <c r="A21" s="28" t="inlineStr">
        <is>
          <t>SAL-01</t>
        </is>
      </c>
      <c r="B21" s="28" t="inlineStr">
        <is>
          <t>Sales &amp; CRM</t>
        </is>
      </c>
      <c r="C21" s="28" t="inlineStr">
        <is>
          <t>Pipeline</t>
        </is>
      </c>
      <c r="D21" s="28" t="inlineStr">
        <is>
          <t>Lead capture</t>
        </is>
      </c>
      <c r="E21" s="28" t="inlineStr">
        <is>
          <t>Every opportunity is recorded with a value and an owner, so the pipeline is real.</t>
        </is>
      </c>
      <c r="F21" s="28" t="inlineStr">
        <is>
          <t>Enquiry, referral (e.g. BNI), event, cold call</t>
        </is>
      </c>
      <c r="G21" s="28" t="inlineStr">
        <is>
          <t>1. Sales creates a deal: title, client, contact, product, source, value, MRR, expected close, owner
2. Deal starts in an open stage (Lead)
3. Client record is created automatically if new</t>
        </is>
      </c>
      <c r="H21" s="29" t="inlineStr"/>
      <c r="I21" s="29" t="inlineStr">
        <is>
          <t>I</t>
        </is>
      </c>
      <c r="J21" s="29" t="inlineStr"/>
      <c r="K21" s="29" t="inlineStr"/>
      <c r="L21" s="29" t="inlineStr"/>
      <c r="M21" s="29" t="inlineStr"/>
      <c r="N21" s="30" t="inlineStr">
        <is>
          <t>A</t>
        </is>
      </c>
      <c r="O21" s="29" t="inlineStr">
        <is>
          <t>R</t>
        </is>
      </c>
      <c r="P21" s="29" t="inlineStr"/>
      <c r="Q21" s="29" t="inlineStr"/>
      <c r="R21" s="29" t="inlineStr"/>
      <c r="S21" s="29" t="inlineStr"/>
      <c r="T21" s="28" t="inlineStr">
        <is>
          <t>Required fields; MONEY_INVALID (value &gt;= 0); source and product from list; owner must be Sales or Admin; DEAL_STAGE (a new lead cannot start Won/Lost).</t>
        </is>
      </c>
      <c r="U21" s="28" t="inlineStr">
        <is>
          <t>deals (title, client, contact, phone, email, product, source, owner_id, stage, value_paise, mrr_paise, expected_close)</t>
        </is>
      </c>
      <c r="V21" s="28" t="inlineStr">
        <is>
          <t>Open value, new leads per week</t>
        </is>
      </c>
      <c r="W21" s="28" t="inlineStr">
        <is>
          <t>Sales Home, CEO Home, Scorecard (new leads)</t>
        </is>
      </c>
      <c r="X21" s="28" t="inlineStr">
        <is>
          <t>-</t>
        </is>
      </c>
      <c r="Y21" s="28" t="inlineStr">
        <is>
          <t>/sales</t>
        </is>
      </c>
      <c r="Z21" s="28" t="inlineStr">
        <is>
          <t>deals.edit_own</t>
        </is>
      </c>
      <c r="AA21" s="29" t="inlineStr">
        <is>
          <t>Live</t>
        </is>
      </c>
      <c r="AB21" s="28" t="inlineStr">
        <is>
          <t>-</t>
        </is>
      </c>
    </row>
    <row r="22" ht="56" customHeight="1">
      <c r="A22" s="28" t="inlineStr">
        <is>
          <t>SAL-02</t>
        </is>
      </c>
      <c r="B22" s="28" t="inlineStr">
        <is>
          <t>Sales &amp; CRM</t>
        </is>
      </c>
      <c r="C22" s="28" t="inlineStr">
        <is>
          <t>Pipeline</t>
        </is>
      </c>
      <c r="D22" s="28" t="inlineStr">
        <is>
          <t>Qualification, demo, proposal and negotiation</t>
        </is>
      </c>
      <c r="E22" s="28" t="inlineStr">
        <is>
          <t>Moves deals through clear stages with a probability, so the forecast is weighted and honest.</t>
        </is>
      </c>
      <c r="F22" s="28" t="inlineStr">
        <is>
          <t>Deal progresses</t>
        </is>
      </c>
      <c r="G22" s="28" t="inlineStr">
        <is>
          <t>1. Drag the deal on the kanban: Lead (10%) &gt; Qualified (20%) &gt; Demo (35%) &gt; Proposal (50%) &gt; Negotiation (70%)
2. Set the next step and date
3. Stage history is kept automatically</t>
        </is>
      </c>
      <c r="H22" s="29" t="inlineStr"/>
      <c r="I22" s="29" t="inlineStr">
        <is>
          <t>I</t>
        </is>
      </c>
      <c r="J22" s="29" t="inlineStr"/>
      <c r="K22" s="29" t="inlineStr"/>
      <c r="L22" s="29" t="inlineStr"/>
      <c r="M22" s="29" t="inlineStr"/>
      <c r="N22" s="30" t="inlineStr">
        <is>
          <t>A</t>
        </is>
      </c>
      <c r="O22" s="29" t="inlineStr">
        <is>
          <t>R</t>
        </is>
      </c>
      <c r="P22" s="29" t="inlineStr"/>
      <c r="Q22" s="29" t="inlineStr"/>
      <c r="R22" s="29" t="inlineStr"/>
      <c r="S22" s="29" t="inlineStr">
        <is>
          <t>C</t>
        </is>
      </c>
      <c r="T22" s="28" t="inlineStr">
        <is>
          <t>DEAL_STAGE (valid stage); closed deals cannot be edited except by Admin.</t>
        </is>
      </c>
      <c r="U22" s="28" t="inlineStr">
        <is>
          <t>deals.stage, next_step_on; deal_stage_history</t>
        </is>
      </c>
      <c r="V22" s="28" t="inlineStr">
        <is>
          <t>Weighted pipeline, funnel</t>
        </is>
      </c>
      <c r="W22" s="28" t="inlineStr">
        <is>
          <t>Sales Home (pipeline by stage), CEO Home (revenue ahead)</t>
        </is>
      </c>
      <c r="X22" s="28" t="inlineStr">
        <is>
          <t>-</t>
        </is>
      </c>
      <c r="Y22" s="28" t="inlineStr">
        <is>
          <t>/sales, /sales/:id</t>
        </is>
      </c>
      <c r="Z22" s="28" t="inlineStr">
        <is>
          <t>deals.edit_own</t>
        </is>
      </c>
      <c r="AA22" s="29" t="inlineStr">
        <is>
          <t>Live</t>
        </is>
      </c>
      <c r="AB22" s="28" t="inlineStr">
        <is>
          <t>Proposals are logged as activities; there is no quotation document builder yet (see SAL-08).</t>
        </is>
      </c>
    </row>
    <row r="23" ht="56" customHeight="1">
      <c r="A23" s="28" t="inlineStr">
        <is>
          <t>SAL-03</t>
        </is>
      </c>
      <c r="B23" s="28" t="inlineStr">
        <is>
          <t>Sales &amp; CRM</t>
        </is>
      </c>
      <c r="C23" s="28" t="inlineStr">
        <is>
          <t>Activity</t>
        </is>
      </c>
      <c r="D23" s="28" t="inlineStr">
        <is>
          <t>Log sales activities and next steps</t>
        </is>
      </c>
      <c r="E23" s="28" t="inlineStr">
        <is>
          <t>Proves follow-up effort and keeps deals from going quiet.</t>
        </is>
      </c>
      <c r="F23" s="28" t="inlineStr">
        <is>
          <t>Call, meeting, demo, email, proposal or follow-up done</t>
        </is>
      </c>
      <c r="G23" s="28" t="inlineStr">
        <is>
          <t>1. Open the deal and log the activity type, date and what happened
2. Set the next step and its date
3. Last-activity date resets the stale clock</t>
        </is>
      </c>
      <c r="H23" s="29" t="inlineStr"/>
      <c r="I23" s="29" t="inlineStr">
        <is>
          <t>I</t>
        </is>
      </c>
      <c r="J23" s="29" t="inlineStr"/>
      <c r="K23" s="29" t="inlineStr"/>
      <c r="L23" s="29" t="inlineStr"/>
      <c r="M23" s="29" t="inlineStr"/>
      <c r="N23" s="29" t="inlineStr">
        <is>
          <t>R</t>
        </is>
      </c>
      <c r="O23" s="29" t="inlineStr">
        <is>
          <t>R</t>
        </is>
      </c>
      <c r="P23" s="29" t="inlineStr"/>
      <c r="Q23" s="29" t="inlineStr"/>
      <c r="R23" s="29" t="inlineStr"/>
      <c r="S23" s="29" t="inlineStr"/>
      <c r="T23" s="28" t="inlineStr">
        <is>
          <t>Type required; note min 3 characters; activities cannot be in the future (use next step for plans).</t>
        </is>
      </c>
      <c r="U23" s="28" t="inlineStr">
        <is>
          <t>deal_activities (deal_id, date, type, note, by)</t>
        </is>
      </c>
      <c r="V23" s="28" t="inlineStr">
        <is>
          <t>Activities per week (target 15), follow-ups overdue</t>
        </is>
      </c>
      <c r="W23" s="28" t="inlineStr">
        <is>
          <t>Sales Home (recent activity), Scorecard (activities, follow-ups)</t>
        </is>
      </c>
      <c r="X23" s="28" t="inlineStr">
        <is>
          <t>-</t>
        </is>
      </c>
      <c r="Y23" s="28" t="inlineStr">
        <is>
          <t>/sales/:id</t>
        </is>
      </c>
      <c r="Z23" s="28" t="inlineStr">
        <is>
          <t>deals.edit_own</t>
        </is>
      </c>
      <c r="AA23" s="29" t="inlineStr">
        <is>
          <t>Live</t>
        </is>
      </c>
      <c r="AB23" s="28" t="inlineStr">
        <is>
          <t>-</t>
        </is>
      </c>
    </row>
    <row r="24" ht="82" customHeight="1">
      <c r="A24" s="28" t="inlineStr">
        <is>
          <t>SAL-04</t>
        </is>
      </c>
      <c r="B24" s="28" t="inlineStr">
        <is>
          <t>Sales &amp; CRM</t>
        </is>
      </c>
      <c r="C24" s="28" t="inlineStr">
        <is>
          <t>Closing</t>
        </is>
      </c>
      <c r="D24" s="28" t="inlineStr">
        <is>
          <t>Close won and create the project</t>
        </is>
      </c>
      <c r="E24" s="28" t="inlineStr">
        <is>
          <t>Hands a won deal straight to delivery with no re-typing, and credits the seller.</t>
        </is>
      </c>
      <c r="F24" s="28" t="inlineStr">
        <is>
          <t>Client confirms the order</t>
        </is>
      </c>
      <c r="G24" s="28" t="inlineStr">
        <is>
          <t>1. Move the deal to Won (value must be above zero); won date is stamped
2. Click Create project: name, client, contract value, type, dates, PM
3. Project is linked to the deal; seller's achieved target updates</t>
        </is>
      </c>
      <c r="H24" s="29" t="inlineStr"/>
      <c r="I24" s="29" t="inlineStr">
        <is>
          <t>I</t>
        </is>
      </c>
      <c r="J24" s="29" t="inlineStr">
        <is>
          <t>C</t>
        </is>
      </c>
      <c r="K24" s="29" t="inlineStr">
        <is>
          <t>C</t>
        </is>
      </c>
      <c r="L24" s="29" t="inlineStr"/>
      <c r="M24" s="29" t="inlineStr"/>
      <c r="N24" s="30" t="inlineStr">
        <is>
          <t>A</t>
        </is>
      </c>
      <c r="O24" s="29" t="inlineStr">
        <is>
          <t>R</t>
        </is>
      </c>
      <c r="P24" s="29" t="inlineStr"/>
      <c r="Q24" s="29" t="inlineStr"/>
      <c r="R24" s="29" t="inlineStr"/>
      <c r="S24" s="29" t="inlineStr"/>
      <c r="T24" s="28" t="inlineStr">
        <is>
          <t>DEAL_STAGE (add value before Won); DEAL_HAS_PROJECT (one project per deal); only Admin can move a deal out of Won/Lost; BR-16 achieved = value of deals won that month by owner.</t>
        </is>
      </c>
      <c r="U24" s="28" t="inlineStr">
        <is>
          <t>deals.won_on, project_id; projects (deal_id)</t>
        </is>
      </c>
      <c r="V24" s="28" t="inlineStr">
        <is>
          <t>Won value, win rate, avg cycle days</t>
        </is>
      </c>
      <c r="W24" s="28" t="inlineStr">
        <is>
          <t>Sales Home, CEO Home, Compensation</t>
        </is>
      </c>
      <c r="X24" s="28" t="inlineStr">
        <is>
          <t>NTF-14 to PM (project assigned)</t>
        </is>
      </c>
      <c r="Y24" s="28" t="inlineStr">
        <is>
          <t>/sales/:id</t>
        </is>
      </c>
      <c r="Z24" s="28" t="inlineStr">
        <is>
          <t>deals.edit_own</t>
        </is>
      </c>
      <c r="AA24" s="29" t="inlineStr">
        <is>
          <t>Live</t>
        </is>
      </c>
      <c r="AB24" s="28" t="inlineStr">
        <is>
          <t>-</t>
        </is>
      </c>
    </row>
    <row r="25" ht="56" customHeight="1">
      <c r="A25" s="28" t="inlineStr">
        <is>
          <t>SAL-05</t>
        </is>
      </c>
      <c r="B25" s="28" t="inlineStr">
        <is>
          <t>Sales &amp; CRM</t>
        </is>
      </c>
      <c r="C25" s="28" t="inlineStr">
        <is>
          <t>Closing</t>
        </is>
      </c>
      <c r="D25" s="28" t="inlineStr">
        <is>
          <t>Close lost with reason</t>
        </is>
      </c>
      <c r="E25" s="28" t="inlineStr">
        <is>
          <t>Every lost deal teaches something and is counted as lost revenue.</t>
        </is>
      </c>
      <c r="F25" s="28" t="inlineStr">
        <is>
          <t>Client declines or goes silent</t>
        </is>
      </c>
      <c r="G25" s="28" t="inlineStr">
        <is>
          <t>1. Move the deal to Lost and record why
2. Deal value appears automatically in the Lost revenue register
3. Win rate updates</t>
        </is>
      </c>
      <c r="H25" s="29" t="inlineStr"/>
      <c r="I25" s="29" t="inlineStr">
        <is>
          <t>I</t>
        </is>
      </c>
      <c r="J25" s="29" t="inlineStr"/>
      <c r="K25" s="29" t="inlineStr"/>
      <c r="L25" s="29" t="inlineStr"/>
      <c r="M25" s="29" t="inlineStr"/>
      <c r="N25" s="30" t="inlineStr">
        <is>
          <t>A</t>
        </is>
      </c>
      <c r="O25" s="29" t="inlineStr">
        <is>
          <t>R</t>
        </is>
      </c>
      <c r="P25" s="29" t="inlineStr"/>
      <c r="Q25" s="29" t="inlineStr"/>
      <c r="R25" s="29" t="inlineStr"/>
      <c r="S25" s="29" t="inlineStr"/>
      <c r="T25" s="28" t="inlineStr">
        <is>
          <t>DEAL_STAGE: reason is mandatory ("that is how the win rate improves"); only Admin can reopen.</t>
        </is>
      </c>
      <c r="U25" s="28" t="inlineStr">
        <is>
          <t>deals.lost_on, lost_reason; deal_stage_history.reason</t>
        </is>
      </c>
      <c r="V25" s="28" t="inlineStr">
        <is>
          <t>Win rate = won / (won + lost); lost value by reason</t>
        </is>
      </c>
      <c r="W25" s="28" t="inlineStr">
        <is>
          <t>Sales performance, Lost revenue</t>
        </is>
      </c>
      <c r="X25" s="28" t="inlineStr">
        <is>
          <t>-</t>
        </is>
      </c>
      <c r="Y25" s="28" t="inlineStr">
        <is>
          <t>/sales</t>
        </is>
      </c>
      <c r="Z25" s="28" t="inlineStr">
        <is>
          <t>deals.edit_own</t>
        </is>
      </c>
      <c r="AA25" s="29" t="inlineStr">
        <is>
          <t>Extended</t>
        </is>
      </c>
      <c r="AB25" s="28" t="inlineStr">
        <is>
          <t>v3 adds the automatic lost-deal row in the Lost revenue register (REV-02).</t>
        </is>
      </c>
    </row>
    <row r="26" ht="56" customHeight="1">
      <c r="A26" s="28" t="inlineStr">
        <is>
          <t>SAL-06</t>
        </is>
      </c>
      <c r="B26" s="28" t="inlineStr">
        <is>
          <t>Sales &amp; CRM</t>
        </is>
      </c>
      <c r="C26" s="28" t="inlineStr">
        <is>
          <t>Hygiene</t>
        </is>
      </c>
      <c r="D26" s="28" t="inlineStr">
        <is>
          <t>Stale deal follow-up</t>
        </is>
      </c>
      <c r="E26" s="28" t="inlineStr">
        <is>
          <t>Stops the pipeline from being inflated by dead deals.</t>
        </is>
      </c>
      <c r="F26" s="28" t="inlineStr">
        <is>
          <t>No activity for 14 days (sales.stale_deal_days)</t>
        </is>
      </c>
      <c r="G26" s="28" t="inlineStr">
        <is>
          <t>1. System flags the deal stale and notifies the owner once a day
2. Owner logs an activity, or closes the deal
3. CEO sees stale deals and value at stake</t>
        </is>
      </c>
      <c r="H26" s="29" t="inlineStr"/>
      <c r="I26" s="29" t="inlineStr">
        <is>
          <t>I</t>
        </is>
      </c>
      <c r="J26" s="29" t="inlineStr"/>
      <c r="K26" s="29" t="inlineStr"/>
      <c r="L26" s="29" t="inlineStr"/>
      <c r="M26" s="29" t="inlineStr"/>
      <c r="N26" s="29" t="inlineStr">
        <is>
          <t>R</t>
        </is>
      </c>
      <c r="O26" s="29" t="inlineStr">
        <is>
          <t>R</t>
        </is>
      </c>
      <c r="P26" s="29" t="inlineStr"/>
      <c r="Q26" s="29" t="inlineStr"/>
      <c r="R26" s="29" t="inlineStr"/>
      <c r="S26" s="29" t="inlineStr"/>
      <c r="T26" s="28" t="inlineStr">
        <is>
          <t>Stale = open deal with no activity for sales.stale_deal_days (default 14).</t>
        </is>
      </c>
      <c r="U26" s="28" t="inlineStr">
        <is>
          <t>deals.last_activity_on</t>
        </is>
      </c>
      <c r="V26" s="28" t="inlineStr">
        <is>
          <t>Stale count, value at stake</t>
        </is>
      </c>
      <c r="W26" s="28" t="inlineStr">
        <is>
          <t>Insights &gt; Stale deals, CEO Home, Sales Home (deals needing action)</t>
        </is>
      </c>
      <c r="X26" s="28" t="inlineStr">
        <is>
          <t>NTF-12 deal stale</t>
        </is>
      </c>
      <c r="Y26" s="28" t="inlineStr">
        <is>
          <t>/insights/stale_deals</t>
        </is>
      </c>
      <c r="Z26" s="28" t="inlineStr">
        <is>
          <t>deals.edit_own</t>
        </is>
      </c>
      <c r="AA26" s="29" t="inlineStr">
        <is>
          <t>Live</t>
        </is>
      </c>
      <c r="AB26" s="28" t="inlineStr">
        <is>
          <t>-</t>
        </is>
      </c>
    </row>
    <row r="27" ht="56" customHeight="1">
      <c r="A27" s="28" t="inlineStr">
        <is>
          <t>SAL-07</t>
        </is>
      </c>
      <c r="B27" s="28" t="inlineStr">
        <is>
          <t>Sales &amp; CRM</t>
        </is>
      </c>
      <c r="C27" s="28" t="inlineStr">
        <is>
          <t>Performance</t>
        </is>
      </c>
      <c r="D27" s="28" t="inlineStr">
        <is>
          <t>Sales performance review</t>
        </is>
      </c>
      <c r="E27" s="28" t="inlineStr">
        <is>
          <t>Shows each seller's results against cost, so the sales team pays for itself.</t>
        </is>
      </c>
      <c r="F27" s="28" t="inlineStr">
        <is>
          <t>Monthly / quarterly review</t>
        </is>
      </c>
      <c r="G27" s="28" t="inlineStr">
        <is>
          <t>1. Open Sales performance and choose the period
2. Review per person: open value, weighted value, won, win rate, days to close, activities, cost vs closed
3. Review 6-month target vs achieved</t>
        </is>
      </c>
      <c r="H27" s="29" t="inlineStr"/>
      <c r="I27" s="29" t="inlineStr">
        <is>
          <t>I</t>
        </is>
      </c>
      <c r="J27" s="29" t="inlineStr"/>
      <c r="K27" s="29" t="inlineStr"/>
      <c r="L27" s="29" t="inlineStr"/>
      <c r="M27" s="29" t="inlineStr"/>
      <c r="N27" s="30" t="inlineStr">
        <is>
          <t>A</t>
        </is>
      </c>
      <c r="O27" s="29" t="inlineStr">
        <is>
          <t>R</t>
        </is>
      </c>
      <c r="P27" s="29" t="inlineStr"/>
      <c r="Q27" s="29" t="inlineStr">
        <is>
          <t>C</t>
        </is>
      </c>
      <c r="R27" s="29" t="inlineStr"/>
      <c r="S27" s="29" t="inlineStr"/>
      <c r="T27" s="28" t="inlineStr">
        <is>
          <t>Admin sees all sellers; a seller sees only their own (sales.performance_own).</t>
        </is>
      </c>
      <c r="U27" s="28" t="inlineStr">
        <is>
          <t>deals, deal_activities, cost_rates</t>
        </is>
      </c>
      <c r="V27" s="28" t="inlineStr">
        <is>
          <t>Win rate, weighted pipeline, avg cycle days, cost vs closed, achievement %</t>
        </is>
      </c>
      <c r="W27" s="28" t="inlineStr">
        <is>
          <t>Sales performance, Sales Home</t>
        </is>
      </c>
      <c r="X27" s="28" t="inlineStr">
        <is>
          <t>-</t>
        </is>
      </c>
      <c r="Y27" s="28" t="inlineStr">
        <is>
          <t>/sales/performance</t>
        </is>
      </c>
      <c r="Z27" s="28" t="inlineStr">
        <is>
          <t>R: sales.performance_own; A: sales.performance_all</t>
        </is>
      </c>
      <c r="AA27" s="29" t="inlineStr">
        <is>
          <t>Live</t>
        </is>
      </c>
      <c r="AB27" s="28" t="inlineStr">
        <is>
          <t>-</t>
        </is>
      </c>
    </row>
    <row r="28" ht="95" customHeight="1">
      <c r="A28" s="28" t="inlineStr">
        <is>
          <t>SAL-08</t>
        </is>
      </c>
      <c r="B28" s="28" t="inlineStr">
        <is>
          <t>Sales &amp; CRM</t>
        </is>
      </c>
      <c r="C28" s="28" t="inlineStr">
        <is>
          <t>Proposal</t>
        </is>
      </c>
      <c r="D28" s="28" t="inlineStr">
        <is>
          <t>Quotation and estimate builder</t>
        </is>
      </c>
      <c r="E28" s="28" t="inlineStr">
        <is>
          <t>Produces consistent, margin-safe quotes from a rate card and effort estimate.</t>
        </is>
      </c>
      <c r="F28" s="28" t="inlineStr">
        <is>
          <t>Deal reaches Proposal</t>
        </is>
      </c>
      <c r="G28" s="28" t="inlineStr">
        <is>
          <t>1. Pick a template (fixed price, T&amp;M, AMS retainer) and rate card
2. Estimate effort by phase/role; system shows cost, price and margin vs floor
3. Generate a branded PDF quote with GST; version it
4. On Won, convert the estimate into project milestones and budget</t>
        </is>
      </c>
      <c r="H28" s="29" t="inlineStr"/>
      <c r="I28" s="29" t="inlineStr">
        <is>
          <t>I</t>
        </is>
      </c>
      <c r="J28" s="29" t="inlineStr">
        <is>
          <t>C</t>
        </is>
      </c>
      <c r="K28" s="29" t="inlineStr">
        <is>
          <t>C</t>
        </is>
      </c>
      <c r="L28" s="29" t="inlineStr"/>
      <c r="M28" s="29" t="inlineStr"/>
      <c r="N28" s="30" t="inlineStr">
        <is>
          <t>A</t>
        </is>
      </c>
      <c r="O28" s="29" t="inlineStr">
        <is>
          <t>R</t>
        </is>
      </c>
      <c r="P28" s="29" t="inlineStr"/>
      <c r="Q28" s="29" t="inlineStr"/>
      <c r="R28" s="29" t="inlineStr"/>
      <c r="S28" s="29" t="inlineStr">
        <is>
          <t>I</t>
        </is>
      </c>
      <c r="T28" s="28" t="inlineStr">
        <is>
          <t>-</t>
        </is>
      </c>
      <c r="U28" s="28" t="inlineStr">
        <is>
          <t>-</t>
        </is>
      </c>
      <c r="V28" s="28" t="inlineStr">
        <is>
          <t>-</t>
        </is>
      </c>
      <c r="W28" s="28" t="inlineStr">
        <is>
          <t>-</t>
        </is>
      </c>
      <c r="X28" s="28" t="inlineStr">
        <is>
          <t>-</t>
        </is>
      </c>
      <c r="Y28" s="28" t="inlineStr">
        <is>
          <t>-</t>
        </is>
      </c>
      <c r="Z28" s="28" t="inlineStr">
        <is>
          <t>- (planned)</t>
        </is>
      </c>
      <c r="AA28" s="29" t="inlineStr">
        <is>
          <t>Planned</t>
        </is>
      </c>
      <c r="AB28" s="28" t="inlineStr">
        <is>
          <t>Recommendation: high value for SAP consulting; reuse cost rates and the margin floor (25%) to block under-priced quotes.</t>
        </is>
      </c>
    </row>
    <row r="29" ht="43" customHeight="1">
      <c r="A29" s="28" t="inlineStr">
        <is>
          <t>SAL-09</t>
        </is>
      </c>
      <c r="B29" s="28" t="inlineStr">
        <is>
          <t>Sales &amp; CRM</t>
        </is>
      </c>
      <c r="C29" s="28" t="inlineStr">
        <is>
          <t>Lead capture</t>
        </is>
      </c>
      <c r="D29" s="28" t="inlineStr">
        <is>
          <t>Web and email lead capture</t>
        </is>
      </c>
      <c r="E29" s="28" t="inlineStr">
        <is>
          <t>Captures website and email enquiries automatically so none are missed.</t>
        </is>
      </c>
      <c r="F29" s="28" t="inlineStr">
        <is>
          <t>Website form or enquiry email</t>
        </is>
      </c>
      <c r="G29" s="28" t="inlineStr">
        <is>
          <t>1. Website form posts to SeereonOS
2. Lead created with source Website and auto-assigned owner
3. Owner notified to respond within a set time</t>
        </is>
      </c>
      <c r="H29" s="29" t="inlineStr"/>
      <c r="I29" s="29" t="inlineStr">
        <is>
          <t>I</t>
        </is>
      </c>
      <c r="J29" s="29" t="inlineStr"/>
      <c r="K29" s="29" t="inlineStr"/>
      <c r="L29" s="29" t="inlineStr"/>
      <c r="M29" s="29" t="inlineStr"/>
      <c r="N29" s="29" t="inlineStr">
        <is>
          <t>R</t>
        </is>
      </c>
      <c r="O29" s="29" t="inlineStr">
        <is>
          <t>R</t>
        </is>
      </c>
      <c r="P29" s="29" t="inlineStr"/>
      <c r="Q29" s="29" t="inlineStr"/>
      <c r="R29" s="29" t="inlineStr"/>
      <c r="S29" s="29" t="inlineStr"/>
      <c r="T29" s="28" t="inlineStr">
        <is>
          <t>-</t>
        </is>
      </c>
      <c r="U29" s="28" t="inlineStr">
        <is>
          <t>-</t>
        </is>
      </c>
      <c r="V29" s="28" t="inlineStr">
        <is>
          <t>-</t>
        </is>
      </c>
      <c r="W29" s="28" t="inlineStr">
        <is>
          <t>-</t>
        </is>
      </c>
      <c r="X29" s="28" t="inlineStr">
        <is>
          <t>-</t>
        </is>
      </c>
      <c r="Y29" s="28" t="inlineStr">
        <is>
          <t>-</t>
        </is>
      </c>
      <c r="Z29" s="28" t="inlineStr">
        <is>
          <t>- (planned)</t>
        </is>
      </c>
      <c r="AA29" s="29" t="inlineStr">
        <is>
          <t>Planned</t>
        </is>
      </c>
      <c r="AB29" s="28" t="inlineStr">
        <is>
          <t>Recommendation: a public form endpoint plus first-response SLA tracking.</t>
        </is>
      </c>
    </row>
    <row r="30" ht="95" customHeight="1">
      <c r="A30" s="28" t="inlineStr">
        <is>
          <t>CLI-01</t>
        </is>
      </c>
      <c r="B30" s="28" t="inlineStr">
        <is>
          <t>Client &amp; contract management</t>
        </is>
      </c>
      <c r="C30" s="28" t="inlineStr">
        <is>
          <t>Clients</t>
        </is>
      </c>
      <c r="D30" s="28" t="inlineStr">
        <is>
          <t>Client master</t>
        </is>
      </c>
      <c r="E30" s="28" t="inlineStr">
        <is>
          <t>One record per client with commercial terms, so billing, health and history line up.</t>
        </is>
      </c>
      <c r="F30" s="28" t="inlineStr">
        <is>
          <t>Deal won, project created, or manual entry</t>
        </is>
      </c>
      <c r="G30" s="28" t="inlineStr">
        <is>
          <t>1. Sales/Admin creates or edits the client: name, industry, country, GSTIN, billing address, contact, owner, payment terms
2. Clients are also created automatically from deals and projects
3. Status follows the data (prospect, active, dormant); churned is set by hand</t>
        </is>
      </c>
      <c r="H30" s="29" t="inlineStr"/>
      <c r="I30" s="29" t="inlineStr">
        <is>
          <t>I</t>
        </is>
      </c>
      <c r="J30" s="29" t="inlineStr">
        <is>
          <t>I</t>
        </is>
      </c>
      <c r="K30" s="29" t="inlineStr">
        <is>
          <t>I</t>
        </is>
      </c>
      <c r="L30" s="29" t="inlineStr"/>
      <c r="M30" s="29" t="inlineStr"/>
      <c r="N30" s="30" t="inlineStr">
        <is>
          <t>A</t>
        </is>
      </c>
      <c r="O30" s="29" t="inlineStr">
        <is>
          <t>R</t>
        </is>
      </c>
      <c r="P30" s="29" t="inlineStr"/>
      <c r="Q30" s="29" t="inlineStr"/>
      <c r="R30" s="29" t="inlineStr"/>
      <c r="S30" s="29" t="inlineStr"/>
      <c r="T30" s="28" t="inlineStr">
        <is>
          <t>VAL_REQUIRED name; DUPLICATE_CLIENT; VAL_GSTIN (15 characters, blank for overseas); VAL_EMAIL; payment terms 0-180 days; VAL_STATUS.</t>
        </is>
      </c>
      <c r="U30" s="28" t="inlineStr">
        <is>
          <t>clients (name, industry, country, gstin, billing_address, primary_contact, owner_id, status, payment_terms_days, health)</t>
        </is>
      </c>
      <c r="V30" s="28" t="inlineStr">
        <is>
          <t>Active clients, billed FY, outstanding</t>
        </is>
      </c>
      <c r="W30" s="28" t="inlineStr">
        <is>
          <t>Clients &amp; contracts</t>
        </is>
      </c>
      <c r="X30" s="28" t="inlineStr">
        <is>
          <t>-</t>
        </is>
      </c>
      <c r="Y30" s="28" t="inlineStr">
        <is>
          <t>/clients, /clients/:id</t>
        </is>
      </c>
      <c r="Z30" s="28" t="inlineStr">
        <is>
          <t>clients.manage</t>
        </is>
      </c>
      <c r="AA30" s="29" t="inlineStr">
        <is>
          <t>New in v3</t>
        </is>
      </c>
      <c r="AB30" s="28" t="inlineStr">
        <is>
          <t>-</t>
        </is>
      </c>
    </row>
    <row r="31" ht="56" customHeight="1">
      <c r="A31" s="28" t="inlineStr">
        <is>
          <t>CLI-02</t>
        </is>
      </c>
      <c r="B31" s="28" t="inlineStr">
        <is>
          <t>Client &amp; contract management</t>
        </is>
      </c>
      <c r="C31" s="28" t="inlineStr">
        <is>
          <t>Contracts</t>
        </is>
      </c>
      <c r="D31" s="28" t="inlineStr">
        <is>
          <t>Contract register</t>
        </is>
      </c>
      <c r="E31" s="28" t="inlineStr">
        <is>
          <t>Keeps every MSA, SOW, AMC, licence, NDA and retainer with value, dates and file.</t>
        </is>
      </c>
      <c r="F31" s="28" t="inlineStr">
        <is>
          <t>Contract signed</t>
        </is>
      </c>
      <c r="G31" s="28" t="inlineStr">
        <is>
          <t>1. Open the client and add a contract: title, type, value, start, end, renewal date, auto-renew, file
2. Link it to a project if relevant
3. Terminate when ended early; only drafts can be deleted</t>
        </is>
      </c>
      <c r="H31" s="29" t="inlineStr"/>
      <c r="I31" s="29" t="inlineStr">
        <is>
          <t>I</t>
        </is>
      </c>
      <c r="J31" s="29" t="inlineStr">
        <is>
          <t>C</t>
        </is>
      </c>
      <c r="K31" s="29" t="inlineStr">
        <is>
          <t>C</t>
        </is>
      </c>
      <c r="L31" s="29" t="inlineStr"/>
      <c r="M31" s="29" t="inlineStr"/>
      <c r="N31" s="30" t="inlineStr">
        <is>
          <t>A</t>
        </is>
      </c>
      <c r="O31" s="29" t="inlineStr">
        <is>
          <t>R</t>
        </is>
      </c>
      <c r="P31" s="29" t="inlineStr"/>
      <c r="Q31" s="29" t="inlineStr"/>
      <c r="R31" s="29" t="inlineStr"/>
      <c r="S31" s="29" t="inlineStr">
        <is>
          <t>I</t>
        </is>
      </c>
      <c r="T31" s="28" t="inlineStr">
        <is>
          <t>Title and type required; VAL_AMOUNT &gt;= 0; dates required; DATE_RANGE (end after start; renewal inside term); file up to 10 MB; CONTRACT_LOCKED (only drafts deleted); status draft/active/terminated, expiry computed.</t>
        </is>
      </c>
      <c r="U31" s="28" t="inlineStr">
        <is>
          <t>contracts (client_id, project_id, title, kind, value_paise, start_on, end_on, renewal_on, auto_renew, status, file_id)</t>
        </is>
      </c>
      <c r="V31" s="28" t="inlineStr">
        <is>
          <t>Contract value, renewals due</t>
        </is>
      </c>
      <c r="W31" s="28" t="inlineStr">
        <is>
          <t>Clients &amp; contracts</t>
        </is>
      </c>
      <c r="X31" s="28" t="inlineStr">
        <is>
          <t>-</t>
        </is>
      </c>
      <c r="Y31" s="28" t="inlineStr">
        <is>
          <t>/clients/:id</t>
        </is>
      </c>
      <c r="Z31" s="28" t="inlineStr">
        <is>
          <t>clients.manage</t>
        </is>
      </c>
      <c r="AA31" s="29" t="inlineStr">
        <is>
          <t>New in v3</t>
        </is>
      </c>
      <c r="AB31" s="28" t="inlineStr">
        <is>
          <t>-</t>
        </is>
      </c>
    </row>
    <row r="32" ht="56" customHeight="1">
      <c r="A32" s="28" t="inlineStr">
        <is>
          <t>CLI-03</t>
        </is>
      </c>
      <c r="B32" s="28" t="inlineStr">
        <is>
          <t>Client &amp; contract management</t>
        </is>
      </c>
      <c r="C32" s="28" t="inlineStr">
        <is>
          <t>Contracts</t>
        </is>
      </c>
      <c r="D32" s="28" t="inlineStr">
        <is>
          <t>Contract renewal</t>
        </is>
      </c>
      <c r="E32" s="28" t="inlineStr">
        <is>
          <t>No AMC or licence renewal is missed: renewals are recurring revenue.</t>
        </is>
      </c>
      <c r="F32" s="28" t="inlineStr">
        <is>
          <t>Contract enters the 60-day renewal window</t>
        </is>
      </c>
      <c r="G32" s="28" t="inlineStr">
        <is>
          <t>1. Contract shows as Expiring 60 days before renewal/end
2. Account owner is notified once
3. Renew for 1-60 months with new value (creates a linked new contract) or let it expire</t>
        </is>
      </c>
      <c r="H32" s="29" t="inlineStr"/>
      <c r="I32" s="29" t="inlineStr">
        <is>
          <t>I</t>
        </is>
      </c>
      <c r="J32" s="29" t="inlineStr"/>
      <c r="K32" s="29" t="inlineStr"/>
      <c r="L32" s="29" t="inlineStr"/>
      <c r="M32" s="29" t="inlineStr"/>
      <c r="N32" s="30" t="inlineStr">
        <is>
          <t>A</t>
        </is>
      </c>
      <c r="O32" s="29" t="inlineStr">
        <is>
          <t>R</t>
        </is>
      </c>
      <c r="P32" s="29" t="inlineStr"/>
      <c r="Q32" s="29" t="inlineStr"/>
      <c r="R32" s="29" t="inlineStr"/>
      <c r="S32" s="29" t="inlineStr">
        <is>
          <t>C</t>
        </is>
      </c>
      <c r="T32" s="28" t="inlineStr">
        <is>
          <t>Renewal window 60 days; renew 1-60 months; INVALID_STATE (already renewed/terminated); VAL_AMOUNT.</t>
        </is>
      </c>
      <c r="U32" s="28" t="inlineStr">
        <is>
          <t>contracts (renewed_from, reminded_on)</t>
        </is>
      </c>
      <c r="V32" s="28" t="inlineStr">
        <is>
          <t>Renewals due in 60 days and their value</t>
        </is>
      </c>
      <c r="W32" s="28" t="inlineStr">
        <is>
          <t>Clients &amp; contracts (renewals)</t>
        </is>
      </c>
      <c r="X32" s="28" t="inlineStr">
        <is>
          <t>NTF-13 contract renewal due</t>
        </is>
      </c>
      <c r="Y32" s="28" t="inlineStr">
        <is>
          <t>/clients</t>
        </is>
      </c>
      <c r="Z32" s="28" t="inlineStr">
        <is>
          <t>clients.manage</t>
        </is>
      </c>
      <c r="AA32" s="29" t="inlineStr">
        <is>
          <t>New in v3</t>
        </is>
      </c>
      <c r="AB32" s="28" t="inlineStr">
        <is>
          <t>-</t>
        </is>
      </c>
    </row>
    <row r="33" ht="69" customHeight="1">
      <c r="A33" s="28" t="inlineStr">
        <is>
          <t>CLI-04</t>
        </is>
      </c>
      <c r="B33" s="28" t="inlineStr">
        <is>
          <t>Client &amp; contract management</t>
        </is>
      </c>
      <c r="C33" s="28" t="inlineStr">
        <is>
          <t>Health</t>
        </is>
      </c>
      <c r="D33" s="28" t="inlineStr">
        <is>
          <t>Client health and 360 view</t>
        </is>
      </c>
      <c r="E33" s="28" t="inlineStr">
        <is>
          <t>Flags clients at risk before the relationship or the cash suffers.</t>
        </is>
      </c>
      <c r="F33" s="28" t="inlineStr">
        <is>
          <t>Continuous (recomputed on view)</t>
        </is>
      </c>
      <c r="G33" s="28" t="inlineStr">
        <is>
          <t>1. System scores each client: overdue invoices + project health
2. Client page shows projects, invoices, billed FY, outstanding, overdue, contracts, deals and lost revenue
3. Owner acts on the reasons shown</t>
        </is>
      </c>
      <c r="H33" s="29" t="inlineStr"/>
      <c r="I33" s="29" t="inlineStr">
        <is>
          <t>I</t>
        </is>
      </c>
      <c r="J33" s="29" t="inlineStr">
        <is>
          <t>I</t>
        </is>
      </c>
      <c r="K33" s="29" t="inlineStr">
        <is>
          <t>I</t>
        </is>
      </c>
      <c r="L33" s="29" t="inlineStr"/>
      <c r="M33" s="29" t="inlineStr"/>
      <c r="N33" s="30" t="inlineStr">
        <is>
          <t>A</t>
        </is>
      </c>
      <c r="O33" s="29" t="inlineStr">
        <is>
          <t>R</t>
        </is>
      </c>
      <c r="P33" s="29" t="inlineStr"/>
      <c r="Q33" s="29" t="inlineStr"/>
      <c r="R33" s="29" t="inlineStr"/>
      <c r="S33" s="29" t="inlineStr"/>
      <c r="T33" s="28" t="inlineStr">
        <is>
          <t>At risk = invoice overdue &gt; 60 days, or a project NPA / off track. Watch = any amount overdue, or a project at risk / on hold. Good otherwise.</t>
        </is>
      </c>
      <c r="U33" s="28" t="inlineStr">
        <is>
          <t>clients.health (computed), health_reasons</t>
        </is>
      </c>
      <c r="V33" s="28" t="inlineStr">
        <is>
          <t>Clients at risk, outstanding, leakage per client</t>
        </is>
      </c>
      <c r="W33" s="28" t="inlineStr">
        <is>
          <t>Clients &amp; contracts, CEO (via clients)</t>
        </is>
      </c>
      <c r="X33" s="28" t="inlineStr">
        <is>
          <t>-</t>
        </is>
      </c>
      <c r="Y33" s="28" t="inlineStr">
        <is>
          <t>/clients/:id</t>
        </is>
      </c>
      <c r="Z33" s="28" t="inlineStr">
        <is>
          <t>clients.manage</t>
        </is>
      </c>
      <c r="AA33" s="29" t="inlineStr">
        <is>
          <t>New in v3</t>
        </is>
      </c>
      <c r="AB33" s="28" t="inlineStr">
        <is>
          <t>-</t>
        </is>
      </c>
    </row>
    <row r="34" ht="69" customHeight="1">
      <c r="A34" s="28" t="inlineStr">
        <is>
          <t>CLI-05</t>
        </is>
      </c>
      <c r="B34" s="28" t="inlineStr">
        <is>
          <t>Client &amp; contract management</t>
        </is>
      </c>
      <c r="C34" s="28" t="inlineStr">
        <is>
          <t>Client portal</t>
        </is>
      </c>
      <c r="D34" s="28" t="inlineStr">
        <is>
          <t>Client portal and deliverable sign-off</t>
        </is>
      </c>
      <c r="E34" s="28" t="inlineStr">
        <is>
          <t>Clients see progress and approve deliverables and change requests online, with a dated record.</t>
        </is>
      </c>
      <c r="F34" s="28" t="inlineStr">
        <is>
          <t>Milestone ready for acceptance, or CR raised</t>
        </is>
      </c>
      <c r="G34" s="28" t="inlineStr">
        <is>
          <t>1. Client user logs in to a portal limited to their projects
2. Reviews milestone progress and documents
3. Accepts or rejects deliverables / CRs with comments; acceptance can trigger invoicing</t>
        </is>
      </c>
      <c r="H34" s="29" t="inlineStr"/>
      <c r="I34" s="29" t="inlineStr">
        <is>
          <t>I</t>
        </is>
      </c>
      <c r="J34" s="29" t="inlineStr">
        <is>
          <t>R</t>
        </is>
      </c>
      <c r="K34" s="29" t="inlineStr">
        <is>
          <t>R</t>
        </is>
      </c>
      <c r="L34" s="29" t="inlineStr"/>
      <c r="M34" s="29" t="inlineStr"/>
      <c r="N34" s="29" t="inlineStr"/>
      <c r="O34" s="29" t="inlineStr"/>
      <c r="P34" s="29" t="inlineStr"/>
      <c r="Q34" s="29" t="inlineStr"/>
      <c r="R34" s="29" t="inlineStr"/>
      <c r="S34" s="29" t="inlineStr">
        <is>
          <t>R</t>
        </is>
      </c>
      <c r="T34" s="28" t="inlineStr">
        <is>
          <t>-</t>
        </is>
      </c>
      <c r="U34" s="28" t="inlineStr">
        <is>
          <t>-</t>
        </is>
      </c>
      <c r="V34" s="28" t="inlineStr">
        <is>
          <t>-</t>
        </is>
      </c>
      <c r="W34" s="28" t="inlineStr">
        <is>
          <t>-</t>
        </is>
      </c>
      <c r="X34" s="28" t="inlineStr">
        <is>
          <t>-</t>
        </is>
      </c>
      <c r="Y34" s="28" t="inlineStr">
        <is>
          <t>-</t>
        </is>
      </c>
      <c r="Z34" s="28" t="inlineStr">
        <is>
          <t>- (planned)</t>
        </is>
      </c>
      <c r="AA34" s="29" t="inlineStr">
        <is>
          <t>Planned</t>
        </is>
      </c>
      <c r="AB34" s="28" t="inlineStr">
        <is>
          <t>Today a money-free client view exists for the PM to share (DEL-10). Recommendation: extend it into a login-based portal with sign-off (spec future scope).</t>
        </is>
      </c>
    </row>
    <row r="35" ht="56" customHeight="1">
      <c r="A35" s="28" t="inlineStr">
        <is>
          <t>CLI-06</t>
        </is>
      </c>
      <c r="B35" s="28" t="inlineStr">
        <is>
          <t>Client &amp; contract management</t>
        </is>
      </c>
      <c r="C35" s="28" t="inlineStr">
        <is>
          <t>Contracts</t>
        </is>
      </c>
      <c r="D35" s="28" t="inlineStr">
        <is>
          <t>Contract e-signature</t>
        </is>
      </c>
      <c r="E35" s="28" t="inlineStr">
        <is>
          <t>Speeds up SOW/NDA signing and stores the signed copy against the contract.</t>
        </is>
      </c>
      <c r="F35" s="28" t="inlineStr">
        <is>
          <t>Contract ready to sign</t>
        </is>
      </c>
      <c r="G35" s="28" t="inlineStr">
        <is>
          <t>1. Send the contract for e-sign (Aadhaar e-sign / DocuSign-type provider)
2. Track status; signed PDF stored automatically
3. Contract becomes Active on signature</t>
        </is>
      </c>
      <c r="H35" s="29" t="inlineStr"/>
      <c r="I35" s="29" t="inlineStr">
        <is>
          <t>I</t>
        </is>
      </c>
      <c r="J35" s="29" t="inlineStr"/>
      <c r="K35" s="29" t="inlineStr"/>
      <c r="L35" s="29" t="inlineStr"/>
      <c r="M35" s="29" t="inlineStr"/>
      <c r="N35" s="30" t="inlineStr">
        <is>
          <t>A</t>
        </is>
      </c>
      <c r="O35" s="29" t="inlineStr">
        <is>
          <t>R</t>
        </is>
      </c>
      <c r="P35" s="29" t="inlineStr"/>
      <c r="Q35" s="29" t="inlineStr"/>
      <c r="R35" s="29" t="inlineStr"/>
      <c r="S35" s="29" t="inlineStr">
        <is>
          <t>R</t>
        </is>
      </c>
      <c r="T35" s="28" t="inlineStr">
        <is>
          <t>-</t>
        </is>
      </c>
      <c r="U35" s="28" t="inlineStr">
        <is>
          <t>-</t>
        </is>
      </c>
      <c r="V35" s="28" t="inlineStr">
        <is>
          <t>-</t>
        </is>
      </c>
      <c r="W35" s="28" t="inlineStr">
        <is>
          <t>-</t>
        </is>
      </c>
      <c r="X35" s="28" t="inlineStr">
        <is>
          <t>-</t>
        </is>
      </c>
      <c r="Y35" s="28" t="inlineStr">
        <is>
          <t>-</t>
        </is>
      </c>
      <c r="Z35" s="28" t="inlineStr">
        <is>
          <t>- (planned)</t>
        </is>
      </c>
      <c r="AA35" s="29" t="inlineStr">
        <is>
          <t>Planned</t>
        </is>
      </c>
      <c r="AB35" s="28" t="inlineStr">
        <is>
          <t>Recommendation: integrate an Indian e-sign provider; keep the audit certificate with the contract.</t>
        </is>
      </c>
    </row>
    <row r="36" ht="43" customHeight="1">
      <c r="A36" s="28" t="inlineStr">
        <is>
          <t>CLI-07</t>
        </is>
      </c>
      <c r="B36" s="28" t="inlineStr">
        <is>
          <t>Client &amp; contract management</t>
        </is>
      </c>
      <c r="C36" s="28" t="inlineStr">
        <is>
          <t>Satisfaction</t>
        </is>
      </c>
      <c r="D36" s="28" t="inlineStr">
        <is>
          <t>Customer satisfaction (CSAT / NPS)</t>
        </is>
      </c>
      <c r="E36" s="28" t="inlineStr">
        <is>
          <t>Measures how clients feel, not just what they pay; early warning for churn.</t>
        </is>
      </c>
      <c r="F36" s="28" t="inlineStr">
        <is>
          <t>Milestone accepted, project closed, or quarterly</t>
        </is>
      </c>
      <c r="G36" s="28" t="inlineStr">
        <is>
          <t>1. System sends a short survey to the client contact
2. Scores and comments are stored on the client and project
3. Low scores alert the account owner and PM</t>
        </is>
      </c>
      <c r="H36" s="29" t="inlineStr"/>
      <c r="I36" s="29" t="inlineStr">
        <is>
          <t>I</t>
        </is>
      </c>
      <c r="J36" s="29" t="inlineStr">
        <is>
          <t>C</t>
        </is>
      </c>
      <c r="K36" s="29" t="inlineStr">
        <is>
          <t>C</t>
        </is>
      </c>
      <c r="L36" s="29" t="inlineStr"/>
      <c r="M36" s="29" t="inlineStr"/>
      <c r="N36" s="29" t="inlineStr">
        <is>
          <t>R</t>
        </is>
      </c>
      <c r="O36" s="29" t="inlineStr">
        <is>
          <t>R</t>
        </is>
      </c>
      <c r="P36" s="29" t="inlineStr"/>
      <c r="Q36" s="29" t="inlineStr"/>
      <c r="R36" s="29" t="inlineStr"/>
      <c r="S36" s="29" t="inlineStr">
        <is>
          <t>R</t>
        </is>
      </c>
      <c r="T36" s="28" t="inlineStr">
        <is>
          <t>-</t>
        </is>
      </c>
      <c r="U36" s="28" t="inlineStr">
        <is>
          <t>-</t>
        </is>
      </c>
      <c r="V36" s="28" t="inlineStr">
        <is>
          <t>-</t>
        </is>
      </c>
      <c r="W36" s="28" t="inlineStr">
        <is>
          <t>-</t>
        </is>
      </c>
      <c r="X36" s="28" t="inlineStr">
        <is>
          <t>-</t>
        </is>
      </c>
      <c r="Y36" s="28" t="inlineStr">
        <is>
          <t>-</t>
        </is>
      </c>
      <c r="Z36" s="28" t="inlineStr">
        <is>
          <t>- (planned)</t>
        </is>
      </c>
      <c r="AA36" s="29" t="inlineStr">
        <is>
          <t>Planned</t>
        </is>
      </c>
      <c r="AB36" s="28" t="inlineStr">
        <is>
          <t>Recommendation: feed CSAT into client health and PM appraisals.</t>
        </is>
      </c>
    </row>
    <row r="37" ht="108" customHeight="1">
      <c r="A37" s="28" t="inlineStr">
        <is>
          <t>DEL-01</t>
        </is>
      </c>
      <c r="B37" s="28" t="inlineStr">
        <is>
          <t>Project delivery</t>
        </is>
      </c>
      <c r="C37" s="28" t="inlineStr">
        <is>
          <t>Set-up</t>
        </is>
      </c>
      <c r="D37" s="28" t="inlineStr">
        <is>
          <t>Create a project</t>
        </is>
      </c>
      <c r="E37" s="28" t="inlineStr">
        <is>
          <t>Every engagement gets a code, PM, value, billing model and plan, so hours and money link to it.</t>
        </is>
      </c>
      <c r="F37" s="28" t="inlineStr">
        <is>
          <t>Deal won, internal initiative, or AMS renewal</t>
        </is>
      </c>
      <c r="G37" s="28" t="inlineStr">
        <is>
          <t>1. Admin/PM creates the project: name, client, type (Product, Service, SaaS, AMS), billing model (fixed, T&amp;M, subscription, AMS retainer), revenue stream, PM, dates, contract value
2. Optionally add first milestones with end dates and billing amounts
3. Code is assigned automatically (PRJ-014 style) and the PM is notified</t>
        </is>
      </c>
      <c r="H37" s="29" t="inlineStr"/>
      <c r="I37" s="29" t="inlineStr">
        <is>
          <t>I</t>
        </is>
      </c>
      <c r="J37" s="30" t="inlineStr">
        <is>
          <t>A</t>
        </is>
      </c>
      <c r="K37" s="29" t="inlineStr">
        <is>
          <t>R</t>
        </is>
      </c>
      <c r="L37" s="29" t="inlineStr"/>
      <c r="M37" s="29" t="inlineStr"/>
      <c r="N37" s="29" t="inlineStr">
        <is>
          <t>C</t>
        </is>
      </c>
      <c r="O37" s="29" t="inlineStr">
        <is>
          <t>C</t>
        </is>
      </c>
      <c r="P37" s="29" t="inlineStr"/>
      <c r="Q37" s="29" t="inlineStr"/>
      <c r="R37" s="29" t="inlineStr"/>
      <c r="S37" s="29" t="inlineStr"/>
      <c r="T37" s="28" t="inlineStr">
        <is>
          <t>Type, billing model, stream, PM required; DATE_RANGE; milestone ends must run in order inside the project; MS_BILLING_OVER warning if milestone billing exceeds contract value; BR-18 types.</t>
        </is>
      </c>
      <c r="U37" s="28" t="inlineStr">
        <is>
          <t>projects (code, name, client, type, status, pm_id, start_on, end_on, contract_value_paise, billing_model, stream, deal_id, baseline_end_on)</t>
        </is>
      </c>
      <c r="V37" s="28" t="inlineStr">
        <is>
          <t>Active projects</t>
        </is>
      </c>
      <c r="W37" s="28" t="inlineStr">
        <is>
          <t>Projects list, CEO Home, PM Home</t>
        </is>
      </c>
      <c r="X37" s="28" t="inlineStr">
        <is>
          <t>NTF-14 "You manage PRJ-xxx"</t>
        </is>
      </c>
      <c r="Y37" s="28" t="inlineStr">
        <is>
          <t>/projects</t>
        </is>
      </c>
      <c r="Z37" s="28" t="inlineStr">
        <is>
          <t>projects.create</t>
        </is>
      </c>
      <c r="AA37" s="29" t="inlineStr">
        <is>
          <t>Live</t>
        </is>
      </c>
      <c r="AB37" s="28" t="inlineStr">
        <is>
          <t>-</t>
        </is>
      </c>
    </row>
    <row r="38" ht="82" customHeight="1">
      <c r="A38" s="28" t="inlineStr">
        <is>
          <t>DEL-02</t>
        </is>
      </c>
      <c r="B38" s="28" t="inlineStr">
        <is>
          <t>Project delivery</t>
        </is>
      </c>
      <c r="C38" s="28" t="inlineStr">
        <is>
          <t>Planning</t>
        </is>
      </c>
      <c r="D38" s="28" t="inlineStr">
        <is>
          <t>Milestones: plan, baseline and slip</t>
        </is>
      </c>
      <c r="E38" s="28" t="inlineStr">
        <is>
          <t>Milestones are the billing and delivery checkpoints; slips must be visible.</t>
        </is>
      </c>
      <c r="F38" s="28" t="inlineStr">
        <is>
          <t>Project planning or re-planning</t>
        </is>
      </c>
      <c r="G38" s="28" t="inlineStr">
        <is>
          <t>1. PM adds milestones M1, M2... with planned start/end and billing amount
2. Baseline end is kept; moving a date shows the slip in days
3. Empty milestones are removed after 7 days unless invoiced</t>
        </is>
      </c>
      <c r="H38" s="29" t="inlineStr"/>
      <c r="I38" s="29" t="inlineStr">
        <is>
          <t>I</t>
        </is>
      </c>
      <c r="J38" s="30" t="inlineStr">
        <is>
          <t>A</t>
        </is>
      </c>
      <c r="K38" s="29" t="inlineStr">
        <is>
          <t>R</t>
        </is>
      </c>
      <c r="L38" s="29" t="inlineStr"/>
      <c r="M38" s="29" t="inlineStr"/>
      <c r="N38" s="29" t="inlineStr"/>
      <c r="O38" s="29" t="inlineStr"/>
      <c r="P38" s="29" t="inlineStr">
        <is>
          <t>I</t>
        </is>
      </c>
      <c r="Q38" s="29" t="inlineStr"/>
      <c r="R38" s="29" t="inlineStr"/>
      <c r="S38" s="29" t="inlineStr">
        <is>
          <t>I</t>
        </is>
      </c>
      <c r="T38" s="28" t="inlineStr">
        <is>
          <t>BR-19 numbering never reused; MS_OUTSIDE_PROJECT and MS_SLIP warnings; MS_BILLING_OVER warning; MS_INVOICED (billing amount fixed, cannot delete, BR-21); BR-20 empty milestone auto-deleted after projects.empty_milestone_days (7).</t>
        </is>
      </c>
      <c r="U38" s="28" t="inlineStr">
        <is>
          <t>milestones (no, name, planned_start, planned_end, baseline_end, billing_amount_paise, billing_status, achieved_on)</t>
        </is>
      </c>
      <c r="V38" s="28" t="inlineStr">
        <is>
          <t>Milestones on time %, slip days</t>
        </is>
      </c>
      <c r="W38" s="28" t="inlineStr">
        <is>
          <t>PM Home (upcoming milestones), CEO Home (milestones due 30 days)</t>
        </is>
      </c>
      <c r="X38" s="28" t="inlineStr">
        <is>
          <t>NTF-15 milestone auto-deleted / deleted</t>
        </is>
      </c>
      <c r="Y38" s="28" t="inlineStr">
        <is>
          <t>/projects/:id/wbs</t>
        </is>
      </c>
      <c r="Z38" s="28" t="inlineStr">
        <is>
          <t>projects.edit</t>
        </is>
      </c>
      <c r="AA38" s="29" t="inlineStr">
        <is>
          <t>Live</t>
        </is>
      </c>
      <c r="AB38" s="28" t="inlineStr">
        <is>
          <t>-</t>
        </is>
      </c>
    </row>
    <row r="39" ht="69" customHeight="1">
      <c r="A39" s="28" t="inlineStr">
        <is>
          <t>DEL-03</t>
        </is>
      </c>
      <c r="B39" s="28" t="inlineStr">
        <is>
          <t>Project delivery</t>
        </is>
      </c>
      <c r="C39" s="28" t="inlineStr">
        <is>
          <t>Planning</t>
        </is>
      </c>
      <c r="D39" s="28" t="inlineStr">
        <is>
          <t>Build the WBS (tasks, owners, estimates, dependencies)</t>
        </is>
      </c>
      <c r="E39" s="28" t="inlineStr">
        <is>
          <t>Breaks work into owned, estimated, dated tasks: the basis for timesheets, cost and timeliness.</t>
        </is>
      </c>
      <c r="F39" s="28" t="inlineStr">
        <is>
          <t>Project planning</t>
        </is>
      </c>
      <c r="G39" s="28" t="inlineStr">
        <is>
          <t>1. PM adds tasks inline under a milestone (WBS code 2.3): title, owner, backup, estimate, start, due, complexity, priority, optional reviewer
2. Set dependencies between tasks
3. Owner is notified; tasks appear in My tasks</t>
        </is>
      </c>
      <c r="H39" s="29" t="inlineStr"/>
      <c r="I39" s="29" t="inlineStr">
        <is>
          <t>I</t>
        </is>
      </c>
      <c r="J39" s="30" t="inlineStr">
        <is>
          <t>A</t>
        </is>
      </c>
      <c r="K39" s="29" t="inlineStr">
        <is>
          <t>R</t>
        </is>
      </c>
      <c r="L39" s="29" t="inlineStr"/>
      <c r="M39" s="29" t="inlineStr"/>
      <c r="N39" s="29" t="inlineStr"/>
      <c r="O39" s="29" t="inlineStr"/>
      <c r="P39" s="29" t="inlineStr">
        <is>
          <t>I</t>
        </is>
      </c>
      <c r="Q39" s="29" t="inlineStr"/>
      <c r="R39" s="29" t="inlineStr"/>
      <c r="S39" s="29" t="inlineStr"/>
      <c r="T39" s="28" t="inlineStr">
        <is>
          <t>Title under 200; estimate 0-999 h; DATE_RANGE; backup must differ from owner; TASK_SELF_REVIEW (reviewer is not the owner); DEP_CYCLE; dependencies same project; TASK_AFTER_MILESTONE warning; TASK_HAS_HOURS (cannot delete a task with logged hours).</t>
        </is>
      </c>
      <c r="U39" s="28" t="inlineStr">
        <is>
          <t>tasks (no, title, owner_id, backup_id, est_hours, start_on, due_on, complexity, priority, reviewer_id), task_dependencies</t>
        </is>
      </c>
      <c r="V39" s="28" t="inlineStr">
        <is>
          <t>Estimate, effort ratio, progress</t>
        </is>
      </c>
      <c r="W39" s="28" t="inlineStr">
        <is>
          <t>Project WBS, My tasks</t>
        </is>
      </c>
      <c r="X39" s="28" t="inlineStr">
        <is>
          <t>NTF-14 task assigned</t>
        </is>
      </c>
      <c r="Y39" s="28" t="inlineStr">
        <is>
          <t>/projects/:id/wbs</t>
        </is>
      </c>
      <c r="Z39" s="28" t="inlineStr">
        <is>
          <t>projects.edit|tasks.edit</t>
        </is>
      </c>
      <c r="AA39" s="29" t="inlineStr">
        <is>
          <t>Extended</t>
        </is>
      </c>
      <c r="AB39" s="28" t="inlineStr">
        <is>
          <t>v3 adds reviewer, priority and the review flow (TSK-05..10).</t>
        </is>
      </c>
    </row>
    <row r="40" ht="56" customHeight="1">
      <c r="A40" s="28" t="inlineStr">
        <is>
          <t>DEL-04</t>
        </is>
      </c>
      <c r="B40" s="28" t="inlineStr">
        <is>
          <t>Project delivery</t>
        </is>
      </c>
      <c r="C40" s="28" t="inlineStr">
        <is>
          <t>Planning</t>
        </is>
      </c>
      <c r="D40" s="28" t="inlineStr">
        <is>
          <t>Import a WBS from Excel/CSV</t>
        </is>
      </c>
      <c r="E40" s="28" t="inlineStr">
        <is>
          <t>Loads a full plan in minutes instead of typing it.</t>
        </is>
      </c>
      <c r="F40" s="28" t="inlineStr">
        <is>
          <t>New project with an existing plan</t>
        </is>
      </c>
      <c r="G40" s="28" t="inlineStr">
        <is>
          <t>1. Download the template
2. Upload or paste the file; preview shows row errors
3. Commit: all rows or nothing; owners notified of their tasks</t>
        </is>
      </c>
      <c r="H40" s="29" t="inlineStr"/>
      <c r="I40" s="29" t="inlineStr">
        <is>
          <t>I</t>
        </is>
      </c>
      <c r="J40" s="30" t="inlineStr">
        <is>
          <t>A</t>
        </is>
      </c>
      <c r="K40" s="29" t="inlineStr">
        <is>
          <t>R</t>
        </is>
      </c>
      <c r="L40" s="29" t="inlineStr"/>
      <c r="M40" s="29" t="inlineStr"/>
      <c r="N40" s="29" t="inlineStr"/>
      <c r="O40" s="29" t="inlineStr"/>
      <c r="P40" s="29" t="inlineStr">
        <is>
          <t>I</t>
        </is>
      </c>
      <c r="Q40" s="29" t="inlineStr"/>
      <c r="R40" s="29" t="inlineStr"/>
      <c r="S40" s="29" t="inlineStr"/>
      <c r="T40" s="28" t="inlineStr">
        <is>
          <t>WBS_INVALID (header missing, too many rows, preview expired, rows with errors); STALE if the WBS changed since preview.</t>
        </is>
      </c>
      <c r="U40" s="28" t="inlineStr">
        <is>
          <t>tasks, milestones</t>
        </is>
      </c>
      <c r="V40" s="28" t="inlineStr">
        <is>
          <t>-</t>
        </is>
      </c>
      <c r="W40" s="28" t="inlineStr">
        <is>
          <t>Project WBS</t>
        </is>
      </c>
      <c r="X40" s="28" t="inlineStr">
        <is>
          <t>NTF-14 (one per owner)</t>
        </is>
      </c>
      <c r="Y40" s="28" t="inlineStr">
        <is>
          <t>/projects/:id/import</t>
        </is>
      </c>
      <c r="Z40" s="28" t="inlineStr">
        <is>
          <t>projects.edit</t>
        </is>
      </c>
      <c r="AA40" s="29" t="inlineStr">
        <is>
          <t>Live</t>
        </is>
      </c>
      <c r="AB40" s="28" t="inlineStr">
        <is>
          <t>-</t>
        </is>
      </c>
    </row>
    <row r="41" ht="43" customHeight="1">
      <c r="A41" s="28" t="inlineStr">
        <is>
          <t>DEL-05</t>
        </is>
      </c>
      <c r="B41" s="28" t="inlineStr">
        <is>
          <t>Project delivery</t>
        </is>
      </c>
      <c r="C41" s="28" t="inlineStr">
        <is>
          <t>Resourcing</t>
        </is>
      </c>
      <c r="D41" s="28" t="inlineStr">
        <is>
          <t>Allocate people to milestones</t>
        </is>
      </c>
      <c r="E41" s="28" t="inlineStr">
        <is>
          <t>Plans who works where, at what %, so over- and under-loading is visible before it hurts.</t>
        </is>
      </c>
      <c r="F41" s="28" t="inlineStr">
        <is>
          <t>Planning or re-planning</t>
        </is>
      </c>
      <c r="G41" s="28" t="inlineStr">
        <is>
          <t>1. PM adds allocation rows: person, milestone, %, from, to
2. System warns if a person goes above 100% on any day
3. Resource load for the next 10 working days updates</t>
        </is>
      </c>
      <c r="H41" s="29" t="inlineStr"/>
      <c r="I41" s="29" t="inlineStr">
        <is>
          <t>I</t>
        </is>
      </c>
      <c r="J41" s="30" t="inlineStr">
        <is>
          <t>A</t>
        </is>
      </c>
      <c r="K41" s="29" t="inlineStr">
        <is>
          <t>R</t>
        </is>
      </c>
      <c r="L41" s="29" t="inlineStr"/>
      <c r="M41" s="29" t="inlineStr"/>
      <c r="N41" s="29" t="inlineStr"/>
      <c r="O41" s="29" t="inlineStr"/>
      <c r="P41" s="29" t="inlineStr">
        <is>
          <t>I</t>
        </is>
      </c>
      <c r="Q41" s="29" t="inlineStr">
        <is>
          <t>C</t>
        </is>
      </c>
      <c r="R41" s="29" t="inlineStr"/>
      <c r="S41" s="29" t="inlineStr"/>
      <c r="T41" s="28" t="inlineStr">
        <is>
          <t>BR-22 milestone, start and end required (ALLOC_INVALID); 1-100%; dates inside the project; ALLOC_OVER warning, or block when allocation.block_over is on.</t>
        </is>
      </c>
      <c r="U41" s="28" t="inlineStr">
        <is>
          <t>allocations (project_id, milestone_id, user_id, pct, from_on, to_on)</t>
        </is>
      </c>
      <c r="V41" s="28" t="inlineStr">
        <is>
          <t>Utilisation, allocation outliers (&lt;80% / &gt;110%)</t>
        </is>
      </c>
      <c r="W41" s="28" t="inlineStr">
        <is>
          <t>PM Home (resource load), Insights &gt; Allocation, CEO Home (utilisation)</t>
        </is>
      </c>
      <c r="X41" s="28" t="inlineStr">
        <is>
          <t>-</t>
        </is>
      </c>
      <c r="Y41" s="28" t="inlineStr">
        <is>
          <t>/projects/:id/team</t>
        </is>
      </c>
      <c r="Z41" s="28" t="inlineStr">
        <is>
          <t>allocation.edit</t>
        </is>
      </c>
      <c r="AA41" s="29" t="inlineStr">
        <is>
          <t>Live</t>
        </is>
      </c>
      <c r="AB41" s="28" t="inlineStr">
        <is>
          <t>-</t>
        </is>
      </c>
    </row>
    <row r="42" ht="56" customHeight="1">
      <c r="A42" s="28" t="inlineStr">
        <is>
          <t>DEL-06</t>
        </is>
      </c>
      <c r="B42" s="28" t="inlineStr">
        <is>
          <t>Project delivery</t>
        </is>
      </c>
      <c r="C42" s="28" t="inlineStr">
        <is>
          <t>Scheduling</t>
        </is>
      </c>
      <c r="D42" s="28" t="inlineStr">
        <is>
          <t>Schedule, Gantt and critical path</t>
        </is>
      </c>
      <c r="E42" s="28" t="inlineStr">
        <is>
          <t>Shows which tasks really drive the end date and what is already breaching.</t>
        </is>
      </c>
      <c r="F42" s="28" t="inlineStr">
        <is>
          <t>Weekly PM review</t>
        </is>
      </c>
      <c r="G42" s="28" t="inlineStr">
        <is>
          <t>1. Open the schedule: bars, dependency arrows, today line
2. Critical path and breach list with one-click actions (move, reassign, unblock)
3. Check P50/P80 finish predictions</t>
        </is>
      </c>
      <c r="H42" s="29" t="inlineStr"/>
      <c r="I42" s="29" t="inlineStr">
        <is>
          <t>I</t>
        </is>
      </c>
      <c r="J42" s="29" t="inlineStr">
        <is>
          <t>I</t>
        </is>
      </c>
      <c r="K42" s="29" t="inlineStr">
        <is>
          <t>R</t>
        </is>
      </c>
      <c r="L42" s="29" t="inlineStr"/>
      <c r="M42" s="29" t="inlineStr"/>
      <c r="N42" s="29" t="inlineStr"/>
      <c r="O42" s="29" t="inlineStr"/>
      <c r="P42" s="29" t="inlineStr"/>
      <c r="Q42" s="29" t="inlineStr"/>
      <c r="R42" s="29" t="inlineStr"/>
      <c r="S42" s="29" t="inlineStr"/>
      <c r="T42" s="28" t="inlineStr">
        <is>
          <t>Task cannot start while a dependency is open (TASK_BLOCKED).</t>
        </is>
      </c>
      <c r="U42" s="28" t="inlineStr">
        <is>
          <t>tasks, task_dependencies</t>
        </is>
      </c>
      <c r="V42" s="28" t="inlineStr">
        <is>
          <t>SPI, predicted finish (P50/P80), chance on time</t>
        </is>
      </c>
      <c r="W42" s="28" t="inlineStr">
        <is>
          <t>Project schedule, Insights &gt; Predictions</t>
        </is>
      </c>
      <c r="X42" s="28" t="inlineStr">
        <is>
          <t>-</t>
        </is>
      </c>
      <c r="Y42" s="28" t="inlineStr">
        <is>
          <t>/projects/:id/schedule</t>
        </is>
      </c>
      <c r="Z42" s="28" t="inlineStr">
        <is>
          <t>projects.edit</t>
        </is>
      </c>
      <c r="AA42" s="29" t="inlineStr">
        <is>
          <t>Live</t>
        </is>
      </c>
      <c r="AB42" s="28" t="inlineStr">
        <is>
          <t>-</t>
        </is>
      </c>
    </row>
    <row r="43" ht="43" customHeight="1">
      <c r="A43" s="28" t="inlineStr">
        <is>
          <t>DEL-07</t>
        </is>
      </c>
      <c r="B43" s="28" t="inlineStr">
        <is>
          <t>Project delivery</t>
        </is>
      </c>
      <c r="C43" s="28" t="inlineStr">
        <is>
          <t>Governance</t>
        </is>
      </c>
      <c r="D43" s="28" t="inlineStr">
        <is>
          <t>Project status lifecycle</t>
        </is>
      </c>
      <c r="E43" s="28" t="inlineStr">
        <is>
          <t>Keeps an honest status with reasons and history (Initiated, Active, On hold, NPA, Completed, Closed).</t>
        </is>
      </c>
      <c r="F43" s="28" t="inlineStr">
        <is>
          <t>Project starts, pauses, stalls or ends</t>
        </is>
      </c>
      <c r="G43" s="28" t="inlineStr">
        <is>
          <t>1. PM/Admin changes status from the status control
2. On hold, NPA and Closed need a reason
3. History is kept; hours cannot be booked after closure</t>
        </is>
      </c>
      <c r="H43" s="29" t="inlineStr"/>
      <c r="I43" s="29" t="inlineStr">
        <is>
          <t>I</t>
        </is>
      </c>
      <c r="J43" s="30" t="inlineStr">
        <is>
          <t>A</t>
        </is>
      </c>
      <c r="K43" s="29" t="inlineStr">
        <is>
          <t>R</t>
        </is>
      </c>
      <c r="L43" s="29" t="inlineStr"/>
      <c r="M43" s="29" t="inlineStr"/>
      <c r="N43" s="29" t="inlineStr"/>
      <c r="O43" s="29" t="inlineStr"/>
      <c r="P43" s="29" t="inlineStr">
        <is>
          <t>I</t>
        </is>
      </c>
      <c r="Q43" s="29" t="inlineStr"/>
      <c r="R43" s="29" t="inlineStr"/>
      <c r="S43" s="29" t="inlineStr"/>
      <c r="T43" s="28" t="inlineStr">
        <is>
          <t>BR-17; BR_17_REASON_REQUIRED (min 5 characters); SAME_STATUS; TS_PROJECT_CLOSED (no hours after the closed date).</t>
        </is>
      </c>
      <c r="U43" s="28" t="inlineStr">
        <is>
          <t>projects.status, project_status_history (from, to, reason, changed_by, changed_at)</t>
        </is>
      </c>
      <c r="V43" s="28" t="inlineStr">
        <is>
          <t>Active / on-hold / NPA counts</t>
        </is>
      </c>
      <c r="W43" s="28" t="inlineStr">
        <is>
          <t>Projects list, CEO project health strip</t>
        </is>
      </c>
      <c r="X43" s="28" t="inlineStr">
        <is>
          <t>NTF-14 status changed (to PM)</t>
        </is>
      </c>
      <c r="Y43" s="28" t="inlineStr">
        <is>
          <t>/projects/:id</t>
        </is>
      </c>
      <c r="Z43" s="28" t="inlineStr">
        <is>
          <t>projects.edit</t>
        </is>
      </c>
      <c r="AA43" s="29" t="inlineStr">
        <is>
          <t>Live</t>
        </is>
      </c>
      <c r="AB43" s="28" t="inlineStr">
        <is>
          <t>-</t>
        </is>
      </c>
    </row>
    <row r="44" ht="69" customHeight="1">
      <c r="A44" s="28" t="inlineStr">
        <is>
          <t>DEL-08</t>
        </is>
      </c>
      <c r="B44" s="28" t="inlineStr">
        <is>
          <t>Project delivery</t>
        </is>
      </c>
      <c r="C44" s="28" t="inlineStr">
        <is>
          <t>Scope</t>
        </is>
      </c>
      <c r="D44" s="28" t="inlineStr">
        <is>
          <t>Change requests</t>
        </is>
      </c>
      <c r="E44" s="28" t="inlineStr">
        <is>
          <t>Paid scope changes are captured, estimated and approved, never done for free.</t>
        </is>
      </c>
      <c r="F44" s="28" t="inlineStr">
        <is>
          <t>Client asks for something outside scope</t>
        </is>
      </c>
      <c r="G44" s="28" t="inlineStr">
        <is>
          <t>1. PM raises the CR: title, description
2. Estimate hours and value
3. Admin/PM approves (adds value to the contract and can create a new milestone) or rejects
4. Mark Done when delivered</t>
        </is>
      </c>
      <c r="H44" s="29" t="inlineStr"/>
      <c r="I44" s="29" t="inlineStr">
        <is>
          <t>I</t>
        </is>
      </c>
      <c r="J44" s="30" t="inlineStr">
        <is>
          <t>A</t>
        </is>
      </c>
      <c r="K44" s="29" t="inlineStr">
        <is>
          <t>R</t>
        </is>
      </c>
      <c r="L44" s="29" t="inlineStr"/>
      <c r="M44" s="29" t="inlineStr"/>
      <c r="N44" s="29" t="inlineStr"/>
      <c r="O44" s="29" t="inlineStr"/>
      <c r="P44" s="29" t="inlineStr"/>
      <c r="Q44" s="29" t="inlineStr"/>
      <c r="R44" s="29" t="inlineStr"/>
      <c r="S44" s="29" t="inlineStr">
        <is>
          <t>C</t>
        </is>
      </c>
      <c r="T44" s="28" t="inlineStr">
        <is>
          <t>CR_STATUS (Raised &gt; Estimated &gt; Approved/Rejected &gt; Done); CR_DECIDED (decided CRs cannot change); hours &gt;= 0; a CR rejected after work started is logged as scope creep in Lost revenue.</t>
        </is>
      </c>
      <c r="U44" s="28" t="inlineStr">
        <is>
          <t>change_requests (title, description, hours, value_paise, status, raised_by, milestone_id, decided_by)</t>
        </is>
      </c>
      <c r="V44" s="28" t="inlineStr">
        <is>
          <t>CR value approved, scope creep</t>
        </is>
      </c>
      <c r="W44" s="28" t="inlineStr">
        <is>
          <t>PM Home (change requests), Approvals inbox (change_request), Lost revenue</t>
        </is>
      </c>
      <c r="X44" s="28" t="inlineStr">
        <is>
          <t>NTF-14 CR approved (to raiser)</t>
        </is>
      </c>
      <c r="Y44" s="28" t="inlineStr">
        <is>
          <t>/projects/:id/changes</t>
        </is>
      </c>
      <c r="Z44" s="28" t="inlineStr">
        <is>
          <t>change_requests.manage</t>
        </is>
      </c>
      <c r="AA44" s="29" t="inlineStr">
        <is>
          <t>Extended</t>
        </is>
      </c>
      <c r="AB44" s="28" t="inlineStr">
        <is>
          <t>v3 routes CRs into the Approvals inbox and Lost revenue register.</t>
        </is>
      </c>
    </row>
    <row r="45" ht="56" customHeight="1">
      <c r="A45" s="28" t="inlineStr">
        <is>
          <t>DEL-09</t>
        </is>
      </c>
      <c r="B45" s="28" t="inlineStr">
        <is>
          <t>Project delivery</t>
        </is>
      </c>
      <c r="C45" s="28" t="inlineStr">
        <is>
          <t>Money</t>
        </is>
      </c>
      <c r="D45" s="28" t="inlineStr">
        <is>
          <t>Margin and health monitoring</t>
        </is>
      </c>
      <c r="E45" s="28" t="inlineStr">
        <is>
          <t>Shows planned, projected and actual margin and flags projects at risk early.</t>
        </is>
      </c>
      <c r="F45" s="28" t="inlineStr">
        <is>
          <t>Weekly review, or any change to hours, estimates or invoices</t>
        </is>
      </c>
      <c r="G45" s="28" t="inlineStr">
        <is>
          <t>1. Open the Money tab: planned vs projected vs actual cost, revenue, margin and markup
2. Health is computed: On track / At risk / Off track
3. PM acts on red items; CEO sees the health strip</t>
        </is>
      </c>
      <c r="H45" s="29" t="inlineStr"/>
      <c r="I45" s="29" t="inlineStr">
        <is>
          <t>I</t>
        </is>
      </c>
      <c r="J45" s="30" t="inlineStr">
        <is>
          <t>A</t>
        </is>
      </c>
      <c r="K45" s="29" t="inlineStr">
        <is>
          <t>I</t>
        </is>
      </c>
      <c r="L45" s="29" t="inlineStr"/>
      <c r="M45" s="29" t="inlineStr"/>
      <c r="N45" s="29" t="inlineStr"/>
      <c r="O45" s="29" t="inlineStr"/>
      <c r="P45" s="29" t="inlineStr"/>
      <c r="Q45" s="29" t="inlineStr"/>
      <c r="R45" s="29" t="inlineStr"/>
      <c r="S45" s="29" t="inlineStr"/>
      <c r="T45" s="28" t="inlineStr">
        <is>
          <t>BR-23..BR-26; MARGIN_BELOW_FLOOR warning (projects.margin_floor_pct 25%); effort ratio alert 1.2; margins visible to Admin and PMs with the margins grant only.</t>
        </is>
      </c>
      <c r="U45" s="28" t="inlineStr">
        <is>
          <t>computed from tasks, cost rates, approved hours, invoices</t>
        </is>
      </c>
      <c r="V45" s="28" t="inlineStr">
        <is>
          <t>Margin %, markup %, effort ratio, SPI, health</t>
        </is>
      </c>
      <c r="W45" s="28" t="inlineStr">
        <is>
          <t>PM Home (delivery control), CEO Home (project health), Insights</t>
        </is>
      </c>
      <c r="X45" s="28" t="inlineStr">
        <is>
          <t>-</t>
        </is>
      </c>
      <c r="Y45" s="28" t="inlineStr">
        <is>
          <t>/projects/:id/money</t>
        </is>
      </c>
      <c r="Z45" s="28" t="inlineStr">
        <is>
          <t>margins.view</t>
        </is>
      </c>
      <c r="AA45" s="29" t="inlineStr">
        <is>
          <t>Live</t>
        </is>
      </c>
      <c r="AB45" s="28" t="inlineStr">
        <is>
          <t>-</t>
        </is>
      </c>
    </row>
    <row r="46" ht="43" customHeight="1">
      <c r="A46" s="28" t="inlineStr">
        <is>
          <t>DEL-10</t>
        </is>
      </c>
      <c r="B46" s="28" t="inlineStr">
        <is>
          <t>Project delivery</t>
        </is>
      </c>
      <c r="C46" s="28" t="inlineStr">
        <is>
          <t>Client</t>
        </is>
      </c>
      <c r="D46" s="28" t="inlineStr">
        <is>
          <t>Client status report (money-free view)</t>
        </is>
      </c>
      <c r="E46" s="28" t="inlineStr">
        <is>
          <t>Gives the client a clean progress view without exposing costs or margins.</t>
        </is>
      </c>
      <c r="F46" s="28" t="inlineStr">
        <is>
          <t>Weekly client call</t>
        </is>
      </c>
      <c r="G46" s="28" t="inlineStr">
        <is>
          <t>1. PM opens the client view
2. Shares milestone progress, dates and status (no money)
3. Discusses slips and next steps</t>
        </is>
      </c>
      <c r="H46" s="29" t="inlineStr"/>
      <c r="I46" s="29" t="inlineStr">
        <is>
          <t>I</t>
        </is>
      </c>
      <c r="J46" s="29" t="inlineStr">
        <is>
          <t>I</t>
        </is>
      </c>
      <c r="K46" s="29" t="inlineStr">
        <is>
          <t>R</t>
        </is>
      </c>
      <c r="L46" s="29" t="inlineStr"/>
      <c r="M46" s="29" t="inlineStr"/>
      <c r="N46" s="29" t="inlineStr"/>
      <c r="O46" s="29" t="inlineStr"/>
      <c r="P46" s="29" t="inlineStr"/>
      <c r="Q46" s="29" t="inlineStr"/>
      <c r="R46" s="29" t="inlineStr"/>
      <c r="S46" s="29" t="inlineStr">
        <is>
          <t>I</t>
        </is>
      </c>
      <c r="T46" s="28" t="inlineStr">
        <is>
          <t>No money fields are included.</t>
        </is>
      </c>
      <c r="U46" s="28" t="inlineStr">
        <is>
          <t>-</t>
        </is>
      </c>
      <c r="V46" s="28" t="inlineStr">
        <is>
          <t>Progress %, milestones achieved</t>
        </is>
      </c>
      <c r="W46" s="28" t="inlineStr">
        <is>
          <t>Client view page</t>
        </is>
      </c>
      <c r="X46" s="28" t="inlineStr">
        <is>
          <t>-</t>
        </is>
      </c>
      <c r="Y46" s="28" t="inlineStr">
        <is>
          <t>/projects/:id/client-view</t>
        </is>
      </c>
      <c r="Z46" s="28" t="inlineStr">
        <is>
          <t>projects.edit</t>
        </is>
      </c>
      <c r="AA46" s="29" t="inlineStr">
        <is>
          <t>Live</t>
        </is>
      </c>
      <c r="AB46" s="28" t="inlineStr">
        <is>
          <t>-</t>
        </is>
      </c>
    </row>
    <row r="47" ht="56" customHeight="1">
      <c r="A47" s="28" t="inlineStr">
        <is>
          <t>DEL-11</t>
        </is>
      </c>
      <c r="B47" s="28" t="inlineStr">
        <is>
          <t>Project delivery</t>
        </is>
      </c>
      <c r="C47" s="28" t="inlineStr">
        <is>
          <t>Closure</t>
        </is>
      </c>
      <c r="D47" s="28" t="inlineStr">
        <is>
          <t>Project closure</t>
        </is>
      </c>
      <c r="E47" s="28" t="inlineStr">
        <is>
          <t>Closes the books on a project: all billed, collected, documented and lessons captured.</t>
        </is>
      </c>
      <c r="F47" s="28" t="inlineStr">
        <is>
          <t>Last milestone achieved</t>
        </is>
      </c>
      <c r="G47" s="28" t="inlineStr">
        <is>
          <t>1. Achieve the last milestone and raise the final invoice
2. Collect payment; resolve open tasks and CRs
3. Set status Completed, then Closed with a reason
4. Hours can no longer be booked</t>
        </is>
      </c>
      <c r="H47" s="29" t="inlineStr"/>
      <c r="I47" s="29" t="inlineStr">
        <is>
          <t>I</t>
        </is>
      </c>
      <c r="J47" s="30" t="inlineStr">
        <is>
          <t>A</t>
        </is>
      </c>
      <c r="K47" s="29" t="inlineStr">
        <is>
          <t>R</t>
        </is>
      </c>
      <c r="L47" s="29" t="inlineStr"/>
      <c r="M47" s="29" t="inlineStr"/>
      <c r="N47" s="29" t="inlineStr"/>
      <c r="O47" s="29" t="inlineStr"/>
      <c r="P47" s="29" t="inlineStr">
        <is>
          <t>I</t>
        </is>
      </c>
      <c r="Q47" s="29" t="inlineStr"/>
      <c r="R47" s="29" t="inlineStr"/>
      <c r="S47" s="29" t="inlineStr">
        <is>
          <t>C</t>
        </is>
      </c>
      <c r="T47" s="28" t="inlineStr">
        <is>
          <t>BR-17 reason for Closed; TS_PROJECT_CLOSED.</t>
        </is>
      </c>
      <c r="U47" s="28" t="inlineStr">
        <is>
          <t>projects.status, history</t>
        </is>
      </c>
      <c r="V47" s="28" t="inlineStr">
        <is>
          <t>Final margin, effort ratio</t>
        </is>
      </c>
      <c r="W47" s="28" t="inlineStr">
        <is>
          <t>Projects, P&amp;L</t>
        </is>
      </c>
      <c r="X47" s="28" t="inlineStr">
        <is>
          <t>NTF-14 status changed</t>
        </is>
      </c>
      <c r="Y47" s="28" t="inlineStr">
        <is>
          <t>/projects/:id</t>
        </is>
      </c>
      <c r="Z47" s="28" t="inlineStr">
        <is>
          <t>projects.edit</t>
        </is>
      </c>
      <c r="AA47" s="29" t="inlineStr">
        <is>
          <t>Live</t>
        </is>
      </c>
      <c r="AB47" s="28" t="inlineStr">
        <is>
          <t>No closure checklist, client acceptance or lessons-learned record yet.</t>
        </is>
      </c>
    </row>
    <row r="48" ht="43" customHeight="1">
      <c r="A48" s="28" t="inlineStr">
        <is>
          <t>DEL-12</t>
        </is>
      </c>
      <c r="B48" s="28" t="inlineStr">
        <is>
          <t>Project delivery</t>
        </is>
      </c>
      <c r="C48" s="28" t="inlineStr">
        <is>
          <t>Resourcing</t>
        </is>
      </c>
      <c r="D48" s="28" t="inlineStr">
        <is>
          <t>Resource requisition</t>
        </is>
      </c>
      <c r="E48" s="28" t="inlineStr">
        <is>
          <t>PMs request people by skill and dates; HR fills from bench or hiring.</t>
        </is>
      </c>
      <c r="F48" s="28" t="inlineStr">
        <is>
          <t>Allocation gap on a project</t>
        </is>
      </c>
      <c r="G48" s="28" t="inlineStr">
        <is>
          <t>1. PM raises a requisition: role/skill, %, dates, project
2. HR proposes bench people or opens a hiring opening
3. PM confirms; allocation is created</t>
        </is>
      </c>
      <c r="H48" s="29" t="inlineStr"/>
      <c r="I48" s="29" t="inlineStr">
        <is>
          <t>I</t>
        </is>
      </c>
      <c r="J48" s="30" t="inlineStr">
        <is>
          <t>A</t>
        </is>
      </c>
      <c r="K48" s="29" t="inlineStr">
        <is>
          <t>R</t>
        </is>
      </c>
      <c r="L48" s="29" t="inlineStr">
        <is>
          <t>R</t>
        </is>
      </c>
      <c r="M48" s="29" t="inlineStr">
        <is>
          <t>I</t>
        </is>
      </c>
      <c r="N48" s="29" t="inlineStr"/>
      <c r="O48" s="29" t="inlineStr"/>
      <c r="P48" s="29" t="inlineStr"/>
      <c r="Q48" s="29" t="inlineStr"/>
      <c r="R48" s="29" t="inlineStr"/>
      <c r="S48" s="29" t="inlineStr"/>
      <c r="T48" s="28" t="inlineStr">
        <is>
          <t>-</t>
        </is>
      </c>
      <c r="U48" s="28" t="inlineStr">
        <is>
          <t>-</t>
        </is>
      </c>
      <c r="V48" s="28" t="inlineStr">
        <is>
          <t>-</t>
        </is>
      </c>
      <c r="W48" s="28" t="inlineStr">
        <is>
          <t>-</t>
        </is>
      </c>
      <c r="X48" s="28" t="inlineStr">
        <is>
          <t>-</t>
        </is>
      </c>
      <c r="Y48" s="28" t="inlineStr">
        <is>
          <t>-</t>
        </is>
      </c>
      <c r="Z48" s="28" t="inlineStr">
        <is>
          <t>- (planned)</t>
        </is>
      </c>
      <c r="AA48" s="29" t="inlineStr">
        <is>
          <t>Planned</t>
        </is>
      </c>
      <c r="AB48" s="28" t="inlineStr">
        <is>
          <t>Openings exist (HR-01) but are not linked to allocation gaps. Recommendation: requisition &gt; opening/allocation in one flow.</t>
        </is>
      </c>
    </row>
    <row r="49" ht="43" customHeight="1">
      <c r="A49" s="28" t="inlineStr">
        <is>
          <t>DEL-13</t>
        </is>
      </c>
      <c r="B49" s="28" t="inlineStr">
        <is>
          <t>Project delivery</t>
        </is>
      </c>
      <c r="C49" s="28" t="inlineStr">
        <is>
          <t>Resourcing</t>
        </is>
      </c>
      <c r="D49" s="28" t="inlineStr">
        <is>
          <t>Capacity planning and forecasting</t>
        </is>
      </c>
      <c r="E49" s="28" t="inlineStr">
        <is>
          <t>Sees 3-6 months ahead whether the team can deliver won and likely deals.</t>
        </is>
      </c>
      <c r="F49" s="28" t="inlineStr">
        <is>
          <t>Monthly planning</t>
        </is>
      </c>
      <c r="G49" s="28" t="inlineStr">
        <is>
          <t>1. Combine allocations, weighted pipeline and leave
2. Show demand vs capacity by role per month
3. Decide hire, defer or decline</t>
        </is>
      </c>
      <c r="H49" s="29" t="inlineStr"/>
      <c r="I49" s="29" t="inlineStr">
        <is>
          <t>I</t>
        </is>
      </c>
      <c r="J49" s="30" t="inlineStr">
        <is>
          <t>A</t>
        </is>
      </c>
      <c r="K49" s="29" t="inlineStr">
        <is>
          <t>R</t>
        </is>
      </c>
      <c r="L49" s="29" t="inlineStr">
        <is>
          <t>C</t>
        </is>
      </c>
      <c r="M49" s="29" t="inlineStr">
        <is>
          <t>I</t>
        </is>
      </c>
      <c r="N49" s="29" t="inlineStr">
        <is>
          <t>C</t>
        </is>
      </c>
      <c r="O49" s="29" t="inlineStr">
        <is>
          <t>C</t>
        </is>
      </c>
      <c r="P49" s="29" t="inlineStr"/>
      <c r="Q49" s="29" t="inlineStr"/>
      <c r="R49" s="29" t="inlineStr"/>
      <c r="S49" s="29" t="inlineStr"/>
      <c r="T49" s="28" t="inlineStr">
        <is>
          <t>-</t>
        </is>
      </c>
      <c r="U49" s="28" t="inlineStr">
        <is>
          <t>-</t>
        </is>
      </c>
      <c r="V49" s="28" t="inlineStr">
        <is>
          <t>-</t>
        </is>
      </c>
      <c r="W49" s="28" t="inlineStr">
        <is>
          <t>-</t>
        </is>
      </c>
      <c r="X49" s="28" t="inlineStr">
        <is>
          <t>-</t>
        </is>
      </c>
      <c r="Y49" s="28" t="inlineStr">
        <is>
          <t>-</t>
        </is>
      </c>
      <c r="Z49" s="28" t="inlineStr">
        <is>
          <t>- (planned)</t>
        </is>
      </c>
      <c r="AA49" s="29" t="inlineStr">
        <is>
          <t>Planned</t>
        </is>
      </c>
      <c r="AB49" s="28" t="inlineStr">
        <is>
          <t>Recommendation: extend the 10-day resource load to a monthly forecast using pipeline probability.</t>
        </is>
      </c>
    </row>
    <row r="50" ht="56" customHeight="1">
      <c r="A50" s="28" t="inlineStr">
        <is>
          <t>DEL-14</t>
        </is>
      </c>
      <c r="B50" s="28" t="inlineStr">
        <is>
          <t>Project delivery</t>
        </is>
      </c>
      <c r="C50" s="28" t="inlineStr">
        <is>
          <t>Support</t>
        </is>
      </c>
      <c r="D50" s="28" t="inlineStr">
        <is>
          <t>Support / AMS ticketing with SLA</t>
        </is>
      </c>
      <c r="E50" s="28" t="inlineStr">
        <is>
          <t>AMS contracts are sold on response and resolution SLAs; they must be measured.</t>
        </is>
      </c>
      <c r="F50" s="28" t="inlineStr">
        <is>
          <t>Client raises an incident or service request</t>
        </is>
      </c>
      <c r="G50" s="28" t="inlineStr">
        <is>
          <t>1. Client or PM logs a ticket with priority
2. SLA clock runs by priority and business hours
3. Consultant resolves and logs time; client confirms
4. Monthly SLA report per AMS client</t>
        </is>
      </c>
      <c r="H50" s="29" t="inlineStr"/>
      <c r="I50" s="29" t="inlineStr">
        <is>
          <t>I</t>
        </is>
      </c>
      <c r="J50" s="30" t="inlineStr">
        <is>
          <t>A</t>
        </is>
      </c>
      <c r="K50" s="29" t="inlineStr">
        <is>
          <t>R</t>
        </is>
      </c>
      <c r="L50" s="29" t="inlineStr"/>
      <c r="M50" s="29" t="inlineStr"/>
      <c r="N50" s="29" t="inlineStr"/>
      <c r="O50" s="29" t="inlineStr"/>
      <c r="P50" s="29" t="inlineStr">
        <is>
          <t>R</t>
        </is>
      </c>
      <c r="Q50" s="29" t="inlineStr"/>
      <c r="R50" s="29" t="inlineStr"/>
      <c r="S50" s="29" t="inlineStr">
        <is>
          <t>R</t>
        </is>
      </c>
      <c r="T50" s="28" t="inlineStr">
        <is>
          <t>-</t>
        </is>
      </c>
      <c r="U50" s="28" t="inlineStr">
        <is>
          <t>-</t>
        </is>
      </c>
      <c r="V50" s="28" t="inlineStr">
        <is>
          <t>-</t>
        </is>
      </c>
      <c r="W50" s="28" t="inlineStr">
        <is>
          <t>-</t>
        </is>
      </c>
      <c r="X50" s="28" t="inlineStr">
        <is>
          <t>-</t>
        </is>
      </c>
      <c r="Y50" s="28" t="inlineStr">
        <is>
          <t>-</t>
        </is>
      </c>
      <c r="Z50" s="28" t="inlineStr">
        <is>
          <t>- (planned)</t>
        </is>
      </c>
      <c r="AA50" s="29" t="inlineStr">
        <is>
          <t>Planned</t>
        </is>
      </c>
      <c r="AB50" s="28" t="inlineStr">
        <is>
          <t>Recommendation: essential for SAP AMS clients; link tickets to AMS retainer projects and timesheets.</t>
        </is>
      </c>
    </row>
    <row r="51" ht="95" customHeight="1">
      <c r="A51" s="28" t="inlineStr">
        <is>
          <t>TSK-01</t>
        </is>
      </c>
      <c r="B51" s="28" t="inlineStr">
        <is>
          <t>Task governance</t>
        </is>
      </c>
      <c r="C51" s="28" t="inlineStr">
        <is>
          <t>Assignment</t>
        </is>
      </c>
      <c r="D51" s="28" t="inlineStr">
        <is>
          <t>Manager assigns a task</t>
        </is>
      </c>
      <c r="E51" s="28" t="inlineStr">
        <is>
          <t>Any manager can give a dated, estimated task to their people, inside a project or as general work.</t>
        </is>
      </c>
      <c r="F51" s="28" t="inlineStr">
        <is>
          <t>Work to be done by a team member</t>
        </is>
      </c>
      <c r="G51" s="28" t="inlineStr">
        <is>
          <t>1. Open Team tasks &gt; Assign
2. Pick the person, project (or "General &amp; admin"), milestone, title, description, start, due, estimate, priority and reviewer
3. Save: owner is notified and the task appears in My tasks</t>
        </is>
      </c>
      <c r="H51" s="29" t="inlineStr"/>
      <c r="I51" s="29" t="inlineStr">
        <is>
          <t>I</t>
        </is>
      </c>
      <c r="J51" s="30" t="inlineStr">
        <is>
          <t>A</t>
        </is>
      </c>
      <c r="K51" s="29" t="inlineStr">
        <is>
          <t>R</t>
        </is>
      </c>
      <c r="L51" s="29" t="inlineStr">
        <is>
          <t>R</t>
        </is>
      </c>
      <c r="M51" s="29" t="inlineStr">
        <is>
          <t>I</t>
        </is>
      </c>
      <c r="N51" s="29" t="inlineStr">
        <is>
          <t>R</t>
        </is>
      </c>
      <c r="O51" s="29" t="inlineStr">
        <is>
          <t>I</t>
        </is>
      </c>
      <c r="P51" s="29" t="inlineStr">
        <is>
          <t>I</t>
        </is>
      </c>
      <c r="Q51" s="29" t="inlineStr">
        <is>
          <t>R</t>
        </is>
      </c>
      <c r="R51" s="29" t="inlineStr"/>
      <c r="S51" s="29" t="inlineStr"/>
      <c r="T51" s="28" t="inlineStr">
        <is>
          <t>Owner must be active; title 3-200; description up to 4,000; project must be Active or Initiated (or General &amp; admin); allowed only for Admin, the project PM, or the owner's manager (reporting line) else 403; due date not in the past and not before start; NON_WORKING_DAY warning; estimate 0.5-200 h; reviewer active and not the owner (TASK_SELF_REVIEW); default reviewer = the assigner.</t>
        </is>
      </c>
      <c r="U51" s="28" t="inlineStr">
        <is>
          <t>tasks (kind project/general, assigned_by, reviewer_id, priority, est_hours, start_on, due_on)</t>
        </is>
      </c>
      <c r="V51" s="28" t="inlineStr">
        <is>
          <t>Tasks assigned per person</t>
        </is>
      </c>
      <c r="W51" s="28" t="inlineStr">
        <is>
          <t>Team tasks, My tasks, Employee Home (Today / This week)</t>
        </is>
      </c>
      <c r="X51" s="28" t="inlineStr">
        <is>
          <t>NTF-14 task assigned</t>
        </is>
      </c>
      <c r="Y51" s="28" t="inlineStr">
        <is>
          <t>/team-tasks?tab=assign</t>
        </is>
      </c>
      <c r="Z51" s="28" t="inlineStr">
        <is>
          <t>tasks.assign_team|tasks.edit</t>
        </is>
      </c>
      <c r="AA51" s="29" t="inlineStr">
        <is>
          <t>New in v3</t>
        </is>
      </c>
      <c r="AB51" s="28" t="inlineStr">
        <is>
          <t>Built-in project GEN "General &amp; admin" holds non-client work.</t>
        </is>
      </c>
    </row>
    <row r="52" ht="56" customHeight="1">
      <c r="A52" s="28" t="inlineStr">
        <is>
          <t>TSK-02</t>
        </is>
      </c>
      <c r="B52" s="28" t="inlineStr">
        <is>
          <t>Task governance</t>
        </is>
      </c>
      <c r="C52" s="28" t="inlineStr">
        <is>
          <t>Execution</t>
        </is>
      </c>
      <c r="D52" s="28" t="inlineStr">
        <is>
          <t>Work my tasks (start, progress, covering)</t>
        </is>
      </c>
      <c r="E52" s="28" t="inlineStr">
        <is>
          <t>Each person has one ordered list of what to do, with overdue and blocked items on top.</t>
        </is>
      </c>
      <c r="F52" s="28" t="inlineStr">
        <is>
          <t>Task assigned</t>
        </is>
      </c>
      <c r="G52" s="28" t="inlineStr">
        <is>
          <t>1. Open My tasks: overdue (red), blocked first, then by due date; Covering list for tasks you back up
2. Move a task To do &gt; In progress
3. Log hours against it in the timesheet</t>
        </is>
      </c>
      <c r="H52" s="29" t="inlineStr"/>
      <c r="I52" s="29" t="inlineStr">
        <is>
          <t>I</t>
        </is>
      </c>
      <c r="J52" s="29" t="inlineStr">
        <is>
          <t>I</t>
        </is>
      </c>
      <c r="K52" s="29" t="inlineStr">
        <is>
          <t>C</t>
        </is>
      </c>
      <c r="L52" s="29" t="inlineStr">
        <is>
          <t>C</t>
        </is>
      </c>
      <c r="M52" s="29" t="inlineStr">
        <is>
          <t>I</t>
        </is>
      </c>
      <c r="N52" s="29" t="inlineStr">
        <is>
          <t>C</t>
        </is>
      </c>
      <c r="O52" s="29" t="inlineStr">
        <is>
          <t>C</t>
        </is>
      </c>
      <c r="P52" s="29" t="inlineStr">
        <is>
          <t>R</t>
        </is>
      </c>
      <c r="Q52" s="29" t="inlineStr">
        <is>
          <t>C</t>
        </is>
      </c>
      <c r="R52" s="29" t="inlineStr"/>
      <c r="S52" s="29" t="inlineStr"/>
      <c r="T52" s="28" t="inlineStr">
        <is>
          <t>TASK_BLOCKED (cannot start while a dependency is open); USE_REVIEW_FLOW (cannot set In review or Done directly; use Submit for review); backup covers when the owner is on leave.</t>
        </is>
      </c>
      <c r="U52" s="28" t="inlineStr">
        <is>
          <t>tasks.status</t>
        </is>
      </c>
      <c r="V52" s="28" t="inlineStr">
        <is>
          <t>Open, overdue, in review counts</t>
        </is>
      </c>
      <c r="W52" s="28" t="inlineStr">
        <is>
          <t>Employee Home (Today, Blockers, Others waiting on you)</t>
        </is>
      </c>
      <c r="X52" s="28" t="inlineStr">
        <is>
          <t>-</t>
        </is>
      </c>
      <c r="Y52" s="28" t="inlineStr">
        <is>
          <t>/my-tasks, task drawer</t>
        </is>
      </c>
      <c r="Z52" s="28" t="inlineStr">
        <is>
          <t>-</t>
        </is>
      </c>
      <c r="AA52" s="29" t="inlineStr">
        <is>
          <t>Live</t>
        </is>
      </c>
      <c r="AB52" s="28" t="inlineStr">
        <is>
          <t>-</t>
        </is>
      </c>
    </row>
    <row r="53" ht="82" customHeight="1">
      <c r="A53" s="28" t="inlineStr">
        <is>
          <t>TSK-03</t>
        </is>
      </c>
      <c r="B53" s="28" t="inlineStr">
        <is>
          <t>Task governance</t>
        </is>
      </c>
      <c r="C53" s="28" t="inlineStr">
        <is>
          <t>Execution</t>
        </is>
      </c>
      <c r="D53" s="28" t="inlineStr">
        <is>
          <t>Report a blocker; comments and @mentions</t>
        </is>
      </c>
      <c r="E53" s="28" t="inlineStr">
        <is>
          <t>Makes blockers and questions visible to the right person immediately.</t>
        </is>
      </c>
      <c r="F53" s="28" t="inlineStr">
        <is>
          <t>Work cannot proceed, or a question arises</t>
        </is>
      </c>
      <c r="G53" s="28" t="inlineStr">
        <is>
          <t>1. Set the task to Blocked with the reason, or add a dependency
2. PM is notified; blocking task and its owner are shown
3. Discuss in comments; @mention people
4. When the blocking task is approved, the owner is told they can start</t>
        </is>
      </c>
      <c r="H53" s="29" t="inlineStr"/>
      <c r="I53" s="29" t="inlineStr">
        <is>
          <t>I</t>
        </is>
      </c>
      <c r="J53" s="29" t="inlineStr">
        <is>
          <t>I</t>
        </is>
      </c>
      <c r="K53" s="30" t="inlineStr">
        <is>
          <t>A</t>
        </is>
      </c>
      <c r="L53" s="29" t="inlineStr"/>
      <c r="M53" s="29" t="inlineStr"/>
      <c r="N53" s="29" t="inlineStr"/>
      <c r="O53" s="29" t="inlineStr"/>
      <c r="P53" s="29" t="inlineStr">
        <is>
          <t>R</t>
        </is>
      </c>
      <c r="Q53" s="29" t="inlineStr">
        <is>
          <t>C</t>
        </is>
      </c>
      <c r="R53" s="29" t="inlineStr"/>
      <c r="S53" s="29" t="inlineStr"/>
      <c r="T53" s="28" t="inlineStr">
        <is>
          <t>Comment required, up to 4,000 characters; replies must be on the same task.</t>
        </is>
      </c>
      <c r="U53" s="28" t="inlineStr">
        <is>
          <t>tasks.blocked_reason, comments (body, mentions, parent_id)</t>
        </is>
      </c>
      <c r="V53" s="28" t="inlineStr">
        <is>
          <t>Blocked tasks, days blocked</t>
        </is>
      </c>
      <c r="W53" s="28" t="inlineStr">
        <is>
          <t>Insights &gt; Blocked, PM Home (Blocked), Employee Home (Blockers)</t>
        </is>
      </c>
      <c r="X53" s="28" t="inlineStr">
        <is>
          <t>NTF-14 task blocked (to PM); NTF-03 mention; NTF-14 "You can start a task"</t>
        </is>
      </c>
      <c r="Y53" s="28" t="inlineStr">
        <is>
          <t>Task drawer</t>
        </is>
      </c>
      <c r="Z53" s="28" t="inlineStr">
        <is>
          <t>R: (none); A: tasks.edit|tasks.review</t>
        </is>
      </c>
      <c r="AA53" s="29" t="inlineStr">
        <is>
          <t>Live</t>
        </is>
      </c>
      <c r="AB53" s="28" t="inlineStr">
        <is>
          <t>-</t>
        </is>
      </c>
    </row>
    <row r="54" ht="82" customHeight="1">
      <c r="A54" s="28" t="inlineStr">
        <is>
          <t>TSK-04</t>
        </is>
      </c>
      <c r="B54" s="28" t="inlineStr">
        <is>
          <t>Task governance</t>
        </is>
      </c>
      <c r="C54" s="28" t="inlineStr">
        <is>
          <t>Review</t>
        </is>
      </c>
      <c r="D54" s="28" t="inlineStr">
        <is>
          <t>Submit task for review</t>
        </is>
      </c>
      <c r="E54" s="28" t="inlineStr">
        <is>
          <t>Work is "done" only when someone else checks it; the owner states what was delivered and gives proof.</t>
        </is>
      </c>
      <c r="F54" s="28" t="inlineStr">
        <is>
          <t>Owner finishes the work</t>
        </is>
      </c>
      <c r="G54" s="28" t="inlineStr">
        <is>
          <t>1. Owner (or backup) clicks Submit for review
2. Writes what was delivered and adds an optional proof link
3. If past due: chooses a delay reason and explains it
4. Task goes In review; reviewer is notified and it appears in their Approvals inbox</t>
        </is>
      </c>
      <c r="H54" s="29" t="inlineStr"/>
      <c r="I54" s="29" t="inlineStr">
        <is>
          <t>I</t>
        </is>
      </c>
      <c r="J54" s="29" t="inlineStr">
        <is>
          <t>I</t>
        </is>
      </c>
      <c r="K54" s="29" t="inlineStr">
        <is>
          <t>C</t>
        </is>
      </c>
      <c r="L54" s="29" t="inlineStr">
        <is>
          <t>C</t>
        </is>
      </c>
      <c r="M54" s="29" t="inlineStr">
        <is>
          <t>I</t>
        </is>
      </c>
      <c r="N54" s="29" t="inlineStr">
        <is>
          <t>C</t>
        </is>
      </c>
      <c r="O54" s="29" t="inlineStr">
        <is>
          <t>C</t>
        </is>
      </c>
      <c r="P54" s="29" t="inlineStr">
        <is>
          <t>R</t>
        </is>
      </c>
      <c r="Q54" s="29" t="inlineStr">
        <is>
          <t>C</t>
        </is>
      </c>
      <c r="R54" s="29" t="inlineStr"/>
      <c r="S54" s="29" t="inlineStr"/>
      <c r="T54" s="28" t="inlineStr">
        <is>
          <t>Note min 5, max 2,000 characters; proof link must start with https://; INVALID_STATE (already in review / approved); TASK_BLOCKED (open dependency); DELAY_REASON_REQUIRED when submitted after the due date.</t>
        </is>
      </c>
      <c r="U54" s="28" t="inlineStr">
        <is>
          <t>task_reviews (round, submitted_by, submitted_at, submission_note, proof_url, delay_reason_code, delay_reason); tasks.submitted_on, review_round</t>
        </is>
      </c>
      <c r="V54" s="28" t="inlineStr">
        <is>
          <t>In review count, rounds</t>
        </is>
      </c>
      <c r="W54" s="28" t="inlineStr">
        <is>
          <t>Approvals inbox (task_review), Team tasks &gt; Review queue; Reports / Ask AI (task_reviews)</t>
        </is>
      </c>
      <c r="X54" s="28" t="inlineStr">
        <is>
          <t>NTF-04 task waiting for your review / resubmitted</t>
        </is>
      </c>
      <c r="Y54" s="28" t="inlineStr">
        <is>
          <t>Task drawer &gt; Submit for review</t>
        </is>
      </c>
      <c r="Z54" s="28" t="inlineStr">
        <is>
          <t>-</t>
        </is>
      </c>
      <c r="AA54" s="29" t="inlineStr">
        <is>
          <t>New in v3</t>
        </is>
      </c>
      <c r="AB54" s="28" t="inlineStr">
        <is>
          <t>-</t>
        </is>
      </c>
    </row>
    <row r="55" ht="108" customHeight="1">
      <c r="A55" s="28" t="inlineStr">
        <is>
          <t>TSK-05</t>
        </is>
      </c>
      <c r="B55" s="28" t="inlineStr">
        <is>
          <t>Task governance</t>
        </is>
      </c>
      <c r="C55" s="28" t="inlineStr">
        <is>
          <t>Review</t>
        </is>
      </c>
      <c r="D55" s="28" t="inlineStr">
        <is>
          <t>Delay reason capture</t>
        </is>
      </c>
      <c r="E55" s="28" t="inlineStr">
        <is>
          <t>Every late task carries a reason, so management fixes causes, not symptoms.</t>
        </is>
      </c>
      <c r="F55" s="28" t="inlineStr">
        <is>
          <t>Task submitted after its due date</t>
        </is>
      </c>
      <c r="G55" s="28" t="inlineStr">
        <is>
          <t>1. System detects the submission is late
2. Owner must choose a reason: scope changed, waiting on another task, client delay, effort underestimated, leave/absence, re-prioritised, technical issue, resource shortage, other
3. Owner explains what happened and what they did (min 15 characters)
4. Reasons roll up by person, team and company</t>
        </is>
      </c>
      <c r="H55" s="29" t="inlineStr"/>
      <c r="I55" s="29" t="inlineStr">
        <is>
          <t>I</t>
        </is>
      </c>
      <c r="J55" s="29" t="inlineStr">
        <is>
          <t>I</t>
        </is>
      </c>
      <c r="K55" s="29" t="inlineStr">
        <is>
          <t>I</t>
        </is>
      </c>
      <c r="L55" s="29" t="inlineStr">
        <is>
          <t>C</t>
        </is>
      </c>
      <c r="M55" s="29" t="inlineStr">
        <is>
          <t>I</t>
        </is>
      </c>
      <c r="N55" s="29" t="inlineStr">
        <is>
          <t>C</t>
        </is>
      </c>
      <c r="O55" s="29" t="inlineStr">
        <is>
          <t>C</t>
        </is>
      </c>
      <c r="P55" s="29" t="inlineStr">
        <is>
          <t>R</t>
        </is>
      </c>
      <c r="Q55" s="29" t="inlineStr">
        <is>
          <t>C</t>
        </is>
      </c>
      <c r="R55" s="29" t="inlineStr"/>
      <c r="S55" s="29" t="inlineStr"/>
      <c r="T55" s="28" t="inlineStr">
        <is>
          <t>DELAY_REASON_REQUIRED (code from the list + explanation min 15 characters); inbox warns "Submitted late without a delay reason" for older items.</t>
        </is>
      </c>
      <c r="U55" s="28" t="inlineStr">
        <is>
          <t>task_reviews.delay_reason_code / delay_reason; tasks.delay_reason_code / delay_reason</t>
        </is>
      </c>
      <c r="V55" s="28" t="inlineStr">
        <is>
          <t>Top delay reasons, count by reason</t>
        </is>
      </c>
      <c r="W55" s="28" t="inlineStr">
        <is>
          <t>Team tasks &gt; Performance (top reasons), Approvals inbox, My performance; Reports / Ask AI (tasks, task_reviews)</t>
        </is>
      </c>
      <c r="X55" s="28" t="inlineStr">
        <is>
          <t>-</t>
        </is>
      </c>
      <c r="Y55" s="28" t="inlineStr">
        <is>
          <t>Task drawer &gt; Submit for review</t>
        </is>
      </c>
      <c r="Z55" s="28" t="inlineStr">
        <is>
          <t>-</t>
        </is>
      </c>
      <c r="AA55" s="29" t="inlineStr">
        <is>
          <t>New in v3</t>
        </is>
      </c>
      <c r="AB55" s="28" t="inlineStr">
        <is>
          <t>-</t>
        </is>
      </c>
    </row>
    <row r="56" ht="82" customHeight="1">
      <c r="A56" s="28" t="inlineStr">
        <is>
          <t>TSK-06</t>
        </is>
      </c>
      <c r="B56" s="28" t="inlineStr">
        <is>
          <t>Task governance</t>
        </is>
      </c>
      <c r="C56" s="28" t="inlineStr">
        <is>
          <t>Review</t>
        </is>
      </c>
      <c r="D56" s="28" t="inlineStr">
        <is>
          <t>Approve task with quality rating</t>
        </is>
      </c>
      <c r="E56" s="28" t="inlineStr">
        <is>
          <t>The reviewer confirms the work and rates its quality; the completion date and timeliness are fixed at this point.</t>
        </is>
      </c>
      <c r="F56" s="28" t="inlineStr">
        <is>
          <t>Task in review</t>
        </is>
      </c>
      <c r="G56" s="28" t="inlineStr">
        <is>
          <t>1. Reviewer opens the item (inbox, review queue or task)
2. Checks the note and proof
3. Approves with a quality rating 1-5 and optional note
4. Task becomes Done; timeliness is stamped; dependants are unblocked; milestone progress updates</t>
        </is>
      </c>
      <c r="H56" s="29" t="inlineStr"/>
      <c r="I56" s="29" t="inlineStr">
        <is>
          <t>I</t>
        </is>
      </c>
      <c r="J56" s="30" t="inlineStr">
        <is>
          <t>A</t>
        </is>
      </c>
      <c r="K56" s="29" t="inlineStr">
        <is>
          <t>R</t>
        </is>
      </c>
      <c r="L56" s="29" t="inlineStr">
        <is>
          <t>R</t>
        </is>
      </c>
      <c r="M56" s="29" t="inlineStr">
        <is>
          <t>I</t>
        </is>
      </c>
      <c r="N56" s="29" t="inlineStr">
        <is>
          <t>R</t>
        </is>
      </c>
      <c r="O56" s="29" t="inlineStr">
        <is>
          <t>I</t>
        </is>
      </c>
      <c r="P56" s="29" t="inlineStr">
        <is>
          <t>I</t>
        </is>
      </c>
      <c r="Q56" s="29" t="inlineStr">
        <is>
          <t>R</t>
        </is>
      </c>
      <c r="R56" s="29" t="inlineStr"/>
      <c r="S56" s="29" t="inlineStr"/>
      <c r="T56" s="28" t="inlineStr">
        <is>
          <t>Reviewer = task reviewer, else project PM (project tasks), else assigner / owner's manager (general tasks); never the owner unless top admin (TASK_SELF_REVIEW); Admin may always review; quality rating 1-5 required; note up to 1,000; INVALID_STATE if not in review; inbox SLA = approval.sla_working_days (default 2) from submission.</t>
        </is>
      </c>
      <c r="U56" s="28" t="inlineStr">
        <is>
          <t>tasks (status done, done_on = submission date, approved_by, approved_on, timeliness, variance_days, quality_rating); task_reviews.decision approved</t>
        </is>
      </c>
      <c r="V56" s="28" t="inlineStr">
        <is>
          <t>On-time %, avg quality, first-pass %</t>
        </is>
      </c>
      <c r="W56" s="28" t="inlineStr">
        <is>
          <t>CEO/PM/Employee Home (task delivery), Team tasks &gt; Performance, My performance, Appraisal metrics, Scorecard; Reports / Ask AI (tasks, task_reviews)</t>
        </is>
      </c>
      <c r="X56" s="28" t="inlineStr">
        <is>
          <t>NTF-05 task approved (with rating and timeliness)</t>
        </is>
      </c>
      <c r="Y56" s="28" t="inlineStr">
        <is>
          <t>/inbox, /team-tasks?tab=review, task drawer</t>
        </is>
      </c>
      <c r="Z56" s="28" t="inlineStr">
        <is>
          <t>tasks.review</t>
        </is>
      </c>
      <c r="AA56" s="29" t="inlineStr">
        <is>
          <t>Extended</t>
        </is>
      </c>
      <c r="AB56" s="28" t="inlineStr">
        <is>
          <t>New in v3. v4: routed by the configurable "Task completion review" workflow (default: task reviewer) - WF-01 / WF-03.</t>
        </is>
      </c>
    </row>
    <row r="57" ht="56" customHeight="1">
      <c r="A57" s="28" t="inlineStr">
        <is>
          <t>TSK-07</t>
        </is>
      </c>
      <c r="B57" s="28" t="inlineStr">
        <is>
          <t>Task governance</t>
        </is>
      </c>
      <c r="C57" s="28" t="inlineStr">
        <is>
          <t>Review</t>
        </is>
      </c>
      <c r="D57" s="28" t="inlineStr">
        <is>
          <t>Send back with reason</t>
        </is>
      </c>
      <c r="E57" s="28" t="inlineStr">
        <is>
          <t>Rework is explicit, reasoned and counted, not a silent status change.</t>
        </is>
      </c>
      <c r="F57" s="28" t="inlineStr">
        <is>
          <t>Work not acceptable</t>
        </is>
      </c>
      <c r="G57" s="28" t="inlineStr">
        <is>
          <t>1. Reviewer clicks Send back and writes what must change
2. Optionally sets a new due date (logged as a reschedule)
3. Task returns to In progress; review round increases; owner is notified</t>
        </is>
      </c>
      <c r="H57" s="29" t="inlineStr"/>
      <c r="I57" s="29" t="inlineStr">
        <is>
          <t>I</t>
        </is>
      </c>
      <c r="J57" s="30" t="inlineStr">
        <is>
          <t>A</t>
        </is>
      </c>
      <c r="K57" s="29" t="inlineStr">
        <is>
          <t>R</t>
        </is>
      </c>
      <c r="L57" s="29" t="inlineStr">
        <is>
          <t>R</t>
        </is>
      </c>
      <c r="M57" s="29" t="inlineStr">
        <is>
          <t>I</t>
        </is>
      </c>
      <c r="N57" s="29" t="inlineStr">
        <is>
          <t>R</t>
        </is>
      </c>
      <c r="O57" s="29" t="inlineStr">
        <is>
          <t>I</t>
        </is>
      </c>
      <c r="P57" s="29" t="inlineStr">
        <is>
          <t>I</t>
        </is>
      </c>
      <c r="Q57" s="29" t="inlineStr">
        <is>
          <t>R</t>
        </is>
      </c>
      <c r="R57" s="29" t="inlineStr"/>
      <c r="S57" s="29" t="inlineStr"/>
      <c r="T57" s="28" t="inlineStr">
        <is>
          <t>Reason min 10, max 2,000 characters; INVALID_STATE (only tasks in review); new due date not in the past or before start; NON_WORKING_DAY warning.</t>
        </is>
      </c>
      <c r="U57" s="28" t="inlineStr">
        <is>
          <t>task_reviews (decision sent_back, decision_reason); activity log task.rescheduled</t>
        </is>
      </c>
      <c r="V57" s="28" t="inlineStr">
        <is>
          <t>Sent-back count, first-pass %</t>
        </is>
      </c>
      <c r="W57" s="28" t="inlineStr">
        <is>
          <t>Team tasks (sent-back count, last reason), My performance; Reports / Ask AI (task_reviews)</t>
        </is>
      </c>
      <c r="X57" s="28" t="inlineStr">
        <is>
          <t>NTF-06 task sent back</t>
        </is>
      </c>
      <c r="Y57" s="28" t="inlineStr">
        <is>
          <t>/inbox, task drawer</t>
        </is>
      </c>
      <c r="Z57" s="28" t="inlineStr">
        <is>
          <t>tasks.review</t>
        </is>
      </c>
      <c r="AA57" s="29" t="inlineStr">
        <is>
          <t>Extended</t>
        </is>
      </c>
      <c r="AB57" s="28" t="inlineStr">
        <is>
          <t>New in v3. v4: routed by the "Task completion review" workflow; send-back ends the chain and the next submission starts over.</t>
        </is>
      </c>
    </row>
    <row r="58" ht="56" customHeight="1">
      <c r="A58" s="28" t="inlineStr">
        <is>
          <t>TSK-08</t>
        </is>
      </c>
      <c r="B58" s="28" t="inlineStr">
        <is>
          <t>Task governance</t>
        </is>
      </c>
      <c r="C58" s="28" t="inlineStr">
        <is>
          <t>Planning</t>
        </is>
      </c>
      <c r="D58" s="28" t="inlineStr">
        <is>
          <t>Reschedule a task with reason</t>
        </is>
      </c>
      <c r="E58" s="28" t="inlineStr">
        <is>
          <t>Due dates cannot drift silently; every move is explained and kept.</t>
        </is>
      </c>
      <c r="F58" s="28" t="inlineStr">
        <is>
          <t>Due date needs to change</t>
        </is>
      </c>
      <c r="G58" s="28" t="inlineStr">
        <is>
          <t>1. PM / manager edits the due date
2. Must say why (min 10 characters)
3. Change is logged in task history; owner notified; reschedule count shows in Team tasks</t>
        </is>
      </c>
      <c r="H58" s="29" t="inlineStr"/>
      <c r="I58" s="29" t="inlineStr">
        <is>
          <t>I</t>
        </is>
      </c>
      <c r="J58" s="30" t="inlineStr">
        <is>
          <t>A</t>
        </is>
      </c>
      <c r="K58" s="29" t="inlineStr">
        <is>
          <t>R</t>
        </is>
      </c>
      <c r="L58" s="29" t="inlineStr"/>
      <c r="M58" s="29" t="inlineStr"/>
      <c r="N58" s="29" t="inlineStr"/>
      <c r="O58" s="29" t="inlineStr"/>
      <c r="P58" s="29" t="inlineStr">
        <is>
          <t>I</t>
        </is>
      </c>
      <c r="Q58" s="29" t="inlineStr">
        <is>
          <t>R</t>
        </is>
      </c>
      <c r="R58" s="29" t="inlineStr"/>
      <c r="S58" s="29" t="inlineStr"/>
      <c r="T58" s="28" t="inlineStr">
        <is>
          <t>DUE_REASON_REQUIRED; INVALID_STATE (approved tasks cannot change due date); DATE_RANGE.</t>
        </is>
      </c>
      <c r="U58" s="28" t="inlineStr">
        <is>
          <t>tasks.due_on; activity_log (task.rescheduled)</t>
        </is>
      </c>
      <c r="V58" s="28" t="inlineStr">
        <is>
          <t>Reschedule count per task/person</t>
        </is>
      </c>
      <c r="W58" s="28" t="inlineStr">
        <is>
          <t>Team tasks &gt; Team</t>
        </is>
      </c>
      <c r="X58" s="28" t="inlineStr">
        <is>
          <t>NTF-14 due date changed</t>
        </is>
      </c>
      <c r="Y58" s="28" t="inlineStr">
        <is>
          <t>Task drawer</t>
        </is>
      </c>
      <c r="Z58" s="28" t="inlineStr">
        <is>
          <t>tasks.edit|tasks.review</t>
        </is>
      </c>
      <c r="AA58" s="29" t="inlineStr">
        <is>
          <t>New in v3</t>
        </is>
      </c>
      <c r="AB58" s="28" t="inlineStr">
        <is>
          <t>-</t>
        </is>
      </c>
    </row>
    <row r="59" ht="69" customHeight="1">
      <c r="A59" s="28" t="inlineStr">
        <is>
          <t>TSK-09</t>
        </is>
      </c>
      <c r="B59" s="28" t="inlineStr">
        <is>
          <t>Task governance</t>
        </is>
      </c>
      <c r="C59" s="28" t="inlineStr">
        <is>
          <t>Measurement</t>
        </is>
      </c>
      <c r="D59" s="28" t="inlineStr">
        <is>
          <t>Timeliness: early, on time or late</t>
        </is>
      </c>
      <c r="E59" s="28" t="inlineStr">
        <is>
          <t>Turns every completed task into a fair, calendar-aware delivery record.</t>
        </is>
      </c>
      <c r="F59" s="28" t="inlineStr">
        <is>
          <t>Task approved</t>
        </is>
      </c>
      <c r="G59" s="28" t="inlineStr">
        <is>
          <t>1. System counts working days between due date and the submission date
2. Negative = early, 0 = on time, positive = late
3. Stored on the task and rolled up per person, team, project and company</t>
        </is>
      </c>
      <c r="H59" s="29" t="inlineStr"/>
      <c r="I59" s="29" t="inlineStr">
        <is>
          <t>I</t>
        </is>
      </c>
      <c r="J59" s="29" t="inlineStr">
        <is>
          <t>I</t>
        </is>
      </c>
      <c r="K59" s="29" t="inlineStr">
        <is>
          <t>I</t>
        </is>
      </c>
      <c r="L59" s="29" t="inlineStr">
        <is>
          <t>I</t>
        </is>
      </c>
      <c r="M59" s="29" t="inlineStr">
        <is>
          <t>I</t>
        </is>
      </c>
      <c r="N59" s="29" t="inlineStr">
        <is>
          <t>I</t>
        </is>
      </c>
      <c r="O59" s="29" t="inlineStr">
        <is>
          <t>I</t>
        </is>
      </c>
      <c r="P59" s="29" t="inlineStr">
        <is>
          <t>I</t>
        </is>
      </c>
      <c r="Q59" s="29" t="inlineStr">
        <is>
          <t>I</t>
        </is>
      </c>
      <c r="R59" s="29" t="inlineStr"/>
      <c r="S59" s="29" t="inlineStr"/>
      <c r="T59" s="28" t="inlineStr">
        <is>
          <t>Working days per BR-01 (weekends, holidays excluded); timeliness uses the date the work was submitted, not the approval date.</t>
        </is>
      </c>
      <c r="U59" s="28" t="inlineStr">
        <is>
          <t>tasks.timeliness, variance_days</t>
        </is>
      </c>
      <c r="V59" s="28" t="inlineStr">
        <is>
          <t>On-time % = (early + on time) / completed; avg variance days</t>
        </is>
      </c>
      <c r="W59" s="28" t="inlineStr">
        <is>
          <t>CEO Home, HR &amp; operations Home, PM Home, Employee Home (task delivery panels), Team tasks &gt; Performance, Scorecard, Appraisals, Reports / Ask AI (tasks.timeliness)</t>
        </is>
      </c>
      <c r="X59" s="28" t="inlineStr">
        <is>
          <t>-</t>
        </is>
      </c>
      <c r="Y59" s="28" t="inlineStr">
        <is>
          <t>Computed (performance.ts)</t>
        </is>
      </c>
      <c r="Z59" s="28" t="inlineStr">
        <is>
          <t>-</t>
        </is>
      </c>
      <c r="AA59" s="29" t="inlineStr">
        <is>
          <t>New in v3</t>
        </is>
      </c>
      <c r="AB59" s="28" t="inlineStr">
        <is>
          <t>-</t>
        </is>
      </c>
    </row>
    <row r="60" ht="56" customHeight="1">
      <c r="A60" s="28" t="inlineStr">
        <is>
          <t>TSK-10</t>
        </is>
      </c>
      <c r="B60" s="28" t="inlineStr">
        <is>
          <t>Task governance</t>
        </is>
      </c>
      <c r="C60" s="28" t="inlineStr">
        <is>
          <t>Monitoring</t>
        </is>
      </c>
      <c r="D60" s="28" t="inlineStr">
        <is>
          <t>Team task monitoring</t>
        </is>
      </c>
      <c r="E60" s="28" t="inlineStr">
        <is>
          <t>Gives managers one live list of their team's work with the signals that matter.</t>
        </is>
      </c>
      <c r="F60" s="28" t="inlineStr">
        <is>
          <t>Daily stand-up / weekly review</t>
        </is>
      </c>
      <c r="G60" s="28" t="inlineStr">
        <is>
          <t>1. Open Team tasks &gt; Team
2. Filter by person, project, status
3. See overdue days, delay reason, sent-back count and last reason, reschedule count, quality</t>
        </is>
      </c>
      <c r="H60" s="29" t="inlineStr"/>
      <c r="I60" s="29" t="inlineStr">
        <is>
          <t>I</t>
        </is>
      </c>
      <c r="J60" s="30" t="inlineStr">
        <is>
          <t>A</t>
        </is>
      </c>
      <c r="K60" s="29" t="inlineStr">
        <is>
          <t>R</t>
        </is>
      </c>
      <c r="L60" s="29" t="inlineStr">
        <is>
          <t>C</t>
        </is>
      </c>
      <c r="M60" s="29" t="inlineStr">
        <is>
          <t>I</t>
        </is>
      </c>
      <c r="N60" s="29" t="inlineStr">
        <is>
          <t>C</t>
        </is>
      </c>
      <c r="O60" s="29" t="inlineStr">
        <is>
          <t>C</t>
        </is>
      </c>
      <c r="P60" s="29" t="inlineStr"/>
      <c r="Q60" s="29" t="inlineStr">
        <is>
          <t>R</t>
        </is>
      </c>
      <c r="R60" s="29" t="inlineStr"/>
      <c r="S60" s="29" t="inlineStr"/>
      <c r="T60" s="28" t="inlineStr">
        <is>
          <t>Scope: Admin and HR see all; managers see their team, tasks they assigned or review, and their projects.</t>
        </is>
      </c>
      <c r="U60" s="28" t="inlineStr">
        <is>
          <t>tasks, task_reviews, activity_log</t>
        </is>
      </c>
      <c r="V60" s="28" t="inlineStr">
        <is>
          <t>Overdue days, sent backs, reschedules</t>
        </is>
      </c>
      <c r="W60" s="28" t="inlineStr">
        <is>
          <t>Team tasks; Reports / Ask AI (tasks)</t>
        </is>
      </c>
      <c r="X60" s="28" t="inlineStr">
        <is>
          <t>-</t>
        </is>
      </c>
      <c r="Y60" s="28" t="inlineStr">
        <is>
          <t>/team-tasks?tab=team</t>
        </is>
      </c>
      <c r="Z60" s="28" t="inlineStr">
        <is>
          <t>team.view</t>
        </is>
      </c>
      <c r="AA60" s="29" t="inlineStr">
        <is>
          <t>New in v3</t>
        </is>
      </c>
      <c r="AB60" s="28" t="inlineStr">
        <is>
          <t>-</t>
        </is>
      </c>
    </row>
    <row r="61" ht="82" customHeight="1">
      <c r="A61" s="28" t="inlineStr">
        <is>
          <t>TSK-11</t>
        </is>
      </c>
      <c r="B61" s="28" t="inlineStr">
        <is>
          <t>Task governance</t>
        </is>
      </c>
      <c r="C61" s="28" t="inlineStr">
        <is>
          <t>Monitoring</t>
        </is>
      </c>
      <c r="D61" s="28" t="inlineStr">
        <is>
          <t>Team and company delivery performance</t>
        </is>
      </c>
      <c r="E61" s="28" t="inlineStr">
        <is>
          <t>Shows who delivers on time and with quality, by person, project or manager.</t>
        </is>
      </c>
      <c r="F61" s="28" t="inlineStr">
        <is>
          <t>Weekly / monthly review, appraisal</t>
        </is>
      </c>
      <c r="G61" s="28" t="inlineStr">
        <is>
          <t>1. Open Team tasks &gt; Performance (or the Task delivery panel on Home)
2. Choose scope (me / team / company) and group (person / project / manager)
3. Review on-time %, early/on-time/late, avg variance, first-pass %, quality, top delay reasons</t>
        </is>
      </c>
      <c r="H61" s="29" t="inlineStr"/>
      <c r="I61" s="29" t="inlineStr">
        <is>
          <t>I</t>
        </is>
      </c>
      <c r="J61" s="30" t="inlineStr">
        <is>
          <t>A</t>
        </is>
      </c>
      <c r="K61" s="29" t="inlineStr">
        <is>
          <t>R</t>
        </is>
      </c>
      <c r="L61" s="29" t="inlineStr">
        <is>
          <t>R</t>
        </is>
      </c>
      <c r="M61" s="29" t="inlineStr">
        <is>
          <t>I</t>
        </is>
      </c>
      <c r="N61" s="29" t="inlineStr">
        <is>
          <t>C</t>
        </is>
      </c>
      <c r="O61" s="29" t="inlineStr">
        <is>
          <t>C</t>
        </is>
      </c>
      <c r="P61" s="29" t="inlineStr">
        <is>
          <t>I</t>
        </is>
      </c>
      <c r="Q61" s="29" t="inlineStr">
        <is>
          <t>R</t>
        </is>
      </c>
      <c r="R61" s="29" t="inlineStr"/>
      <c r="S61" s="29" t="inlineStr"/>
      <c r="T61" s="28" t="inlineStr">
        <is>
          <t>Admin and HR &amp; operations get company scope; managers get team; others only themselves.</t>
        </is>
      </c>
      <c r="U61" s="28" t="inlineStr">
        <is>
          <t>computed from tasks and task_reviews</t>
        </is>
      </c>
      <c r="V61" s="28" t="inlineStr">
        <is>
          <t>On-time %, avg variance, first-pass %, avg quality, delay reasons</t>
        </is>
      </c>
      <c r="W61" s="28" t="inlineStr">
        <is>
          <t>CEO Home and HR &amp; operations Home (company, 90 days), PM Home (team), Employee Home (my delivery), CEO People panel (on-time %), Team tasks &gt; Performance, Reports / Ask AI (tasks, task_reviews)</t>
        </is>
      </c>
      <c r="X61" s="28" t="inlineStr">
        <is>
          <t>-</t>
        </is>
      </c>
      <c r="Y61" s="28" t="inlineStr">
        <is>
          <t>/team-tasks?tab=performance, /home</t>
        </is>
      </c>
      <c r="Z61" s="28" t="inlineStr">
        <is>
          <t>tasks.analytics</t>
        </is>
      </c>
      <c r="AA61" s="29" t="inlineStr">
        <is>
          <t>New in v3</t>
        </is>
      </c>
      <c r="AB61" s="28" t="inlineStr">
        <is>
          <t>-</t>
        </is>
      </c>
    </row>
    <row r="62" ht="82" customHeight="1">
      <c r="A62" s="28" t="inlineStr">
        <is>
          <t>TIM-01</t>
        </is>
      </c>
      <c r="B62" s="28" t="inlineStr">
        <is>
          <t>Time &amp; attendance</t>
        </is>
      </c>
      <c r="C62" s="28" t="inlineStr">
        <is>
          <t>Timesheet</t>
        </is>
      </c>
      <c r="D62" s="28" t="inlineStr">
        <is>
          <t>Weekly timesheet entry</t>
        </is>
      </c>
      <c r="E62" s="28" t="inlineStr">
        <is>
          <t>Every hour is linked to a task, leave or internal activity: the basis for cost, billing and pay.</t>
        </is>
      </c>
      <c r="F62" s="28" t="inlineStr">
        <is>
          <t>Daily, during the week</t>
        </is>
      </c>
      <c r="G62" s="28" t="inlineStr">
        <is>
          <t>1. Open the week grid (Mon-Sun)
2. Add rows for tasks, leave or internal activities; enter hours per day
3. Copy last week's rows if useful; save a draft any time</t>
        </is>
      </c>
      <c r="H62" s="29" t="inlineStr"/>
      <c r="I62" s="29" t="inlineStr">
        <is>
          <t>I</t>
        </is>
      </c>
      <c r="J62" s="29" t="inlineStr"/>
      <c r="K62" s="29" t="inlineStr"/>
      <c r="L62" s="29" t="inlineStr">
        <is>
          <t>R</t>
        </is>
      </c>
      <c r="M62" s="29" t="inlineStr">
        <is>
          <t>R</t>
        </is>
      </c>
      <c r="N62" s="29" t="inlineStr">
        <is>
          <t>R</t>
        </is>
      </c>
      <c r="O62" s="29" t="inlineStr">
        <is>
          <t>R</t>
        </is>
      </c>
      <c r="P62" s="29" t="inlineStr">
        <is>
          <t>R</t>
        </is>
      </c>
      <c r="Q62" s="29" t="inlineStr"/>
      <c r="R62" s="29" t="inlineStr"/>
      <c r="S62" s="29" t="inlineStr"/>
      <c r="T62" s="28" t="inlineStr">
        <is>
          <t>TS_BAD_WEEK (Monday); TS_TASK_NOT_ALLOWED (only tasks you own, back up or are allocated to); TS_PROJECT_CLOSED; TS_NOTE_REQUIRED for internal rows; TS_BAD_STEP (0.5 h); TS_FUTURE; TS_OVER_MAX (16 h/day); LEAVE_INVALID on holidays/weekly offs; duplicate rows rejected; TS_LOCKED; TS_NOT_EDITABLE after submit; COPY_SKIPPED warning.</t>
        </is>
      </c>
      <c r="U62" s="28" t="inlineStr">
        <is>
          <t>timesheet_weeks, timesheet_entries (work_date, kind, task_id, internal_code, leave_type, hours, note)</t>
        </is>
      </c>
      <c r="V62" s="28" t="inlineStr">
        <is>
          <t>Hours logged, actual hours per task</t>
        </is>
      </c>
      <c r="W62" s="28" t="inlineStr">
        <is>
          <t>Employee Home (my timesheet), Scorecard (timesheet)</t>
        </is>
      </c>
      <c r="X62" s="28" t="inlineStr">
        <is>
          <t>-</t>
        </is>
      </c>
      <c r="Y62" s="28" t="inlineStr">
        <is>
          <t>/timesheet</t>
        </is>
      </c>
      <c r="Z62" s="28" t="inlineStr">
        <is>
          <t>timesheet.own</t>
        </is>
      </c>
      <c r="AA62" s="29" t="inlineStr">
        <is>
          <t>Live</t>
        </is>
      </c>
      <c r="AB62" s="28" t="inlineStr">
        <is>
          <t>All roles including PM and Admin log time (timesheet.own).</t>
        </is>
      </c>
    </row>
    <row r="63" ht="43" customHeight="1">
      <c r="A63" s="28" t="inlineStr">
        <is>
          <t>TIM-02</t>
        </is>
      </c>
      <c r="B63" s="28" t="inlineStr">
        <is>
          <t>Time &amp; attendance</t>
        </is>
      </c>
      <c r="C63" s="28" t="inlineStr">
        <is>
          <t>Timesheet</t>
        </is>
      </c>
      <c r="D63" s="28" t="inlineStr">
        <is>
          <t>Submit the week</t>
        </is>
      </c>
      <c r="E63" s="28" t="inlineStr">
        <is>
          <t>Locks the week for approval and payroll.</t>
        </is>
      </c>
      <c r="F63" s="28" t="inlineStr">
        <is>
          <t>End of week (Friday nudge at 16:00)</t>
        </is>
      </c>
      <c r="G63" s="28" t="inlineStr">
        <is>
          <t>1. Review day totals (minimum 9 h per working day)
2. Submit the week; it becomes read-only
3. Approver is notified; the top person is auto-approved</t>
        </is>
      </c>
      <c r="H63" s="29" t="inlineStr"/>
      <c r="I63" s="29" t="inlineStr">
        <is>
          <t>I</t>
        </is>
      </c>
      <c r="J63" s="29" t="inlineStr"/>
      <c r="K63" s="29" t="inlineStr"/>
      <c r="L63" s="29" t="inlineStr">
        <is>
          <t>R</t>
        </is>
      </c>
      <c r="M63" s="29" t="inlineStr">
        <is>
          <t>R</t>
        </is>
      </c>
      <c r="N63" s="29" t="inlineStr">
        <is>
          <t>R</t>
        </is>
      </c>
      <c r="O63" s="29" t="inlineStr">
        <is>
          <t>R</t>
        </is>
      </c>
      <c r="P63" s="29" t="inlineStr">
        <is>
          <t>R</t>
        </is>
      </c>
      <c r="Q63" s="29" t="inlineStr">
        <is>
          <t>I</t>
        </is>
      </c>
      <c r="R63" s="29" t="inlineStr"/>
      <c r="S63" s="29" t="inlineStr"/>
      <c r="T63" s="28" t="inlineStr">
        <is>
          <t>TS_BAD_HOURS (log hours first); TS_FUTURE (week not started); TS_BELOW_MIN warning (days under calendar.min_hours_per_day); BR-05 read-only after submit; STALE.</t>
        </is>
      </c>
      <c r="U63" s="28" t="inlineStr">
        <is>
          <t>timesheet_weeks.status submitted, submitted_at, approver_id</t>
        </is>
      </c>
      <c r="V63" s="28" t="inlineStr">
        <is>
          <t>Timesheet compliance</t>
        </is>
      </c>
      <c r="W63" s="28" t="inlineStr">
        <is>
          <t>Insights &gt; Timesheet compliance, HR Home (timesheets missing)</t>
        </is>
      </c>
      <c r="X63" s="28" t="inlineStr">
        <is>
          <t>NTF-04 timesheet submitted; NTF-09 Friday nudge</t>
        </is>
      </c>
      <c r="Y63" s="28" t="inlineStr">
        <is>
          <t>/timesheet</t>
        </is>
      </c>
      <c r="Z63" s="28" t="inlineStr">
        <is>
          <t>timesheet.own</t>
        </is>
      </c>
      <c r="AA63" s="29" t="inlineStr">
        <is>
          <t>Live</t>
        </is>
      </c>
      <c r="AB63" s="28" t="inlineStr">
        <is>
          <t>NTF-09 Friday nudge and NTF-10 overdue digest are in the catalogue but no scheduler sends them in the current build.</t>
        </is>
      </c>
    </row>
    <row r="64" ht="82" customHeight="1">
      <c r="A64" s="28" t="inlineStr">
        <is>
          <t>TIM-03</t>
        </is>
      </c>
      <c r="B64" s="28" t="inlineStr">
        <is>
          <t>Time &amp; attendance</t>
        </is>
      </c>
      <c r="C64" s="28" t="inlineStr">
        <is>
          <t>Timesheet</t>
        </is>
      </c>
      <c r="D64" s="28" t="inlineStr">
        <is>
          <t>Timesheet approval and SLA</t>
        </is>
      </c>
      <c r="E64" s="28" t="inlineStr">
        <is>
          <t>Managers confirm hours within the approval SLA (default 2 working days); late approvals count against them.</t>
        </is>
      </c>
      <c r="F64" s="28" t="inlineStr">
        <is>
          <t>Week submitted</t>
        </is>
      </c>
      <c r="G64" s="28" t="inlineStr">
        <is>
          <t>1. Approver opens Timesheet approvals or the Approvals inbox: hours, days below minimum, days waiting, overdue badge
2. Approve, or reject with a reason (week reopens)
3. Bulk-approve several weeks if enabled
4. Team grid shows 8 weeks of status per person</t>
        </is>
      </c>
      <c r="H64" s="29" t="inlineStr"/>
      <c r="I64" s="30" t="inlineStr">
        <is>
          <t>A</t>
        </is>
      </c>
      <c r="J64" s="29" t="inlineStr"/>
      <c r="K64" s="29" t="inlineStr"/>
      <c r="L64" s="29" t="inlineStr">
        <is>
          <t>C</t>
        </is>
      </c>
      <c r="M64" s="29" t="inlineStr">
        <is>
          <t>I</t>
        </is>
      </c>
      <c r="N64" s="29" t="inlineStr"/>
      <c r="O64" s="29" t="inlineStr"/>
      <c r="P64" s="29" t="inlineStr">
        <is>
          <t>I</t>
        </is>
      </c>
      <c r="Q64" s="29" t="inlineStr">
        <is>
          <t>R</t>
        </is>
      </c>
      <c r="R64" s="29" t="inlineStr"/>
      <c r="S64" s="29" t="inlineStr"/>
      <c r="T64" s="28" t="inlineStr">
        <is>
          <t>BR-07 approver = reports-to or active delegate; TS_SELF_APPROVAL; TS_NOT_EDITABLE (only submitted weeks); BR-08 reject reason min 5 (TS_REASON_REQUIRED); TS_BULK_OFF; BR-10 SLA approval.sla_working_days (2); APPROVAL_LATE warning; BR-11 late decisions and pending past SLA count against the manager, never block.</t>
        </is>
      </c>
      <c r="U64" s="28" t="inlineStr">
        <is>
          <t>timesheet_weeks (decided_by, decided_at, late, reject_reason)</t>
        </is>
      </c>
      <c r="V64" s="28" t="inlineStr">
        <is>
          <t>Approval KPI = -(late + overdue pending); approval SLA %</t>
        </is>
      </c>
      <c r="W64" s="28" t="inlineStr">
        <is>
          <t>Approvals inbox (timesheet), PM Home (approvals for me), CEO Home (approvals by manager), Insights &gt; Approval KPI, Team grid, Scorecard (approvals)</t>
        </is>
      </c>
      <c r="X64" s="28" t="inlineStr">
        <is>
          <t>NTF-05 approved; NTF-06 rejected; NTF-10 overdue digest</t>
        </is>
      </c>
      <c r="Y64" s="28" t="inlineStr">
        <is>
          <t>/approvals, /inbox, /team</t>
        </is>
      </c>
      <c r="Z64" s="28" t="inlineStr">
        <is>
          <t>approvals.act</t>
        </is>
      </c>
      <c r="AA64" s="29" t="inlineStr">
        <is>
          <t>Extended</t>
        </is>
      </c>
      <c r="AB64" s="28" t="inlineStr">
        <is>
          <t>v4: routed by the configurable "Weekly timesheets" workflow (default: reporting manager, SLA 2 days) - WF-01 / WF-03.</t>
        </is>
      </c>
    </row>
    <row r="65" ht="43" customHeight="1">
      <c r="A65" s="28" t="inlineStr">
        <is>
          <t>TIM-04</t>
        </is>
      </c>
      <c r="B65" s="28" t="inlineStr">
        <is>
          <t>Time &amp; attendance</t>
        </is>
      </c>
      <c r="C65" s="28" t="inlineStr">
        <is>
          <t>Timesheet</t>
        </is>
      </c>
      <c r="D65" s="28" t="inlineStr">
        <is>
          <t>Weekly lock and unlock request</t>
        </is>
      </c>
      <c r="E65" s="28" t="inlineStr">
        <is>
          <t>Stops back-dated hour changes while allowing controlled fixes.</t>
        </is>
      </c>
      <c r="F65" s="28" t="inlineStr">
        <is>
          <t>Week ends unsubmitted (Monday 00:00)</t>
        </is>
      </c>
      <c r="G65" s="28" t="inlineStr">
        <is>
          <t>1. Week locks automatically
2. Employee requests unlock with a reason
3. Approver unlocks for 1-7 days, or declines with a reason</t>
        </is>
      </c>
      <c r="H65" s="29" t="inlineStr"/>
      <c r="I65" s="30" t="inlineStr">
        <is>
          <t>A</t>
        </is>
      </c>
      <c r="J65" s="29" t="inlineStr"/>
      <c r="K65" s="29" t="inlineStr"/>
      <c r="L65" s="29" t="inlineStr">
        <is>
          <t>R</t>
        </is>
      </c>
      <c r="M65" s="29" t="inlineStr">
        <is>
          <t>R</t>
        </is>
      </c>
      <c r="N65" s="29" t="inlineStr">
        <is>
          <t>R</t>
        </is>
      </c>
      <c r="O65" s="29" t="inlineStr">
        <is>
          <t>R</t>
        </is>
      </c>
      <c r="P65" s="29" t="inlineStr">
        <is>
          <t>R</t>
        </is>
      </c>
      <c r="Q65" s="29" t="inlineStr">
        <is>
          <t>R</t>
        </is>
      </c>
      <c r="R65" s="29" t="inlineStr"/>
      <c r="S65" s="29" t="inlineStr"/>
      <c r="T65" s="28" t="inlineStr">
        <is>
          <t>BR-06; TS_REASON_REQUIRED (min 5); TS_NOT_EDITABLE (only locked weeks); TS_UNLOCK_RANGE (1 to timesheet.unlock_max_days, default 7).</t>
        </is>
      </c>
      <c r="U65" s="28" t="inlineStr">
        <is>
          <t>timesheet_weeks (unlock_requested_at, unlock_reason, unlock_until)</t>
        </is>
      </c>
      <c r="V65" s="28" t="inlineStr">
        <is>
          <t>Locked weeks</t>
        </is>
      </c>
      <c r="W65" s="28" t="inlineStr">
        <is>
          <t>Approvals inbox (unlock)</t>
        </is>
      </c>
      <c r="X65" s="28" t="inlineStr">
        <is>
          <t>NTF-07 unlock requested; NTF-08 unlocked / declined</t>
        </is>
      </c>
      <c r="Y65" s="28" t="inlineStr">
        <is>
          <t>/timesheet, /approvals, /inbox</t>
        </is>
      </c>
      <c r="Z65" s="28" t="inlineStr">
        <is>
          <t>approvals.act</t>
        </is>
      </c>
      <c r="AA65" s="29" t="inlineStr">
        <is>
          <t>Live</t>
        </is>
      </c>
      <c r="AB65" s="28" t="inlineStr">
        <is>
          <t>-</t>
        </is>
      </c>
    </row>
    <row r="66" ht="56" customHeight="1">
      <c r="A66" s="28" t="inlineStr">
        <is>
          <t>TIM-05</t>
        </is>
      </c>
      <c r="B66" s="28" t="inlineStr">
        <is>
          <t>Time &amp; attendance</t>
        </is>
      </c>
      <c r="C66" s="28" t="inlineStr">
        <is>
          <t>Daily</t>
        </is>
      </c>
      <c r="D66" s="28" t="inlineStr">
        <is>
          <t>Daily update with proof</t>
        </is>
      </c>
      <c r="E66" s="28" t="inlineStr">
        <is>
          <t>"No proof, no progress": each day ends with what was finished and a link that proves it.</t>
        </is>
      </c>
      <c r="F66" s="28" t="inlineStr">
        <is>
          <t>End of each working day</t>
        </is>
      </c>
      <c r="G66" s="28" t="inlineStr">
        <is>
          <t>1. Write what you finished today
2. Add a proof link (commit, screenshot, demo URL), any blocker, and whether a demo was shown
3. Updates feed the weekly scorecard</t>
        </is>
      </c>
      <c r="H66" s="29" t="inlineStr"/>
      <c r="I66" s="29" t="inlineStr">
        <is>
          <t>I</t>
        </is>
      </c>
      <c r="J66" s="29" t="inlineStr">
        <is>
          <t>C</t>
        </is>
      </c>
      <c r="K66" s="29" t="inlineStr">
        <is>
          <t>C</t>
        </is>
      </c>
      <c r="L66" s="29" t="inlineStr">
        <is>
          <t>R</t>
        </is>
      </c>
      <c r="M66" s="29" t="inlineStr">
        <is>
          <t>R</t>
        </is>
      </c>
      <c r="N66" s="29" t="inlineStr">
        <is>
          <t>R</t>
        </is>
      </c>
      <c r="O66" s="29" t="inlineStr">
        <is>
          <t>R</t>
        </is>
      </c>
      <c r="P66" s="29" t="inlineStr">
        <is>
          <t>R</t>
        </is>
      </c>
      <c r="Q66" s="29" t="inlineStr">
        <is>
          <t>C</t>
        </is>
      </c>
      <c r="R66" s="29" t="inlineStr"/>
      <c r="S66" s="29" t="inlineStr"/>
      <c r="T66" s="28" t="inlineStr">
        <is>
          <t>DU_PROOF_REQUIRED (daily.proof_required); link must start with http(s)://; no future days; this week only; text required.</t>
        </is>
      </c>
      <c r="U66" s="28" t="inlineStr">
        <is>
          <t>daily_updates (date, done, proof_url, blocker, demo_shown)</t>
        </is>
      </c>
      <c r="V66" s="28" t="inlineStr">
        <is>
          <t>Update days / working days; Friday demo</t>
        </is>
      </c>
      <c r="W66" s="28" t="inlineStr">
        <is>
          <t>Scorecard (updates, demo)</t>
        </is>
      </c>
      <c r="X66" s="28" t="inlineStr">
        <is>
          <t>-</t>
        </is>
      </c>
      <c r="Y66" s="28" t="inlineStr">
        <is>
          <t>/daily</t>
        </is>
      </c>
      <c r="Z66" s="28" t="inlineStr">
        <is>
          <t>daily_update.post</t>
        </is>
      </c>
      <c r="AA66" s="29" t="inlineStr">
        <is>
          <t>Live</t>
        </is>
      </c>
      <c r="AB66" s="28" t="inlineStr">
        <is>
          <t>-</t>
        </is>
      </c>
    </row>
    <row r="67" ht="69" customHeight="1">
      <c r="A67" s="28" t="inlineStr">
        <is>
          <t>TIM-06</t>
        </is>
      </c>
      <c r="B67" s="28" t="inlineStr">
        <is>
          <t>Time &amp; attendance</t>
        </is>
      </c>
      <c r="C67" s="28" t="inlineStr">
        <is>
          <t>Leave</t>
        </is>
      </c>
      <c r="D67" s="28" t="inlineStr">
        <is>
          <t>Apply for leave</t>
        </is>
      </c>
      <c r="E67" s="28" t="inlineStr">
        <is>
          <t>Employees request leave in advance against a known balance.</t>
        </is>
      </c>
      <c r="F67" s="28" t="inlineStr">
        <is>
          <t>Employee plans time off</t>
        </is>
      </c>
      <c r="G67" s="28" t="inlineStr">
        <is>
          <t>1. Choose type (casual, sick, earned, compensatory, LWP), dates, full or half day, and reason
2. System shows working days and balance
3. Request goes to the reports-to manager (and their delegate); top person is auto-approved</t>
        </is>
      </c>
      <c r="H67" s="29" t="inlineStr"/>
      <c r="I67" s="29" t="inlineStr">
        <is>
          <t>I</t>
        </is>
      </c>
      <c r="J67" s="29" t="inlineStr"/>
      <c r="K67" s="29" t="inlineStr"/>
      <c r="L67" s="29" t="inlineStr">
        <is>
          <t>R</t>
        </is>
      </c>
      <c r="M67" s="29" t="inlineStr">
        <is>
          <t>R</t>
        </is>
      </c>
      <c r="N67" s="29" t="inlineStr">
        <is>
          <t>R</t>
        </is>
      </c>
      <c r="O67" s="29" t="inlineStr">
        <is>
          <t>R</t>
        </is>
      </c>
      <c r="P67" s="29" t="inlineStr">
        <is>
          <t>R</t>
        </is>
      </c>
      <c r="Q67" s="30" t="inlineStr">
        <is>
          <t>A</t>
        </is>
      </c>
      <c r="R67" s="29" t="inlineStr"/>
      <c r="S67" s="29" t="inlineStr"/>
      <c r="T67" s="28" t="inlineStr">
        <is>
          <t>Type and dates required; DATE_RANGE (max 60 days; more than 30 days in the past only via HR); reason min 5; LEAVE_INVALID (all days are offs/holidays); LEAVE_OVERLAP; LEAVE_BALANCE.</t>
        </is>
      </c>
      <c r="U67" s="28" t="inlineStr">
        <is>
          <t>leave_requests (user_id, from_on, to_on, type, portion, days, reason, status, approver_id)</t>
        </is>
      </c>
      <c r="V67" s="28" t="inlineStr">
        <is>
          <t>Leave taken, pending</t>
        </is>
      </c>
      <c r="W67" s="28" t="inlineStr">
        <is>
          <t>Leave page, Approvals inbox, HR Home (leave to approve); Reports / Ask AI (leave_requests)</t>
        </is>
      </c>
      <c r="X67" s="28" t="inlineStr">
        <is>
          <t>NTF-04 leave request (manager + delegate)</t>
        </is>
      </c>
      <c r="Y67" s="28" t="inlineStr">
        <is>
          <t>/leave</t>
        </is>
      </c>
      <c r="Z67" s="28" t="inlineStr">
        <is>
          <t>-</t>
        </is>
      </c>
      <c r="AA67" s="29" t="inlineStr">
        <is>
          <t>New in v3</t>
        </is>
      </c>
      <c r="AB67" s="28" t="inlineStr">
        <is>
          <t>-</t>
        </is>
      </c>
    </row>
    <row r="68" ht="82" customHeight="1">
      <c r="A68" s="28" t="inlineStr">
        <is>
          <t>TIM-07</t>
        </is>
      </c>
      <c r="B68" s="28" t="inlineStr">
        <is>
          <t>Time &amp; attendance</t>
        </is>
      </c>
      <c r="C68" s="28" t="inlineStr">
        <is>
          <t>Leave</t>
        </is>
      </c>
      <c r="D68" s="28" t="inlineStr">
        <is>
          <t>Approve, reject or cancel leave</t>
        </is>
      </c>
      <c r="E68" s="28" t="inlineStr">
        <is>
          <t>Managers decide quickly; approved leave flows into timesheets, working days and payroll.</t>
        </is>
      </c>
      <c r="F68" s="28" t="inlineStr">
        <is>
          <t>Leave request pending</t>
        </is>
      </c>
      <c r="G68" s="28" t="inlineStr">
        <is>
          <t>1. Manager (or delegate, or Admin) opens the request in the inbox or Leave page
2. Approve: balance re-checked, leave days written into timesheets
3. Reject with a reason
4. Employee may cancel before the leave starts</t>
        </is>
      </c>
      <c r="H68" s="29" t="inlineStr"/>
      <c r="I68" s="30" t="inlineStr">
        <is>
          <t>A</t>
        </is>
      </c>
      <c r="J68" s="29" t="inlineStr"/>
      <c r="K68" s="29" t="inlineStr"/>
      <c r="L68" s="29" t="inlineStr">
        <is>
          <t>C</t>
        </is>
      </c>
      <c r="M68" s="29" t="inlineStr">
        <is>
          <t>I</t>
        </is>
      </c>
      <c r="N68" s="29" t="inlineStr"/>
      <c r="O68" s="29" t="inlineStr"/>
      <c r="P68" s="29" t="inlineStr">
        <is>
          <t>I</t>
        </is>
      </c>
      <c r="Q68" s="29" t="inlineStr">
        <is>
          <t>R</t>
        </is>
      </c>
      <c r="R68" s="29" t="inlineStr"/>
      <c r="S68" s="29" t="inlineStr"/>
      <c r="T68" s="28" t="inlineStr">
        <is>
          <t>Only the person's manager, their delegate or Admin; cannot decide own leave; NOT_PENDING; LEAVE_BALANCE re-checked; reject reason min 5; LEAVE_STARTED (cannot cancel once started); LEAVE_WEEK_SUBMITTED warning; BR-09 leave appears in the timesheet; BR-01 approved leave is not a working day.</t>
        </is>
      </c>
      <c r="U68" s="28" t="inlineStr">
        <is>
          <t>leave_requests (decided_by, decided_at, decision_reason); leave (date, type, portion, source, approved_by); timesheet leave rows</t>
        </is>
      </c>
      <c r="V68" s="28" t="inlineStr">
        <is>
          <t>Leave days, LWP days (payroll)</t>
        </is>
      </c>
      <c r="W68" s="28" t="inlineStr">
        <is>
          <t>Approvals inbox (leave), HR Home (on leave today), Payroll; Reports / Ask AI (leave_requests)</t>
        </is>
      </c>
      <c r="X68" s="28" t="inlineStr">
        <is>
          <t>NTF-05 leave approved; NTF-06 leave not approved; NTF-04 leave cancelled</t>
        </is>
      </c>
      <c r="Y68" s="28" t="inlineStr">
        <is>
          <t>/leave, /inbox</t>
        </is>
      </c>
      <c r="Z68" s="28" t="inlineStr">
        <is>
          <t>leave.approve|approvals.act</t>
        </is>
      </c>
      <c r="AA68" s="29" t="inlineStr">
        <is>
          <t>Extended</t>
        </is>
      </c>
      <c r="AB68" s="28" t="inlineStr">
        <is>
          <t>New in v3. v4: routed by the configurable "Leave requests" workflow (default: reporting manager) - WF-01 / WF-03.</t>
        </is>
      </c>
    </row>
    <row r="69" ht="82" customHeight="1">
      <c r="A69" s="28" t="inlineStr">
        <is>
          <t>TIM-08</t>
        </is>
      </c>
      <c r="B69" s="28" t="inlineStr">
        <is>
          <t>Time &amp; attendance</t>
        </is>
      </c>
      <c r="C69" s="28" t="inlineStr">
        <is>
          <t>Leave</t>
        </is>
      </c>
      <c r="D69" s="28" t="inlineStr">
        <is>
          <t>Leave policy and balances</t>
        </is>
      </c>
      <c r="E69" s="28" t="inlineStr">
        <is>
          <t>Sets entitlement per leave type so balances are automatic and fair.</t>
        </is>
      </c>
      <c r="F69" s="28" t="inlineStr">
        <is>
          <t>Policy set-up or annual change</t>
        </is>
      </c>
      <c r="G69" s="28" t="inlineStr">
        <is>
          <t>1. HR sets annual days, carry-forward cap and accrual (upfront or monthly) per paid leave type
2. Balances are computed per person from joining date within the FY
3. Employees and managers see the balance when applying/deciding</t>
        </is>
      </c>
      <c r="H69" s="29" t="inlineStr"/>
      <c r="I69" s="30" t="inlineStr">
        <is>
          <t>A</t>
        </is>
      </c>
      <c r="J69" s="29" t="inlineStr"/>
      <c r="K69" s="29" t="inlineStr"/>
      <c r="L69" s="29" t="inlineStr">
        <is>
          <t>R</t>
        </is>
      </c>
      <c r="M69" s="29" t="inlineStr">
        <is>
          <t>I</t>
        </is>
      </c>
      <c r="N69" s="29" t="inlineStr"/>
      <c r="O69" s="29" t="inlineStr"/>
      <c r="P69" s="29" t="inlineStr">
        <is>
          <t>I</t>
        </is>
      </c>
      <c r="Q69" s="29" t="inlineStr">
        <is>
          <t>I</t>
        </is>
      </c>
      <c r="R69" s="29" t="inlineStr"/>
      <c r="S69" s="29" t="inlineStr"/>
      <c r="T69" s="28" t="inlineStr">
        <is>
          <t>Paid leave types only; annual days 0-60 (half days allowed); carry-forward 0-60.</t>
        </is>
      </c>
      <c r="U69" s="28" t="inlineStr">
        <is>
          <t>leave_policies (type, annual_days, carry_forward_max, accrual)</t>
        </is>
      </c>
      <c r="V69" s="28" t="inlineStr">
        <is>
          <t>Balance = accrued (pro-rata) + carried - taken - pending</t>
        </is>
      </c>
      <c r="W69" s="28" t="inlineStr">
        <is>
          <t>Leave page</t>
        </is>
      </c>
      <c r="X69" s="28" t="inlineStr">
        <is>
          <t>-</t>
        </is>
      </c>
      <c r="Y69" s="28" t="inlineStr">
        <is>
          <t>/leave (policy)</t>
        </is>
      </c>
      <c r="Z69" s="28" t="inlineStr">
        <is>
          <t>people.manage</t>
        </is>
      </c>
      <c r="AA69" s="29" t="inlineStr">
        <is>
          <t>New in v3</t>
        </is>
      </c>
      <c r="AB69" s="28" t="inlineStr">
        <is>
          <t>-</t>
        </is>
      </c>
    </row>
    <row r="70" ht="56" customHeight="1">
      <c r="A70" s="28" t="inlineStr">
        <is>
          <t>TIM-09</t>
        </is>
      </c>
      <c r="B70" s="28" t="inlineStr">
        <is>
          <t>Time &amp; attendance</t>
        </is>
      </c>
      <c r="C70" s="28" t="inlineStr">
        <is>
          <t>Leave</t>
        </is>
      </c>
      <c r="D70" s="28" t="inlineStr">
        <is>
          <t>HR leave entry and leave in timesheet</t>
        </is>
      </c>
      <c r="E70" s="28" t="inlineStr">
        <is>
          <t>HR can record leave for anyone (sick days, back-dated leave), and leave typed in a timesheet becomes a leave record.</t>
        </is>
      </c>
      <c r="F70" s="28" t="inlineStr">
        <is>
          <t>Unplanned absence, or correction</t>
        </is>
      </c>
      <c r="G70" s="28" t="inlineStr">
        <is>
          <t>1. HR/Admin records leave for a person: type, dates, half day
2. Or the employee adds a leave row in the timesheet
3. Leave register, timesheet and payroll stay in sync</t>
        </is>
      </c>
      <c r="H70" s="29" t="inlineStr"/>
      <c r="I70" s="30" t="inlineStr">
        <is>
          <t>A</t>
        </is>
      </c>
      <c r="J70" s="29" t="inlineStr"/>
      <c r="K70" s="29" t="inlineStr"/>
      <c r="L70" s="29" t="inlineStr">
        <is>
          <t>R</t>
        </is>
      </c>
      <c r="M70" s="29" t="inlineStr">
        <is>
          <t>R</t>
        </is>
      </c>
      <c r="N70" s="29" t="inlineStr"/>
      <c r="O70" s="29" t="inlineStr"/>
      <c r="P70" s="29" t="inlineStr">
        <is>
          <t>I</t>
        </is>
      </c>
      <c r="Q70" s="29" t="inlineStr">
        <is>
          <t>I</t>
        </is>
      </c>
      <c r="R70" s="29" t="inlineStr"/>
      <c r="S70" s="29" t="inlineStr"/>
      <c r="T70" s="28" t="inlineStr">
        <is>
          <t>BR-09; person must be active; max 60 days; LEAVE_INVALID (half day = one date; not a working day); already on leave; TS_NOT_EDITABLE / TS_LOCKED if that week is approved or locked; LEAVE_SKIPPED_OFFS warning.</t>
        </is>
      </c>
      <c r="U70" s="28" t="inlineStr">
        <is>
          <t>leave (source hr / timesheet)</t>
        </is>
      </c>
      <c r="V70" s="28" t="inlineStr">
        <is>
          <t>Leave and LWP days</t>
        </is>
      </c>
      <c r="W70" s="28" t="inlineStr">
        <is>
          <t>Payroll, Team grid</t>
        </is>
      </c>
      <c r="X70" s="28" t="inlineStr">
        <is>
          <t>-</t>
        </is>
      </c>
      <c r="Y70" s="28" t="inlineStr">
        <is>
          <t>/leave, /timesheet</t>
        </is>
      </c>
      <c r="Z70" s="28" t="inlineStr">
        <is>
          <t>leave.hr_entry</t>
        </is>
      </c>
      <c r="AA70" s="29" t="inlineStr">
        <is>
          <t>Live</t>
        </is>
      </c>
      <c r="AB70" s="28" t="inlineStr">
        <is>
          <t>-</t>
        </is>
      </c>
    </row>
    <row r="71" ht="43" customHeight="1">
      <c r="A71" s="28" t="inlineStr">
        <is>
          <t>TIM-10</t>
        </is>
      </c>
      <c r="B71" s="28" t="inlineStr">
        <is>
          <t>Time &amp; attendance</t>
        </is>
      </c>
      <c r="C71" s="28" t="inlineStr">
        <is>
          <t>Leave</t>
        </is>
      </c>
      <c r="D71" s="28" t="inlineStr">
        <is>
          <t>Compensatory off accrual</t>
        </is>
      </c>
      <c r="E71" s="28" t="inlineStr">
        <is>
          <t>Weekend or holiday work for clients (common in SAP go-lives) earns comp-off automatically.</t>
        </is>
      </c>
      <c r="F71" s="28" t="inlineStr">
        <is>
          <t>Approved hours on a weekly off or holiday</t>
        </is>
      </c>
      <c r="G71" s="28" t="inlineStr">
        <is>
          <t>1. System detects approved hours on a non-working day
2. Manager confirms comp-off credit
3. Credit added to compensatory balance with an expiry</t>
        </is>
      </c>
      <c r="H71" s="29" t="inlineStr"/>
      <c r="I71" s="30" t="inlineStr">
        <is>
          <t>A</t>
        </is>
      </c>
      <c r="J71" s="29" t="inlineStr"/>
      <c r="K71" s="29" t="inlineStr"/>
      <c r="L71" s="29" t="inlineStr">
        <is>
          <t>C</t>
        </is>
      </c>
      <c r="M71" s="29" t="inlineStr">
        <is>
          <t>I</t>
        </is>
      </c>
      <c r="N71" s="29" t="inlineStr"/>
      <c r="O71" s="29" t="inlineStr"/>
      <c r="P71" s="29" t="inlineStr">
        <is>
          <t>R</t>
        </is>
      </c>
      <c r="Q71" s="29" t="inlineStr">
        <is>
          <t>R</t>
        </is>
      </c>
      <c r="R71" s="29" t="inlineStr"/>
      <c r="S71" s="29" t="inlineStr"/>
      <c r="T71" s="28" t="inlineStr">
        <is>
          <t>-</t>
        </is>
      </c>
      <c r="U71" s="28" t="inlineStr">
        <is>
          <t>-</t>
        </is>
      </c>
      <c r="V71" s="28" t="inlineStr">
        <is>
          <t>-</t>
        </is>
      </c>
      <c r="W71" s="28" t="inlineStr">
        <is>
          <t>-</t>
        </is>
      </c>
      <c r="X71" s="28" t="inlineStr">
        <is>
          <t>-</t>
        </is>
      </c>
      <c r="Y71" s="28" t="inlineStr">
        <is>
          <t>-</t>
        </is>
      </c>
      <c r="Z71" s="28" t="inlineStr">
        <is>
          <t>- (planned)</t>
        </is>
      </c>
      <c r="AA71" s="29" t="inlineStr">
        <is>
          <t>Planned</t>
        </is>
      </c>
      <c r="AB71" s="28" t="inlineStr">
        <is>
          <t>Recommendation: compensatory leave type exists; add automatic accrual from approved weekend/holiday hours with 60-day expiry.</t>
        </is>
      </c>
    </row>
    <row r="72" ht="56" customHeight="1">
      <c r="A72" s="28" t="inlineStr">
        <is>
          <t>TIM-11</t>
        </is>
      </c>
      <c r="B72" s="28" t="inlineStr">
        <is>
          <t>Time &amp; attendance</t>
        </is>
      </c>
      <c r="C72" s="28" t="inlineStr">
        <is>
          <t>Attendance</t>
        </is>
      </c>
      <c r="D72" s="28" t="inlineStr">
        <is>
          <t>Attendance capture (office / WFH / client site)</t>
        </is>
      </c>
      <c r="E72" s="28" t="inlineStr">
        <is>
          <t>Records where people work each day for client billing, travel claims and statutory attendance registers.</t>
        </is>
      </c>
      <c r="F72" s="28" t="inlineStr">
        <is>
          <t>Daily</t>
        </is>
      </c>
      <c r="G72" s="28" t="inlineStr">
        <is>
          <t>1. Employee checks in (office, WFH, client site) from web or phone
2. Exceptions (missed check-in) go to the manager
3. Monthly attendance register for HR</t>
        </is>
      </c>
      <c r="H72" s="29" t="inlineStr"/>
      <c r="I72" s="29" t="inlineStr">
        <is>
          <t>I</t>
        </is>
      </c>
      <c r="J72" s="29" t="inlineStr"/>
      <c r="K72" s="29" t="inlineStr"/>
      <c r="L72" s="29" t="inlineStr">
        <is>
          <t>R</t>
        </is>
      </c>
      <c r="M72" s="29" t="inlineStr">
        <is>
          <t>R</t>
        </is>
      </c>
      <c r="N72" s="29" t="inlineStr">
        <is>
          <t>R</t>
        </is>
      </c>
      <c r="O72" s="29" t="inlineStr">
        <is>
          <t>R</t>
        </is>
      </c>
      <c r="P72" s="29" t="inlineStr">
        <is>
          <t>R</t>
        </is>
      </c>
      <c r="Q72" s="30" t="inlineStr">
        <is>
          <t>A</t>
        </is>
      </c>
      <c r="R72" s="29" t="inlineStr"/>
      <c r="S72" s="29" t="inlineStr"/>
      <c r="T72" s="28" t="inlineStr">
        <is>
          <t>-</t>
        </is>
      </c>
      <c r="U72" s="28" t="inlineStr">
        <is>
          <t>-</t>
        </is>
      </c>
      <c r="V72" s="28" t="inlineStr">
        <is>
          <t>-</t>
        </is>
      </c>
      <c r="W72" s="28" t="inlineStr">
        <is>
          <t>-</t>
        </is>
      </c>
      <c r="X72" s="28" t="inlineStr">
        <is>
          <t>-</t>
        </is>
      </c>
      <c r="Y72" s="28" t="inlineStr">
        <is>
          <t>-</t>
        </is>
      </c>
      <c r="Z72" s="28" t="inlineStr">
        <is>
          <t>- (planned)</t>
        </is>
      </c>
      <c r="AA72" s="29" t="inlineStr">
        <is>
          <t>Planned</t>
        </is>
      </c>
      <c r="AB72" s="28" t="inlineStr">
        <is>
          <t>Recommendation: light check-in tied to the timesheet, not a biometric system; feeds Shops &amp; Establishment registers.</t>
        </is>
      </c>
    </row>
    <row r="73" ht="82" customHeight="1">
      <c r="A73" s="28" t="inlineStr">
        <is>
          <t>DOC-01</t>
        </is>
      </c>
      <c r="B73" s="28" t="inlineStr">
        <is>
          <t>Documents &amp; knowledge</t>
        </is>
      </c>
      <c r="C73" s="28" t="inlineStr">
        <is>
          <t>Project documents</t>
        </is>
      </c>
      <c r="D73" s="28" t="inlineStr">
        <is>
          <t>PM uploads a project document</t>
        </is>
      </c>
      <c r="E73" s="28" t="inlineStr">
        <is>
          <t>Requirements, designs, test plans and minutes live with the project and reach the right people.</t>
        </is>
      </c>
      <c r="F73" s="28" t="inlineStr">
        <is>
          <t>New or updated project artefact</t>
        </is>
      </c>
      <c r="G73" s="28" t="inlineStr">
        <is>
          <t>1. PM (own project) or Admin opens Project &gt; Documents and clicks Upload
2. Title, category, visibility (project team, managers only, company), tags; attach a file or paste an https link
3. Optionally mark Must read: the team is notified and asked to acknowledge</t>
        </is>
      </c>
      <c r="H73" s="29" t="inlineStr"/>
      <c r="I73" s="29" t="inlineStr">
        <is>
          <t>I</t>
        </is>
      </c>
      <c r="J73" s="30" t="inlineStr">
        <is>
          <t>A</t>
        </is>
      </c>
      <c r="K73" s="29" t="inlineStr">
        <is>
          <t>R</t>
        </is>
      </c>
      <c r="L73" s="29" t="inlineStr">
        <is>
          <t>I</t>
        </is>
      </c>
      <c r="M73" s="29" t="inlineStr">
        <is>
          <t>I</t>
        </is>
      </c>
      <c r="N73" s="29" t="inlineStr"/>
      <c r="O73" s="29" t="inlineStr"/>
      <c r="P73" s="29" t="inlineStr">
        <is>
          <t>I</t>
        </is>
      </c>
      <c r="Q73" s="29" t="inlineStr"/>
      <c r="R73" s="29" t="inlineStr"/>
      <c r="S73" s="29" t="inlineStr"/>
      <c r="T73" s="28" t="inlineStr">
        <is>
          <t>Title 3-120 characters; category and visibility required; file OR link, not both; FILE_REJECTED (PDF, DOCX, XLSX, PPTX, PNG, JPG, CSV, TXT, MD; not empty; max 10 MB); link must start with https://; only Admin or the project's PM can change project documents.</t>
        </is>
      </c>
      <c r="U73" s="28" t="inlineStr">
        <is>
          <t>documents (project_id, title, category, visibility, must_read, tags, owner_id, current_version), document_versions (file, url, size, note, uploaded_by)</t>
        </is>
      </c>
      <c r="V73" s="28" t="inlineStr">
        <is>
          <t>Documents per project</t>
        </is>
      </c>
      <c r="W73" s="28" t="inlineStr">
        <is>
          <t>Project &gt; Documents, Documents library; Reports / Ask AI (documents)</t>
        </is>
      </c>
      <c r="X73" s="28" t="inlineStr">
        <is>
          <t>NTF-14 must-read document (to audience)</t>
        </is>
      </c>
      <c r="Y73" s="28" t="inlineStr">
        <is>
          <t>/projects/:id/documents</t>
        </is>
      </c>
      <c r="Z73" s="28" t="inlineStr">
        <is>
          <t>documents.manage</t>
        </is>
      </c>
      <c r="AA73" s="29" t="inlineStr">
        <is>
          <t>New in v3</t>
        </is>
      </c>
      <c r="AB73" s="28" t="inlineStr">
        <is>
          <t>-</t>
        </is>
      </c>
    </row>
    <row r="74" ht="56" customHeight="1">
      <c r="A74" s="28" t="inlineStr">
        <is>
          <t>DOC-02</t>
        </is>
      </c>
      <c r="B74" s="28" t="inlineStr">
        <is>
          <t>Documents &amp; knowledge</t>
        </is>
      </c>
      <c r="C74" s="28" t="inlineStr">
        <is>
          <t>Project documents</t>
        </is>
      </c>
      <c r="D74" s="28" t="inlineStr">
        <is>
          <t>Employees access project documents</t>
        </is>
      </c>
      <c r="E74" s="28" t="inlineStr">
        <is>
          <t>Everyone on the project finds the latest version in one place, without email attachments.</t>
        </is>
      </c>
      <c r="F74" s="28" t="inlineStr">
        <is>
          <t>Employee needs a project artefact</t>
        </is>
      </c>
      <c r="G74" s="28" t="inlineStr">
        <is>
          <t>1. Open Documents (or Project &gt; Documents)
2. See documents of projects you work on, plus company documents
3. Open or download; views are recorded</t>
        </is>
      </c>
      <c r="H74" s="29" t="inlineStr"/>
      <c r="I74" s="29" t="inlineStr">
        <is>
          <t>I</t>
        </is>
      </c>
      <c r="J74" s="29" t="inlineStr">
        <is>
          <t>I</t>
        </is>
      </c>
      <c r="K74" s="29" t="inlineStr">
        <is>
          <t>R</t>
        </is>
      </c>
      <c r="L74" s="29" t="inlineStr">
        <is>
          <t>R</t>
        </is>
      </c>
      <c r="M74" s="29" t="inlineStr">
        <is>
          <t>R</t>
        </is>
      </c>
      <c r="N74" s="29" t="inlineStr">
        <is>
          <t>R</t>
        </is>
      </c>
      <c r="O74" s="29" t="inlineStr">
        <is>
          <t>R</t>
        </is>
      </c>
      <c r="P74" s="29" t="inlineStr">
        <is>
          <t>R</t>
        </is>
      </c>
      <c r="Q74" s="29" t="inlineStr"/>
      <c r="R74" s="29" t="inlineStr"/>
      <c r="S74" s="29" t="inlineStr"/>
      <c r="T74" s="28" t="inlineStr">
        <is>
          <t>Visible if: visibility = company; or Admin/HR; or the project PM; or a project member (task owner, backup or allocated) when visibility = project. "Managers only" hides it from members. Anything else returns 404.</t>
        </is>
      </c>
      <c r="U74" s="28" t="inlineStr">
        <is>
          <t>document_views (document_id, user_id, at)</t>
        </is>
      </c>
      <c r="V74" s="28" t="inlineStr">
        <is>
          <t>Views per document</t>
        </is>
      </c>
      <c r="W74" s="28" t="inlineStr">
        <is>
          <t>Documents; Reports / Ask AI (documents)</t>
        </is>
      </c>
      <c r="X74" s="28" t="inlineStr">
        <is>
          <t>-</t>
        </is>
      </c>
      <c r="Y74" s="28" t="inlineStr">
        <is>
          <t>/documents, /projects/:id/documents</t>
        </is>
      </c>
      <c r="Z74" s="28" t="inlineStr">
        <is>
          <t>-</t>
        </is>
      </c>
      <c r="AA74" s="29" t="inlineStr">
        <is>
          <t>New in v3</t>
        </is>
      </c>
      <c r="AB74" s="28" t="inlineStr">
        <is>
          <t>-</t>
        </is>
      </c>
    </row>
    <row r="75" ht="56" customHeight="1">
      <c r="A75" s="28" t="inlineStr">
        <is>
          <t>DOC-03</t>
        </is>
      </c>
      <c r="B75" s="28" t="inlineStr">
        <is>
          <t>Documents &amp; knowledge</t>
        </is>
      </c>
      <c r="C75" s="28" t="inlineStr">
        <is>
          <t>Project documents</t>
        </is>
      </c>
      <c r="D75" s="28" t="inlineStr">
        <is>
          <t>New version, archive and restore</t>
        </is>
      </c>
      <c r="E75" s="28" t="inlineStr">
        <is>
          <t>Keeps one current version with full history; old documents are archived, not lost.</t>
        </is>
      </c>
      <c r="F75" s="28" t="inlineStr">
        <is>
          <t>Document revised or obsolete</t>
        </is>
      </c>
      <c r="G75" s="28" t="inlineStr">
        <is>
          <t>1. Upload a new version with a note on what changed
2. If must-read, acknowledgements reset and the team is notified again
3. Archive obsolete documents; restore if needed</t>
        </is>
      </c>
      <c r="H75" s="29" t="inlineStr"/>
      <c r="I75" s="29" t="inlineStr">
        <is>
          <t>I</t>
        </is>
      </c>
      <c r="J75" s="30" t="inlineStr">
        <is>
          <t>A</t>
        </is>
      </c>
      <c r="K75" s="29" t="inlineStr">
        <is>
          <t>R</t>
        </is>
      </c>
      <c r="L75" s="29" t="inlineStr">
        <is>
          <t>I</t>
        </is>
      </c>
      <c r="M75" s="29" t="inlineStr">
        <is>
          <t>I</t>
        </is>
      </c>
      <c r="N75" s="29" t="inlineStr"/>
      <c r="O75" s="29" t="inlineStr"/>
      <c r="P75" s="29" t="inlineStr">
        <is>
          <t>I</t>
        </is>
      </c>
      <c r="Q75" s="29" t="inlineStr"/>
      <c r="R75" s="29" t="inlineStr"/>
      <c r="S75" s="29" t="inlineStr"/>
      <c r="T75" s="28" t="inlineStr">
        <is>
          <t>Version note min 5 characters; ARCHIVED (restore before new version).</t>
        </is>
      </c>
      <c r="U75" s="28" t="inlineStr">
        <is>
          <t>document_versions, documents.archived</t>
        </is>
      </c>
      <c r="V75" s="28" t="inlineStr">
        <is>
          <t>-</t>
        </is>
      </c>
      <c r="W75" s="28" t="inlineStr">
        <is>
          <t>Documents</t>
        </is>
      </c>
      <c r="X75" s="28" t="inlineStr">
        <is>
          <t>NTF-14 must-read (new version)</t>
        </is>
      </c>
      <c r="Y75" s="28" t="inlineStr">
        <is>
          <t>/documents</t>
        </is>
      </c>
      <c r="Z75" s="28" t="inlineStr">
        <is>
          <t>documents.manage</t>
        </is>
      </c>
      <c r="AA75" s="29" t="inlineStr">
        <is>
          <t>New in v3</t>
        </is>
      </c>
      <c r="AB75" s="28" t="inlineStr">
        <is>
          <t>-</t>
        </is>
      </c>
    </row>
    <row r="76" ht="56" customHeight="1">
      <c r="A76" s="28" t="inlineStr">
        <is>
          <t>DOC-04</t>
        </is>
      </c>
      <c r="B76" s="28" t="inlineStr">
        <is>
          <t>Documents &amp; knowledge</t>
        </is>
      </c>
      <c r="C76" s="28" t="inlineStr">
        <is>
          <t>Compliance</t>
        </is>
      </c>
      <c r="D76" s="28" t="inlineStr">
        <is>
          <t>Must-read acknowledgement</t>
        </is>
      </c>
      <c r="E76" s="28" t="inlineStr">
        <is>
          <t>Proves people have read key documents (scope, test plan, policies).</t>
        </is>
      </c>
      <c r="F76" s="28" t="inlineStr">
        <is>
          <t>Must-read document published or updated</t>
        </is>
      </c>
      <c r="G76" s="28" t="inlineStr">
        <is>
          <t>1. Document appears in the reader's Approvals inbox as "Read: ..."
2. Reader opens it and clicks Acknowledge
3. Owner sees acknowledged / total for the current version</t>
        </is>
      </c>
      <c r="H76" s="29" t="inlineStr"/>
      <c r="I76" s="29" t="inlineStr">
        <is>
          <t>I</t>
        </is>
      </c>
      <c r="J76" s="30" t="inlineStr">
        <is>
          <t>A</t>
        </is>
      </c>
      <c r="K76" s="29" t="inlineStr">
        <is>
          <t>R</t>
        </is>
      </c>
      <c r="L76" s="29" t="inlineStr">
        <is>
          <t>R</t>
        </is>
      </c>
      <c r="M76" s="29" t="inlineStr">
        <is>
          <t>R</t>
        </is>
      </c>
      <c r="N76" s="29" t="inlineStr">
        <is>
          <t>R</t>
        </is>
      </c>
      <c r="O76" s="29" t="inlineStr">
        <is>
          <t>R</t>
        </is>
      </c>
      <c r="P76" s="29" t="inlineStr">
        <is>
          <t>R</t>
        </is>
      </c>
      <c r="Q76" s="29" t="inlineStr">
        <is>
          <t>I</t>
        </is>
      </c>
      <c r="R76" s="29" t="inlineStr"/>
      <c r="S76" s="29" t="inlineStr"/>
      <c r="T76" s="28" t="inlineStr">
        <is>
          <t>Required readers = project team (PM + members) or everyone for company documents; ARCHIVED documents need no acknowledgement; acknowledgement is per version.</t>
        </is>
      </c>
      <c r="U76" s="28" t="inlineStr">
        <is>
          <t>document_acks (document_id, version, user_id, at)</t>
        </is>
      </c>
      <c r="V76" s="28" t="inlineStr">
        <is>
          <t>Acknowledged % per document</t>
        </is>
      </c>
      <c r="W76" s="28" t="inlineStr">
        <is>
          <t>Approvals inbox (document), Documents; Reports / Ask AI (documents)</t>
        </is>
      </c>
      <c r="X76" s="28" t="inlineStr">
        <is>
          <t>NTF-14 must-read</t>
        </is>
      </c>
      <c r="Y76" s="28" t="inlineStr">
        <is>
          <t>/inbox, /documents</t>
        </is>
      </c>
      <c r="Z76" s="28" t="inlineStr">
        <is>
          <t>R: (none); A: documents.manage|documents.company</t>
        </is>
      </c>
      <c r="AA76" s="29" t="inlineStr">
        <is>
          <t>New in v3</t>
        </is>
      </c>
      <c r="AB76" s="28" t="inlineStr">
        <is>
          <t>-</t>
        </is>
      </c>
    </row>
    <row r="77" ht="56" customHeight="1">
      <c r="A77" s="28" t="inlineStr">
        <is>
          <t>DOC-05</t>
        </is>
      </c>
      <c r="B77" s="28" t="inlineStr">
        <is>
          <t>Documents &amp; knowledge</t>
        </is>
      </c>
      <c r="C77" s="28" t="inlineStr">
        <is>
          <t>Company library</t>
        </is>
      </c>
      <c r="D77" s="28" t="inlineStr">
        <is>
          <t>Company library and policies</t>
        </is>
      </c>
      <c r="E77" s="28" t="inlineStr">
        <is>
          <t>HR publishes the handbook, leave policy and other policies in one controlled place.</t>
        </is>
      </c>
      <c r="F77" s="28" t="inlineStr">
        <is>
          <t>Policy issued or revised</t>
        </is>
      </c>
      <c r="G77" s="28" t="inlineStr">
        <is>
          <t>1. HR/Admin uploads to the company library (no project)
2. Sets visibility (usually company) and must-read
3. Everyone acknowledges; onboarding checklist includes policy acknowledgement</t>
        </is>
      </c>
      <c r="H77" s="29" t="inlineStr"/>
      <c r="I77" s="30" t="inlineStr">
        <is>
          <t>A</t>
        </is>
      </c>
      <c r="J77" s="29" t="inlineStr"/>
      <c r="K77" s="29" t="inlineStr"/>
      <c r="L77" s="29" t="inlineStr">
        <is>
          <t>R</t>
        </is>
      </c>
      <c r="M77" s="29" t="inlineStr">
        <is>
          <t>R</t>
        </is>
      </c>
      <c r="N77" s="29" t="inlineStr">
        <is>
          <t>I</t>
        </is>
      </c>
      <c r="O77" s="29" t="inlineStr">
        <is>
          <t>I</t>
        </is>
      </c>
      <c r="P77" s="29" t="inlineStr">
        <is>
          <t>R</t>
        </is>
      </c>
      <c r="Q77" s="29" t="inlineStr">
        <is>
          <t>I</t>
        </is>
      </c>
      <c r="R77" s="29" t="inlineStr"/>
      <c r="S77" s="29" t="inlineStr"/>
      <c r="T77" s="28" t="inlineStr">
        <is>
          <t>Only Admin and HR &amp; operations manage the company library (documents.company).</t>
        </is>
      </c>
      <c r="U77" s="28" t="inlineStr">
        <is>
          <t>documents (project_id null)</t>
        </is>
      </c>
      <c r="V77" s="28" t="inlineStr">
        <is>
          <t>Policy acknowledgement %</t>
        </is>
      </c>
      <c r="W77" s="28" t="inlineStr">
        <is>
          <t>Documents, Approvals inbox; Reports / Ask AI (documents)</t>
        </is>
      </c>
      <c r="X77" s="28" t="inlineStr">
        <is>
          <t>NTF-14 must-read</t>
        </is>
      </c>
      <c r="Y77" s="28" t="inlineStr">
        <is>
          <t>/documents</t>
        </is>
      </c>
      <c r="Z77" s="28" t="inlineStr">
        <is>
          <t>R: (none); A: documents.company</t>
        </is>
      </c>
      <c r="AA77" s="29" t="inlineStr">
        <is>
          <t>New in v3</t>
        </is>
      </c>
      <c r="AB77" s="28" t="inlineStr">
        <is>
          <t>-</t>
        </is>
      </c>
    </row>
    <row r="78" ht="56" customHeight="1">
      <c r="A78" s="28" t="inlineStr">
        <is>
          <t>DOC-06</t>
        </is>
      </c>
      <c r="B78" s="28" t="inlineStr">
        <is>
          <t>Documents &amp; knowledge</t>
        </is>
      </c>
      <c r="C78" s="28" t="inlineStr">
        <is>
          <t>Knowledge</t>
        </is>
      </c>
      <c r="D78" s="28" t="inlineStr">
        <is>
          <t>Knowledge base</t>
        </is>
      </c>
      <c r="E78" s="28" t="inlineStr">
        <is>
          <t>Reusable know-how (SAP solution notes, how-tos, code standards) searchable by everyone.</t>
        </is>
      </c>
      <c r="F78" s="28" t="inlineStr">
        <is>
          <t>Problem solved worth reusing</t>
        </is>
      </c>
      <c r="G78" s="28" t="inlineStr">
        <is>
          <t>1. Author writes an article with tags and links to project/task
2. Peers review and publish
3. Search across articles and documents</t>
        </is>
      </c>
      <c r="H78" s="29" t="inlineStr"/>
      <c r="I78" s="30" t="inlineStr">
        <is>
          <t>A</t>
        </is>
      </c>
      <c r="J78" s="29" t="inlineStr">
        <is>
          <t>C</t>
        </is>
      </c>
      <c r="K78" s="29" t="inlineStr">
        <is>
          <t>C</t>
        </is>
      </c>
      <c r="L78" s="29" t="inlineStr">
        <is>
          <t>C</t>
        </is>
      </c>
      <c r="M78" s="29" t="inlineStr">
        <is>
          <t>I</t>
        </is>
      </c>
      <c r="N78" s="29" t="inlineStr"/>
      <c r="O78" s="29" t="inlineStr"/>
      <c r="P78" s="29" t="inlineStr">
        <is>
          <t>R</t>
        </is>
      </c>
      <c r="Q78" s="29" t="inlineStr"/>
      <c r="R78" s="29" t="inlineStr"/>
      <c r="S78" s="29" t="inlineStr"/>
      <c r="T78" s="28" t="inlineStr">
        <is>
          <t>-</t>
        </is>
      </c>
      <c r="U78" s="28" t="inlineStr">
        <is>
          <t>-</t>
        </is>
      </c>
      <c r="V78" s="28" t="inlineStr">
        <is>
          <t>-</t>
        </is>
      </c>
      <c r="W78" s="28" t="inlineStr">
        <is>
          <t>-</t>
        </is>
      </c>
      <c r="X78" s="28" t="inlineStr">
        <is>
          <t>-</t>
        </is>
      </c>
      <c r="Y78" s="28" t="inlineStr">
        <is>
          <t>-</t>
        </is>
      </c>
      <c r="Z78" s="28" t="inlineStr">
        <is>
          <t>- (planned)</t>
        </is>
      </c>
      <c r="AA78" s="29" t="inlineStr">
        <is>
          <t>Planned</t>
        </is>
      </c>
      <c r="AB78" s="28" t="inlineStr">
        <is>
          <t>Recommendation: lightweight articles in the Documents module with full-text search; credit authors in appraisals.</t>
        </is>
      </c>
    </row>
    <row r="79" ht="43" customHeight="1">
      <c r="A79" s="28" t="inlineStr">
        <is>
          <t>DOC-07</t>
        </is>
      </c>
      <c r="B79" s="28" t="inlineStr">
        <is>
          <t>Documents &amp; knowledge</t>
        </is>
      </c>
      <c r="C79" s="28" t="inlineStr">
        <is>
          <t>Compliance</t>
        </is>
      </c>
      <c r="D79" s="28" t="inlineStr">
        <is>
          <t>Policy attestation cycles</t>
        </is>
      </c>
      <c r="E79" s="28" t="inlineStr">
        <is>
          <t>Annual re-confirmation of key policies (code of conduct, POSH, data security) for ISO 9001 audits.</t>
        </is>
      </c>
      <c r="F79" s="28" t="inlineStr">
        <is>
          <t>Annual cycle or policy change</t>
        </is>
      </c>
      <c r="G79" s="28" t="inlineStr">
        <is>
          <t>1. HR launches an attestation campaign with a due date
2. Everyone acknowledges; reminders to laggards
3. Completion report for the auditor</t>
        </is>
      </c>
      <c r="H79" s="29" t="inlineStr"/>
      <c r="I79" s="30" t="inlineStr">
        <is>
          <t>A</t>
        </is>
      </c>
      <c r="J79" s="29" t="inlineStr"/>
      <c r="K79" s="29" t="inlineStr"/>
      <c r="L79" s="29" t="inlineStr">
        <is>
          <t>R</t>
        </is>
      </c>
      <c r="M79" s="29" t="inlineStr">
        <is>
          <t>R</t>
        </is>
      </c>
      <c r="N79" s="29" t="inlineStr">
        <is>
          <t>R</t>
        </is>
      </c>
      <c r="O79" s="29" t="inlineStr">
        <is>
          <t>R</t>
        </is>
      </c>
      <c r="P79" s="29" t="inlineStr">
        <is>
          <t>R</t>
        </is>
      </c>
      <c r="Q79" s="29" t="inlineStr">
        <is>
          <t>I</t>
        </is>
      </c>
      <c r="R79" s="29" t="inlineStr"/>
      <c r="S79" s="29" t="inlineStr"/>
      <c r="T79" s="28" t="inlineStr">
        <is>
          <t>-</t>
        </is>
      </c>
      <c r="U79" s="28" t="inlineStr">
        <is>
          <t>-</t>
        </is>
      </c>
      <c r="V79" s="28" t="inlineStr">
        <is>
          <t>-</t>
        </is>
      </c>
      <c r="W79" s="28" t="inlineStr">
        <is>
          <t>-</t>
        </is>
      </c>
      <c r="X79" s="28" t="inlineStr">
        <is>
          <t>-</t>
        </is>
      </c>
      <c r="Y79" s="28" t="inlineStr">
        <is>
          <t>-</t>
        </is>
      </c>
      <c r="Z79" s="28" t="inlineStr">
        <is>
          <t>- (planned)</t>
        </is>
      </c>
      <c r="AA79" s="29" t="inlineStr">
        <is>
          <t>Planned</t>
        </is>
      </c>
      <c r="AB79" s="28" t="inlineStr">
        <is>
          <t>Recommendation: build on must-read acknowledgements; add due dates, reminders and a campaign report.</t>
        </is>
      </c>
    </row>
    <row r="80" ht="43" customHeight="1">
      <c r="A80" s="28" t="inlineStr">
        <is>
          <t>DOC-08</t>
        </is>
      </c>
      <c r="B80" s="28" t="inlineStr">
        <is>
          <t>Documents &amp; knowledge</t>
        </is>
      </c>
      <c r="C80" s="28" t="inlineStr">
        <is>
          <t>Communication</t>
        </is>
      </c>
      <c r="D80" s="28" t="inlineStr">
        <is>
          <t>Internal announcements</t>
        </is>
      </c>
      <c r="E80" s="28" t="inlineStr">
        <is>
          <t>One channel for company news (holidays, wins, policy changes) with read tracking.</t>
        </is>
      </c>
      <c r="F80" s="28" t="inlineStr">
        <is>
          <t>Company news</t>
        </is>
      </c>
      <c r="G80" s="28" t="inlineStr">
        <is>
          <t>1. Admin/HR posts an announcement with audience
2. Shows on Home and as a notification
3. Read count visible</t>
        </is>
      </c>
      <c r="H80" s="29" t="inlineStr"/>
      <c r="I80" s="29" t="inlineStr">
        <is>
          <t>R</t>
        </is>
      </c>
      <c r="J80" s="29" t="inlineStr"/>
      <c r="K80" s="29" t="inlineStr"/>
      <c r="L80" s="29" t="inlineStr">
        <is>
          <t>R</t>
        </is>
      </c>
      <c r="M80" s="29" t="inlineStr">
        <is>
          <t>I</t>
        </is>
      </c>
      <c r="N80" s="29" t="inlineStr">
        <is>
          <t>I</t>
        </is>
      </c>
      <c r="O80" s="29" t="inlineStr">
        <is>
          <t>I</t>
        </is>
      </c>
      <c r="P80" s="29" t="inlineStr">
        <is>
          <t>I</t>
        </is>
      </c>
      <c r="Q80" s="29" t="inlineStr">
        <is>
          <t>I</t>
        </is>
      </c>
      <c r="R80" s="29" t="inlineStr"/>
      <c r="S80" s="29" t="inlineStr"/>
      <c r="T80" s="28" t="inlineStr">
        <is>
          <t>-</t>
        </is>
      </c>
      <c r="U80" s="28" t="inlineStr">
        <is>
          <t>-</t>
        </is>
      </c>
      <c r="V80" s="28" t="inlineStr">
        <is>
          <t>-</t>
        </is>
      </c>
      <c r="W80" s="28" t="inlineStr">
        <is>
          <t>-</t>
        </is>
      </c>
      <c r="X80" s="28" t="inlineStr">
        <is>
          <t>-</t>
        </is>
      </c>
      <c r="Y80" s="28" t="inlineStr">
        <is>
          <t>-</t>
        </is>
      </c>
      <c r="Z80" s="28" t="inlineStr">
        <is>
          <t>- (planned)</t>
        </is>
      </c>
      <c r="AA80" s="29" t="inlineStr">
        <is>
          <t>Planned</t>
        </is>
      </c>
      <c r="AB80" s="28" t="inlineStr">
        <is>
          <t>Recommendation: a Home banner plus notification; reuse must-read for important ones.</t>
        </is>
      </c>
    </row>
    <row r="81" ht="69" customHeight="1">
      <c r="A81" s="28" t="inlineStr">
        <is>
          <t>HR-01</t>
        </is>
      </c>
      <c r="B81" s="28" t="inlineStr">
        <is>
          <t>People &amp; HR</t>
        </is>
      </c>
      <c r="C81" s="28" t="inlineStr">
        <is>
          <t>Recruitment</t>
        </is>
      </c>
      <c r="D81" s="28" t="inlineStr">
        <is>
          <t>Hiring openings</t>
        </is>
      </c>
      <c r="E81" s="28" t="inlineStr">
        <is>
          <t>Every hiring need is visible with a count, owner and needed-by date.</t>
        </is>
      </c>
      <c r="F81" s="28" t="inlineStr">
        <is>
          <t>Allocation gap, growth plan or exit</t>
        </is>
      </c>
      <c r="G81" s="28" t="inlineStr">
        <is>
          <t>1. Admin/PM/HR raises an opening: role, project, count, owner, needed by, notes
2. Status moves open &gt; interviewing &gt; offered &gt; filled (or on hold) as candidates progress
3. Owner is notified</t>
        </is>
      </c>
      <c r="H81" s="29" t="inlineStr"/>
      <c r="I81" s="30" t="inlineStr">
        <is>
          <t>A</t>
        </is>
      </c>
      <c r="J81" s="29" t="inlineStr">
        <is>
          <t>R</t>
        </is>
      </c>
      <c r="K81" s="29" t="inlineStr">
        <is>
          <t>R</t>
        </is>
      </c>
      <c r="L81" s="29" t="inlineStr">
        <is>
          <t>R</t>
        </is>
      </c>
      <c r="M81" s="29" t="inlineStr">
        <is>
          <t>R</t>
        </is>
      </c>
      <c r="N81" s="29" t="inlineStr"/>
      <c r="O81" s="29" t="inlineStr"/>
      <c r="P81" s="29" t="inlineStr"/>
      <c r="Q81" s="29" t="inlineStr"/>
      <c r="R81" s="29" t="inlineStr"/>
      <c r="S81" s="29" t="inlineStr"/>
      <c r="T81" s="28" t="inlineStr">
        <is>
          <t>Count 1-50; valid status; owner required; needed-by must be a date.</t>
        </is>
      </c>
      <c r="U81" s="28" t="inlineStr">
        <is>
          <t>openings (role, project_id, count, status, owner_id, needed_by)</t>
        </is>
      </c>
      <c r="V81" s="28" t="inlineStr">
        <is>
          <t>Open positions</t>
        </is>
      </c>
      <c r="W81" s="28" t="inlineStr">
        <is>
          <t>HR Home (openings, hiring pipeline)</t>
        </is>
      </c>
      <c r="X81" s="28" t="inlineStr">
        <is>
          <t>NTF-14 opening assigned</t>
        </is>
      </c>
      <c r="Y81" s="28" t="inlineStr">
        <is>
          <t>/openings</t>
        </is>
      </c>
      <c r="Z81" s="28" t="inlineStr">
        <is>
          <t>openings.manage</t>
        </is>
      </c>
      <c r="AA81" s="29" t="inlineStr">
        <is>
          <t>Extended</t>
        </is>
      </c>
      <c r="AB81" s="28" t="inlineStr">
        <is>
          <t>v3 links openings to the candidate pipeline and updates status automatically.</t>
        </is>
      </c>
    </row>
    <row r="82" ht="82" customHeight="1">
      <c r="A82" s="28" t="inlineStr">
        <is>
          <t>HR-02</t>
        </is>
      </c>
      <c r="B82" s="28" t="inlineStr">
        <is>
          <t>People &amp; HR</t>
        </is>
      </c>
      <c r="C82" s="28" t="inlineStr">
        <is>
          <t>Recruitment</t>
        </is>
      </c>
      <c r="D82" s="28" t="inlineStr">
        <is>
          <t>Candidate pipeline</t>
        </is>
      </c>
      <c r="E82" s="28" t="inlineStr">
        <is>
          <t>Tracks every applicant from application to decision, with CTC and notice data for offers.</t>
        </is>
      </c>
      <c r="F82" s="28" t="inlineStr">
        <is>
          <t>Application or referral received</t>
        </is>
      </c>
      <c r="G82" s="28" t="inlineStr">
        <is>
          <t>1. HR adds the candidate to an opening: name, email, phone, source, experience, current/expected CTC, notice, rating, resume
2. Move through stages: applied &gt; screening &gt; interview &gt; offer &gt; hired (or rejected / withdrawn)
3. Opening status follows</t>
        </is>
      </c>
      <c r="H82" s="29" t="inlineStr"/>
      <c r="I82" s="30" t="inlineStr">
        <is>
          <t>A</t>
        </is>
      </c>
      <c r="J82" s="29" t="inlineStr">
        <is>
          <t>C</t>
        </is>
      </c>
      <c r="K82" s="29" t="inlineStr">
        <is>
          <t>C</t>
        </is>
      </c>
      <c r="L82" s="29" t="inlineStr">
        <is>
          <t>R</t>
        </is>
      </c>
      <c r="M82" s="29" t="inlineStr">
        <is>
          <t>R</t>
        </is>
      </c>
      <c r="N82" s="29" t="inlineStr"/>
      <c r="O82" s="29" t="inlineStr"/>
      <c r="P82" s="29" t="inlineStr"/>
      <c r="Q82" s="29" t="inlineStr"/>
      <c r="R82" s="29" t="inlineStr"/>
      <c r="S82" s="29" t="inlineStr"/>
      <c r="T82" s="28" t="inlineStr">
        <is>
          <t>Name and valid email; source required; experience 0-50 years; notice 0-180 days; rating 1-5; resume up to 5 MB (FILE_TOO_LARGE); DUPLICATE (same email on the opening); OPENING_FILLED; CANDIDATE_HIRED (edit in People instead).</t>
        </is>
      </c>
      <c r="U82" s="28" t="inlineStr">
        <is>
          <t>candidates (opening_id, name, email, source, stage, experience_years, current/expected_ctc_paise, notice_days, resume_file_id, rating)</t>
        </is>
      </c>
      <c r="V82" s="28" t="inlineStr">
        <is>
          <t>Candidates by stage, time to hire</t>
        </is>
      </c>
      <c r="W82" s="28" t="inlineStr">
        <is>
          <t>HR Home (hiring pipeline); Reports / Ask AI (candidates)</t>
        </is>
      </c>
      <c r="X82" s="28" t="inlineStr">
        <is>
          <t>-</t>
        </is>
      </c>
      <c r="Y82" s="28" t="inlineStr">
        <is>
          <t>/recruitment</t>
        </is>
      </c>
      <c r="Z82" s="28" t="inlineStr">
        <is>
          <t>recruitment.manage</t>
        </is>
      </c>
      <c r="AA82" s="29" t="inlineStr">
        <is>
          <t>New in v3</t>
        </is>
      </c>
      <c r="AB82" s="28" t="inlineStr">
        <is>
          <t>-</t>
        </is>
      </c>
    </row>
    <row r="83" ht="56" customHeight="1">
      <c r="A83" s="28" t="inlineStr">
        <is>
          <t>HR-03</t>
        </is>
      </c>
      <c r="B83" s="28" t="inlineStr">
        <is>
          <t>People &amp; HR</t>
        </is>
      </c>
      <c r="C83" s="28" t="inlineStr">
        <is>
          <t>Recruitment</t>
        </is>
      </c>
      <c r="D83" s="28" t="inlineStr">
        <is>
          <t>Interviews and feedback</t>
        </is>
      </c>
      <c r="E83" s="28" t="inlineStr">
        <is>
          <t>Structured rounds with a named interviewer, rating and written feedback.</t>
        </is>
      </c>
      <c r="F83" s="28" t="inlineStr">
        <is>
          <t>Candidate shortlisted</t>
        </is>
      </c>
      <c r="G83" s="28" t="inlineStr">
        <is>
          <t>1. Schedule a round: type (technical, HR, manager, assignment, final), date/time, interviewer
2. Interviewer records result, rating 1-5 and feedback
3. Next round or decision</t>
        </is>
      </c>
      <c r="H83" s="29" t="inlineStr"/>
      <c r="I83" s="30" t="inlineStr">
        <is>
          <t>A</t>
        </is>
      </c>
      <c r="J83" s="29" t="inlineStr">
        <is>
          <t>R</t>
        </is>
      </c>
      <c r="K83" s="29" t="inlineStr">
        <is>
          <t>R</t>
        </is>
      </c>
      <c r="L83" s="29" t="inlineStr">
        <is>
          <t>R</t>
        </is>
      </c>
      <c r="M83" s="29" t="inlineStr">
        <is>
          <t>R</t>
        </is>
      </c>
      <c r="N83" s="29" t="inlineStr"/>
      <c r="O83" s="29" t="inlineStr"/>
      <c r="P83" s="29" t="inlineStr"/>
      <c r="Q83" s="29" t="inlineStr">
        <is>
          <t>R</t>
        </is>
      </c>
      <c r="R83" s="29" t="inlineStr"/>
      <c r="S83" s="29" t="inlineStr"/>
      <c r="T83" s="28" t="inlineStr">
        <is>
          <t>Type, date/time and an active interviewer required; result required; rating 1-5; feedback min 10 characters; CANDIDATE_CLOSED (no interviews once rejected/withdrawn/hired).</t>
        </is>
      </c>
      <c r="U83" s="28" t="inlineStr">
        <is>
          <t>interviews (candidate_id, round, kind, scheduled_at, interviewer_id, result, rating, feedback)</t>
        </is>
      </c>
      <c r="V83" s="28" t="inlineStr">
        <is>
          <t>Rounds per hire, pass rate</t>
        </is>
      </c>
      <c r="W83" s="28" t="inlineStr">
        <is>
          <t>Recruitment; Reports / Ask AI (candidates)</t>
        </is>
      </c>
      <c r="X83" s="28" t="inlineStr">
        <is>
          <t>-</t>
        </is>
      </c>
      <c r="Y83" s="28" t="inlineStr">
        <is>
          <t>/recruitment</t>
        </is>
      </c>
      <c r="Z83" s="28" t="inlineStr">
        <is>
          <t>R: recruitment.manage|team.view; A: recruitment.manage</t>
        </is>
      </c>
      <c r="AA83" s="29" t="inlineStr">
        <is>
          <t>New in v3</t>
        </is>
      </c>
      <c r="AB83" s="28" t="inlineStr">
        <is>
          <t>-</t>
        </is>
      </c>
    </row>
    <row r="84" ht="43" customHeight="1">
      <c r="A84" s="28" t="inlineStr">
        <is>
          <t>HR-04</t>
        </is>
      </c>
      <c r="B84" s="28" t="inlineStr">
        <is>
          <t>People &amp; HR</t>
        </is>
      </c>
      <c r="C84" s="28" t="inlineStr">
        <is>
          <t>Recruitment</t>
        </is>
      </c>
      <c r="D84" s="28" t="inlineStr">
        <is>
          <t>Make an offer, or reject a candidate</t>
        </is>
      </c>
      <c r="E84" s="28" t="inlineStr">
        <is>
          <t>Offers are made only after a passed interview, with the offered CTC on record.</t>
        </is>
      </c>
      <c r="F84" s="28" t="inlineStr">
        <is>
          <t>Interview passed</t>
        </is>
      </c>
      <c r="G84" s="28" t="inlineStr">
        <is>
          <t>1. Move the candidate to Offer with the offered CTC
2. Opening moves to Offered
3. Or reject / mark withdrawn with a reason</t>
        </is>
      </c>
      <c r="H84" s="29" t="inlineStr"/>
      <c r="I84" s="30" t="inlineStr">
        <is>
          <t>A</t>
        </is>
      </c>
      <c r="J84" s="29" t="inlineStr">
        <is>
          <t>C</t>
        </is>
      </c>
      <c r="K84" s="29" t="inlineStr">
        <is>
          <t>C</t>
        </is>
      </c>
      <c r="L84" s="29" t="inlineStr">
        <is>
          <t>R</t>
        </is>
      </c>
      <c r="M84" s="29" t="inlineStr">
        <is>
          <t>R</t>
        </is>
      </c>
      <c r="N84" s="29" t="inlineStr"/>
      <c r="O84" s="29" t="inlineStr"/>
      <c r="P84" s="29" t="inlineStr"/>
      <c r="Q84" s="29" t="inlineStr">
        <is>
          <t>C</t>
        </is>
      </c>
      <c r="R84" s="29" t="inlineStr"/>
      <c r="S84" s="29" t="inlineStr"/>
      <c r="T84" s="28" t="inlineStr">
        <is>
          <t>NEEDS_PASSED_INTERVIEW; offered CTC required; rejection/withdrawal reason min 5 characters.</t>
        </is>
      </c>
      <c r="U84" s="28" t="inlineStr">
        <is>
          <t>candidates.offer_ctc_paise, rejected_reason</t>
        </is>
      </c>
      <c r="V84" s="28" t="inlineStr">
        <is>
          <t>Offers made, offer acceptance</t>
        </is>
      </c>
      <c r="W84" s="28" t="inlineStr">
        <is>
          <t>HR Home; Reports / Ask AI (candidates)</t>
        </is>
      </c>
      <c r="X84" s="28" t="inlineStr">
        <is>
          <t>-</t>
        </is>
      </c>
      <c r="Y84" s="28" t="inlineStr">
        <is>
          <t>/recruitment</t>
        </is>
      </c>
      <c r="Z84" s="28" t="inlineStr">
        <is>
          <t>recruitment.manage</t>
        </is>
      </c>
      <c r="AA84" s="29" t="inlineStr">
        <is>
          <t>New in v3</t>
        </is>
      </c>
      <c r="AB84" s="28" t="inlineStr">
        <is>
          <t>No offer-letter document or approval of offers above budget yet.</t>
        </is>
      </c>
    </row>
    <row r="85" ht="69" customHeight="1">
      <c r="A85" s="28" t="inlineStr">
        <is>
          <t>HR-05</t>
        </is>
      </c>
      <c r="B85" s="28" t="inlineStr">
        <is>
          <t>People &amp; HR</t>
        </is>
      </c>
      <c r="C85" s="28" t="inlineStr">
        <is>
          <t>Recruitment</t>
        </is>
      </c>
      <c r="D85" s="28" t="inlineStr">
        <is>
          <t>Hire: invite and start onboarding</t>
        </is>
      </c>
      <c r="E85" s="28" t="inlineStr">
        <is>
          <t>One click turns a hired candidate into a system user with an onboarding checklist.</t>
        </is>
      </c>
      <c r="F85" s="28" t="inlineStr">
        <is>
          <t>Candidate accepts the offer</t>
        </is>
      </c>
      <c r="G85" s="28" t="inlineStr">
        <is>
          <t>1. Mark the candidate Hired with the joining date
2. System creates the invite (Employee role, reports-to), an onboarding checklist, and fills the opening when the count is reached
3. HR and the new manager are notified</t>
        </is>
      </c>
      <c r="H85" s="29" t="inlineStr"/>
      <c r="I85" s="30" t="inlineStr">
        <is>
          <t>A</t>
        </is>
      </c>
      <c r="J85" s="29" t="inlineStr">
        <is>
          <t>I</t>
        </is>
      </c>
      <c r="K85" s="29" t="inlineStr">
        <is>
          <t>I</t>
        </is>
      </c>
      <c r="L85" s="29" t="inlineStr">
        <is>
          <t>R</t>
        </is>
      </c>
      <c r="M85" s="29" t="inlineStr">
        <is>
          <t>R</t>
        </is>
      </c>
      <c r="N85" s="29" t="inlineStr"/>
      <c r="O85" s="29" t="inlineStr"/>
      <c r="P85" s="29" t="inlineStr"/>
      <c r="Q85" s="29" t="inlineStr">
        <is>
          <t>I</t>
        </is>
      </c>
      <c r="R85" s="29" t="inlineStr"/>
      <c r="S85" s="29" t="inlineStr"/>
      <c r="T85" s="28" t="inlineStr">
        <is>
          <t>NOT_OFFERED (must be in Offer); joining date required; USER_EMAIL_TAKEN.</t>
        </is>
      </c>
      <c r="U85" s="28" t="inlineStr">
        <is>
          <t>invites, lifecycle_checklists (kind onboarding), candidates.user_id, openings.status</t>
        </is>
      </c>
      <c r="V85" s="28" t="inlineStr">
        <is>
          <t>Joiners this quarter</t>
        </is>
      </c>
      <c r="W85" s="28" t="inlineStr">
        <is>
          <t>HR Home, People; Reports / Ask AI (candidates)</t>
        </is>
      </c>
      <c r="X85" s="28" t="inlineStr">
        <is>
          <t>NTF-14 new joiner (HR); NTF-14 new team member (manager)</t>
        </is>
      </c>
      <c r="Y85" s="28" t="inlineStr">
        <is>
          <t>/recruitment</t>
        </is>
      </c>
      <c r="Z85" s="28" t="inlineStr">
        <is>
          <t>recruitment.manage</t>
        </is>
      </c>
      <c r="AA85" s="29" t="inlineStr">
        <is>
          <t>New in v3</t>
        </is>
      </c>
      <c r="AB85" s="28" t="inlineStr">
        <is>
          <t>-</t>
        </is>
      </c>
    </row>
    <row r="86" ht="82" customHeight="1">
      <c r="A86" s="28" t="inlineStr">
        <is>
          <t>HR-06</t>
        </is>
      </c>
      <c r="B86" s="28" t="inlineStr">
        <is>
          <t>People &amp; HR</t>
        </is>
      </c>
      <c r="C86" s="28" t="inlineStr">
        <is>
          <t>Lifecycle</t>
        </is>
      </c>
      <c r="D86" s="28" t="inlineStr">
        <is>
          <t>Onboarding checklist</t>
        </is>
      </c>
      <c r="E86" s="28" t="inlineStr">
        <is>
          <t>Every joiner gets the same, complete start: paperwork, laptop, accounts, buddy, policies and check-ins.</t>
        </is>
      </c>
      <c r="F86" s="28" t="inlineStr">
        <is>
          <t>Hire or manual start</t>
        </is>
      </c>
      <c r="G86" s="28" t="inlineStr">
        <is>
          <t>1. Checklist items with owner and due offset: offer signed (-7 days), documents ID/PAN/bank (-3), laptop issued, email &amp; accounts, buddy (day 0), policy acknowledgements (+3), 30/60/90-day check-ins
2. Owners tick items done
3. Overdue items show on the HR dashboard</t>
        </is>
      </c>
      <c r="H86" s="29" t="inlineStr"/>
      <c r="I86" s="30" t="inlineStr">
        <is>
          <t>A</t>
        </is>
      </c>
      <c r="J86" s="29" t="inlineStr"/>
      <c r="K86" s="29" t="inlineStr"/>
      <c r="L86" s="29" t="inlineStr">
        <is>
          <t>R</t>
        </is>
      </c>
      <c r="M86" s="29" t="inlineStr">
        <is>
          <t>R</t>
        </is>
      </c>
      <c r="N86" s="29" t="inlineStr"/>
      <c r="O86" s="29" t="inlineStr"/>
      <c r="P86" s="29" t="inlineStr">
        <is>
          <t>R</t>
        </is>
      </c>
      <c r="Q86" s="29" t="inlineStr">
        <is>
          <t>R</t>
        </is>
      </c>
      <c r="R86" s="29" t="inlineStr"/>
      <c r="S86" s="29" t="inlineStr"/>
      <c r="T86" s="28" t="inlineStr">
        <is>
          <t>DUPLICATE (one open checklist per person and kind); joining date required; NO_LAPTOP_ASSIGNED warning when ticking laptop without an asset.</t>
        </is>
      </c>
      <c r="U86" s="28" t="inlineStr">
        <is>
          <t>lifecycle_checklists (user_id, kind, status, start_on, items: label, owner_role, due_offset_days, done_on, done_by)</t>
        </is>
      </c>
      <c r="V86" s="28" t="inlineStr">
        <is>
          <t>Onboarding items overdue</t>
        </is>
      </c>
      <c r="W86" s="28" t="inlineStr">
        <is>
          <t>HR Home (onboarding &amp; exits)</t>
        </is>
      </c>
      <c r="X86" s="28" t="inlineStr">
        <is>
          <t>-</t>
        </is>
      </c>
      <c r="Y86" s="28" t="inlineStr">
        <is>
          <t>/lifecycle</t>
        </is>
      </c>
      <c r="Z86" s="28" t="inlineStr">
        <is>
          <t>R: (none); A: people.manage</t>
        </is>
      </c>
      <c r="AA86" s="29" t="inlineStr">
        <is>
          <t>New in v3</t>
        </is>
      </c>
      <c r="AB86" s="28" t="inlineStr">
        <is>
          <t>-</t>
        </is>
      </c>
    </row>
    <row r="87" ht="56" customHeight="1">
      <c r="A87" s="28" t="inlineStr">
        <is>
          <t>HR-07</t>
        </is>
      </c>
      <c r="B87" s="28" t="inlineStr">
        <is>
          <t>People &amp; HR</t>
        </is>
      </c>
      <c r="C87" s="28" t="inlineStr">
        <is>
          <t>Assets</t>
        </is>
      </c>
      <c r="D87" s="28" t="inlineStr">
        <is>
          <t>Asset register: issue and return</t>
        </is>
      </c>
      <c r="E87" s="28" t="inlineStr">
        <is>
          <t>Knows who holds every laptop, monitor and licence, and gets it back on exit.</t>
        </is>
      </c>
      <c r="F87" s="28" t="inlineStr">
        <is>
          <t>Purchase, joiner, exit or replacement</t>
        </is>
      </c>
      <c r="G87" s="28" t="inlineStr">
        <is>
          <t>1. HR adds the asset: tag, name, category, serial, purchase date and cost, warranty
2. Assign to a person; record the return
3. History per asset; assets due back from leavers</t>
        </is>
      </c>
      <c r="H87" s="29" t="inlineStr"/>
      <c r="I87" s="30" t="inlineStr">
        <is>
          <t>A</t>
        </is>
      </c>
      <c r="J87" s="29" t="inlineStr"/>
      <c r="K87" s="29" t="inlineStr"/>
      <c r="L87" s="29" t="inlineStr">
        <is>
          <t>R</t>
        </is>
      </c>
      <c r="M87" s="29" t="inlineStr">
        <is>
          <t>I</t>
        </is>
      </c>
      <c r="N87" s="29" t="inlineStr"/>
      <c r="O87" s="29" t="inlineStr"/>
      <c r="P87" s="29" t="inlineStr">
        <is>
          <t>I</t>
        </is>
      </c>
      <c r="Q87" s="29" t="inlineStr"/>
      <c r="R87" s="29" t="inlineStr"/>
      <c r="S87" s="29" t="inlineStr"/>
      <c r="T87" s="28" t="inlineStr">
        <is>
          <t>Tag format like SEE-LAP-015, unique (ASSET_TAG_TAKEN); category; purchase date not in the future; cost; ASSET_NOT_AVAILABLE / ASSET_ASSIGNED (return first); ASSET_NOT_ASSIGNED; user must be active.</t>
        </is>
      </c>
      <c r="U87" s="28" t="inlineStr">
        <is>
          <t>assets (tag, name, category, serial, status, assigned_to, assigned_on, purchase_on, purchase_cost_paise, warranty_until)</t>
        </is>
      </c>
      <c r="V87" s="28" t="inlineStr">
        <is>
          <t>Assets assigned, due back</t>
        </is>
      </c>
      <c r="W87" s="28" t="inlineStr">
        <is>
          <t>HR Home (assets due back)</t>
        </is>
      </c>
      <c r="X87" s="28" t="inlineStr">
        <is>
          <t>-</t>
        </is>
      </c>
      <c r="Y87" s="28" t="inlineStr">
        <is>
          <t>/assets</t>
        </is>
      </c>
      <c r="Z87" s="28" t="inlineStr">
        <is>
          <t>people.manage</t>
        </is>
      </c>
      <c r="AA87" s="29" t="inlineStr">
        <is>
          <t>New in v3</t>
        </is>
      </c>
      <c r="AB87" s="28" t="inlineStr">
        <is>
          <t>-</t>
        </is>
      </c>
    </row>
    <row r="88" ht="69" customHeight="1">
      <c r="A88" s="28" t="inlineStr">
        <is>
          <t>HR-08</t>
        </is>
      </c>
      <c r="B88" s="28" t="inlineStr">
        <is>
          <t>People &amp; HR</t>
        </is>
      </c>
      <c r="C88" s="28" t="inlineStr">
        <is>
          <t>Performance</t>
        </is>
      </c>
      <c r="D88" s="28" t="inlineStr">
        <is>
          <t>Goals and KRAs</t>
        </is>
      </c>
      <c r="E88" s="28" t="inlineStr">
        <is>
          <t>Each person has weighted, measurable goals agreed with their manager for the cycle.</t>
        </is>
      </c>
      <c r="F88" s="28" t="inlineStr">
        <is>
          <t>Appraisal cycle starts</t>
        </is>
      </c>
      <c r="G88" s="28" t="inlineStr">
        <is>
          <t>1. Employee (or manager) adds goals: title, KRA, weight, measure, target, unit, due date
2. Manager approves; agreed goals are locked
3. Employee logs progress through the cycle</t>
        </is>
      </c>
      <c r="H88" s="29" t="inlineStr"/>
      <c r="I88" s="30" t="inlineStr">
        <is>
          <t>A</t>
        </is>
      </c>
      <c r="J88" s="29" t="inlineStr">
        <is>
          <t>I</t>
        </is>
      </c>
      <c r="K88" s="29" t="inlineStr">
        <is>
          <t>I</t>
        </is>
      </c>
      <c r="L88" s="29" t="inlineStr">
        <is>
          <t>R</t>
        </is>
      </c>
      <c r="M88" s="29" t="inlineStr">
        <is>
          <t>R</t>
        </is>
      </c>
      <c r="N88" s="29" t="inlineStr">
        <is>
          <t>R</t>
        </is>
      </c>
      <c r="O88" s="29" t="inlineStr">
        <is>
          <t>R</t>
        </is>
      </c>
      <c r="P88" s="29" t="inlineStr">
        <is>
          <t>R</t>
        </is>
      </c>
      <c r="Q88" s="30" t="inlineStr">
        <is>
          <t>A</t>
        </is>
      </c>
      <c r="R88" s="29" t="inlineStr"/>
      <c r="S88" s="29" t="inlineStr"/>
      <c r="T88" s="28" t="inlineStr">
        <is>
          <t>Title min 4; weight 5-100; target &gt; 0; due date; GOAL_WEIGHTS (cycle total must be exactly 100%); CYCLE_CLOSED; GOAL_LOCKED (agreed goals change only via manager); GOAL_NOT_AGREED (progress after approval); only the manager (or HR) approves.</t>
        </is>
      </c>
      <c r="U88" s="28" t="inlineStr">
        <is>
          <t>goals (user_id, cycle_id, title, kra, weight, measure, target, current, unit, due_on, status, manager_approved)</t>
        </is>
      </c>
      <c r="V88" s="28" t="inlineStr">
        <is>
          <t>Goals score = weighted achievement (capped at 100% each)</t>
        </is>
      </c>
      <c r="W88" s="28" t="inlineStr">
        <is>
          <t>My performance, Appraisal</t>
        </is>
      </c>
      <c r="X88" s="28" t="inlineStr">
        <is>
          <t>NTF-05 goal approved</t>
        </is>
      </c>
      <c r="Y88" s="28" t="inlineStr">
        <is>
          <t>/performance</t>
        </is>
      </c>
      <c r="Z88" s="28" t="inlineStr">
        <is>
          <t>R: (none); A: team.view|people.manage</t>
        </is>
      </c>
      <c r="AA88" s="29" t="inlineStr">
        <is>
          <t>New in v3</t>
        </is>
      </c>
      <c r="AB88" s="28" t="inlineStr">
        <is>
          <t>-</t>
        </is>
      </c>
    </row>
    <row r="89" ht="56" customHeight="1">
      <c r="A89" s="28" t="inlineStr">
        <is>
          <t>HR-09</t>
        </is>
      </c>
      <c r="B89" s="28" t="inlineStr">
        <is>
          <t>People &amp; HR</t>
        </is>
      </c>
      <c r="C89" s="28" t="inlineStr">
        <is>
          <t>Performance</t>
        </is>
      </c>
      <c r="D89" s="28" t="inlineStr">
        <is>
          <t>Continuous feedback and praise</t>
        </is>
      </c>
      <c r="E89" s="28" t="inlineStr">
        <is>
          <t>Captures praise and improvement points through the year, not just at appraisal time.</t>
        </is>
      </c>
      <c r="F89" s="28" t="inlineStr">
        <is>
          <t>Anything worth recognising or correcting</t>
        </is>
      </c>
      <c r="G89" s="28" t="inlineStr">
        <is>
          <t>1. Give feedback to a colleague: praise, improvement or 1:1 note
2. Choose visibility: private, manager, or public
3. Recipient is notified (unless manager-only)</t>
        </is>
      </c>
      <c r="H89" s="29" t="inlineStr"/>
      <c r="I89" s="29" t="inlineStr">
        <is>
          <t>C</t>
        </is>
      </c>
      <c r="J89" s="29" t="inlineStr">
        <is>
          <t>C</t>
        </is>
      </c>
      <c r="K89" s="29" t="inlineStr">
        <is>
          <t>C</t>
        </is>
      </c>
      <c r="L89" s="29" t="inlineStr">
        <is>
          <t>R</t>
        </is>
      </c>
      <c r="M89" s="29" t="inlineStr">
        <is>
          <t>R</t>
        </is>
      </c>
      <c r="N89" s="29" t="inlineStr">
        <is>
          <t>R</t>
        </is>
      </c>
      <c r="O89" s="29" t="inlineStr">
        <is>
          <t>R</t>
        </is>
      </c>
      <c r="P89" s="29" t="inlineStr">
        <is>
          <t>R</t>
        </is>
      </c>
      <c r="Q89" s="29" t="inlineStr">
        <is>
          <t>R</t>
        </is>
      </c>
      <c r="R89" s="29" t="inlineStr"/>
      <c r="S89" s="29" t="inlineStr"/>
      <c r="T89" s="28" t="inlineStr">
        <is>
          <t>Not to yourself; kind and visibility required; min 10 characters.</t>
        </is>
      </c>
      <c r="U89" s="28" t="inlineStr">
        <is>
          <t>feedback (to_user_id, from_user_id, kind, body, visibility, at)</t>
        </is>
      </c>
      <c r="V89" s="28" t="inlineStr">
        <is>
          <t>Praise count</t>
        </is>
      </c>
      <c r="W89" s="28" t="inlineStr">
        <is>
          <t>My performance</t>
        </is>
      </c>
      <c r="X89" s="28" t="inlineStr">
        <is>
          <t>NTF-03 praise / new feedback</t>
        </is>
      </c>
      <c r="Y89" s="28" t="inlineStr">
        <is>
          <t>/performance</t>
        </is>
      </c>
      <c r="Z89" s="28" t="inlineStr">
        <is>
          <t>-</t>
        </is>
      </c>
      <c r="AA89" s="29" t="inlineStr">
        <is>
          <t>New in v3</t>
        </is>
      </c>
      <c r="AB89" s="28" t="inlineStr">
        <is>
          <t>-</t>
        </is>
      </c>
    </row>
    <row r="90" ht="69" customHeight="1">
      <c r="A90" s="28" t="inlineStr">
        <is>
          <t>HR-10</t>
        </is>
      </c>
      <c r="B90" s="28" t="inlineStr">
        <is>
          <t>People &amp; HR</t>
        </is>
      </c>
      <c r="C90" s="28" t="inlineStr">
        <is>
          <t>Appraisal</t>
        </is>
      </c>
      <c r="D90" s="28" t="inlineStr">
        <is>
          <t>Set up and launch an appraisal cycle</t>
        </is>
      </c>
      <c r="E90" s="28" t="inlineStr">
        <is>
          <t>Runs appraisals on a fixed calendar with transparent weights for goals, tasks, timesheets and behaviour.</t>
        </is>
      </c>
      <c r="F90" s="28" t="inlineStr">
        <is>
          <t>Half-yearly / annual appraisal</t>
        </is>
      </c>
      <c r="G90" s="28" t="inlineStr">
        <is>
          <t>1. HR creates the cycle: name, period, self/manager/HR due dates, weights (goals, tasks, timesheets, behaviour = 100%)
2. Launch: an appraisal is created for everyone with a manager
3. Close when all HR reviews are done</t>
        </is>
      </c>
      <c r="H90" s="29" t="inlineStr"/>
      <c r="I90" s="30" t="inlineStr">
        <is>
          <t>A</t>
        </is>
      </c>
      <c r="J90" s="29" t="inlineStr"/>
      <c r="K90" s="29" t="inlineStr"/>
      <c r="L90" s="29" t="inlineStr">
        <is>
          <t>R</t>
        </is>
      </c>
      <c r="M90" s="29" t="inlineStr">
        <is>
          <t>I</t>
        </is>
      </c>
      <c r="N90" s="29" t="inlineStr"/>
      <c r="O90" s="29" t="inlineStr"/>
      <c r="P90" s="29" t="inlineStr">
        <is>
          <t>I</t>
        </is>
      </c>
      <c r="Q90" s="29" t="inlineStr">
        <is>
          <t>I</t>
        </is>
      </c>
      <c r="R90" s="29" t="inlineStr"/>
      <c r="S90" s="29" t="inlineStr"/>
      <c r="T90" s="28" t="inlineStr">
        <is>
          <t>Unique name (DUPLICATE); all dates; DATE_RANGE (self &lt; manager &lt; HR due; self not before period start); APPRAISAL_WEIGHTS (0-100 each, total exactly 100); CYCLE_LAUNCHED; CYCLE_OPEN (one running cycle); NO_PEOPLE; CYCLE_DRAFT; APPRAISALS_OPEN (cannot close with open reviews).</t>
        </is>
      </c>
      <c r="U90" s="28" t="inlineStr">
        <is>
          <t>appraisal_cycles (name, period_from, period_to, status, self_due, manager_due, hr_due, weights), appraisals</t>
        </is>
      </c>
      <c r="V90" s="28" t="inlineStr">
        <is>
          <t>Cycle completion %</t>
        </is>
      </c>
      <c r="W90" s="28" t="inlineStr">
        <is>
          <t>HR Home (appraisal cycle), Appraisals; Reports / Ask AI (appraisals)</t>
        </is>
      </c>
      <c r="X90" s="28" t="inlineStr">
        <is>
          <t>-</t>
        </is>
      </c>
      <c r="Y90" s="28" t="inlineStr">
        <is>
          <t>/appraisals</t>
        </is>
      </c>
      <c r="Z90" s="28" t="inlineStr">
        <is>
          <t>appraisals.manage</t>
        </is>
      </c>
      <c r="AA90" s="29" t="inlineStr">
        <is>
          <t>New in v3</t>
        </is>
      </c>
      <c r="AB90" s="28" t="inlineStr">
        <is>
          <t>-</t>
        </is>
      </c>
    </row>
    <row r="91" ht="56" customHeight="1">
      <c r="A91" s="28" t="inlineStr">
        <is>
          <t>HR-11</t>
        </is>
      </c>
      <c r="B91" s="28" t="inlineStr">
        <is>
          <t>People &amp; HR</t>
        </is>
      </c>
      <c r="C91" s="28" t="inlineStr">
        <is>
          <t>Appraisal</t>
        </is>
      </c>
      <c r="D91" s="28" t="inlineStr">
        <is>
          <t>Self review</t>
        </is>
      </c>
      <c r="E91" s="28" t="inlineStr">
        <is>
          <t>The employee rates themselves and states what they delivered and want to grow in.</t>
        </is>
      </c>
      <c r="F91" s="28" t="inlineStr">
        <is>
          <t>Cycle launched</t>
        </is>
      </c>
      <c r="G91" s="28" t="inlineStr">
        <is>
          <t>1. Open My appraisal: system metrics shown (on-time %, quality, timesheet compliance, goals)
2. Give a self rating 1-5 and comments
3. Submit; goes to the manager</t>
        </is>
      </c>
      <c r="H91" s="29" t="inlineStr"/>
      <c r="I91" s="29" t="inlineStr">
        <is>
          <t>I</t>
        </is>
      </c>
      <c r="J91" s="29" t="inlineStr"/>
      <c r="K91" s="29" t="inlineStr"/>
      <c r="L91" s="29" t="inlineStr">
        <is>
          <t>R</t>
        </is>
      </c>
      <c r="M91" s="29" t="inlineStr">
        <is>
          <t>R</t>
        </is>
      </c>
      <c r="N91" s="29" t="inlineStr">
        <is>
          <t>R</t>
        </is>
      </c>
      <c r="O91" s="29" t="inlineStr">
        <is>
          <t>R</t>
        </is>
      </c>
      <c r="P91" s="29" t="inlineStr">
        <is>
          <t>R</t>
        </is>
      </c>
      <c r="Q91" s="29" t="inlineStr">
        <is>
          <t>I</t>
        </is>
      </c>
      <c r="R91" s="29" t="inlineStr"/>
      <c r="S91" s="29" t="inlineStr"/>
      <c r="T91" s="28" t="inlineStr">
        <is>
          <t>Rating 1-5 (half points if allowed); comments min 30 characters; APPRAISAL_STAGE (already submitted); CYCLE_CLOSED.</t>
        </is>
      </c>
      <c r="U91" s="28" t="inlineStr">
        <is>
          <t>appraisals.self_rating, self_comments, submitted_self_at</t>
        </is>
      </c>
      <c r="V91" s="28" t="inlineStr">
        <is>
          <t>-</t>
        </is>
      </c>
      <c r="W91" s="28" t="inlineStr">
        <is>
          <t>Appraisals; Reports / Ask AI (appraisals)</t>
        </is>
      </c>
      <c r="X91" s="28" t="inlineStr">
        <is>
          <t>-</t>
        </is>
      </c>
      <c r="Y91" s="28" t="inlineStr">
        <is>
          <t>/appraisals/:id</t>
        </is>
      </c>
      <c r="Z91" s="28" t="inlineStr">
        <is>
          <t>-</t>
        </is>
      </c>
      <c r="AA91" s="29" t="inlineStr">
        <is>
          <t>New in v3</t>
        </is>
      </c>
      <c r="AB91" s="28" t="inlineStr">
        <is>
          <t>-</t>
        </is>
      </c>
    </row>
    <row r="92" ht="69" customHeight="1">
      <c r="A92" s="28" t="inlineStr">
        <is>
          <t>HR-12</t>
        </is>
      </c>
      <c r="B92" s="28" t="inlineStr">
        <is>
          <t>People &amp; HR</t>
        </is>
      </c>
      <c r="C92" s="28" t="inlineStr">
        <is>
          <t>Appraisal</t>
        </is>
      </c>
      <c r="D92" s="28" t="inlineStr">
        <is>
          <t>Manager review</t>
        </is>
      </c>
      <c r="E92" s="28" t="inlineStr">
        <is>
          <t>Manager rates performance using system evidence, and gives a behaviour score.</t>
        </is>
      </c>
      <c r="F92" s="28" t="inlineStr">
        <is>
          <t>Self review submitted</t>
        </is>
      </c>
      <c r="G92" s="28" t="inlineStr">
        <is>
          <t>1. Manager sees self review, system metrics and the system-suggested rating
2. Gives a rating 1-5 and comments with examples
3. Submits to HR (appears in the manager's inbox until done)</t>
        </is>
      </c>
      <c r="H92" s="29" t="inlineStr"/>
      <c r="I92" s="30" t="inlineStr">
        <is>
          <t>A</t>
        </is>
      </c>
      <c r="J92" s="29" t="inlineStr">
        <is>
          <t>I</t>
        </is>
      </c>
      <c r="K92" s="29" t="inlineStr">
        <is>
          <t>I</t>
        </is>
      </c>
      <c r="L92" s="29" t="inlineStr">
        <is>
          <t>C</t>
        </is>
      </c>
      <c r="M92" s="29" t="inlineStr">
        <is>
          <t>I</t>
        </is>
      </c>
      <c r="N92" s="29" t="inlineStr"/>
      <c r="O92" s="29" t="inlineStr"/>
      <c r="P92" s="29" t="inlineStr">
        <is>
          <t>I</t>
        </is>
      </c>
      <c r="Q92" s="29" t="inlineStr">
        <is>
          <t>R</t>
        </is>
      </c>
      <c r="R92" s="29" t="inlineStr"/>
      <c r="S92" s="29" t="inlineStr"/>
      <c r="T92" s="28" t="inlineStr">
        <is>
          <t>APPRAISAL_STAGE (wait for self review; not twice); comments min 30 characters; manager rating is the behaviour component.</t>
        </is>
      </c>
      <c r="U92" s="28" t="inlineStr">
        <is>
          <t>appraisals.manager_rating, manager_comments, metrics snapshot</t>
        </is>
      </c>
      <c r="V92" s="28" t="inlineStr">
        <is>
          <t>System suggested rating</t>
        </is>
      </c>
      <c r="W92" s="28" t="inlineStr">
        <is>
          <t>Approvals inbox (appraisal), Appraisals; Reports / Ask AI (appraisals)</t>
        </is>
      </c>
      <c r="X92" s="28" t="inlineStr">
        <is>
          <t>-</t>
        </is>
      </c>
      <c r="Y92" s="28" t="inlineStr">
        <is>
          <t>/appraisals/:id</t>
        </is>
      </c>
      <c r="Z92" s="28" t="inlineStr">
        <is>
          <t>R: (none); A: appraisals.manage</t>
        </is>
      </c>
      <c r="AA92" s="29" t="inlineStr">
        <is>
          <t>New in v3</t>
        </is>
      </c>
      <c r="AB92" s="28" t="inlineStr">
        <is>
          <t>-</t>
        </is>
      </c>
    </row>
    <row r="93" ht="56" customHeight="1">
      <c r="A93" s="28" t="inlineStr">
        <is>
          <t>HR-13</t>
        </is>
      </c>
      <c r="B93" s="28" t="inlineStr">
        <is>
          <t>People &amp; HR</t>
        </is>
      </c>
      <c r="C93" s="28" t="inlineStr">
        <is>
          <t>Appraisal</t>
        </is>
      </c>
      <c r="D93" s="28" t="inlineStr">
        <is>
          <t>HR review, calibration and outcome</t>
        </is>
      </c>
      <c r="E93" s="28" t="inlineStr">
        <is>
          <t>HR finalises rating, increment and promotion consistently across the company.</t>
        </is>
      </c>
      <c r="F93" s="28" t="inlineStr">
        <is>
          <t>Manager review submitted</t>
        </is>
      </c>
      <c r="G93" s="28" t="inlineStr">
        <is>
          <t>1. HR sees all inputs and the system suggestion
2. Sets final rating, increment % and promotion
3. Sends back to the manager if needed; completed appraisals are locked</t>
        </is>
      </c>
      <c r="H93" s="29" t="inlineStr"/>
      <c r="I93" s="30" t="inlineStr">
        <is>
          <t>A</t>
        </is>
      </c>
      <c r="J93" s="29" t="inlineStr"/>
      <c r="K93" s="29" t="inlineStr"/>
      <c r="L93" s="29" t="inlineStr">
        <is>
          <t>R</t>
        </is>
      </c>
      <c r="M93" s="29" t="inlineStr">
        <is>
          <t>I</t>
        </is>
      </c>
      <c r="N93" s="29" t="inlineStr"/>
      <c r="O93" s="29" t="inlineStr"/>
      <c r="P93" s="29" t="inlineStr">
        <is>
          <t>I</t>
        </is>
      </c>
      <c r="Q93" s="29" t="inlineStr">
        <is>
          <t>C</t>
        </is>
      </c>
      <c r="R93" s="29" t="inlineStr"/>
      <c r="S93" s="29" t="inlineStr"/>
      <c r="T93" s="28" t="inlineStr">
        <is>
          <t>APPRAISAL_STAGE; increment 0-50%; RATING_DEVIATION (final differs from the suggestion by more than 1: explain in min 15 characters); send-back reason min 10.</t>
        </is>
      </c>
      <c r="U93" s="28" t="inlineStr">
        <is>
          <t>appraisals (hr_rating, hr_comments, final_rating, increment_pct, promotion_to, closed_at); cost_rates (new row on increment)</t>
        </is>
      </c>
      <c r="V93" s="28" t="inlineStr">
        <is>
          <t>Rating distribution, avg increment</t>
        </is>
      </c>
      <c r="W93" s="28" t="inlineStr">
        <is>
          <t>Appraisals, HR Home, Cost rates, Reports / Ask AI (appraisals)</t>
        </is>
      </c>
      <c r="X93" s="28" t="inlineStr">
        <is>
          <t>NTF-05 appraisal completed (employee and manager)</t>
        </is>
      </c>
      <c r="Y93" s="28" t="inlineStr">
        <is>
          <t>/appraisals/:id</t>
        </is>
      </c>
      <c r="Z93" s="28" t="inlineStr">
        <is>
          <t>appraisals.manage</t>
        </is>
      </c>
      <c r="AA93" s="29" t="inlineStr">
        <is>
          <t>New in v3</t>
        </is>
      </c>
      <c r="AB93" s="28" t="inlineStr">
        <is>
          <t>Completing with an increment &gt; 0 creates a new cost-rate row (CTC + increment %) effective the day after the cycle ends (PAY-05).</t>
        </is>
      </c>
    </row>
    <row r="94" ht="69" customHeight="1">
      <c r="A94" s="28" t="inlineStr">
        <is>
          <t>HR-14</t>
        </is>
      </c>
      <c r="B94" s="28" t="inlineStr">
        <is>
          <t>People &amp; HR</t>
        </is>
      </c>
      <c r="C94" s="28" t="inlineStr">
        <is>
          <t>Performance</t>
        </is>
      </c>
      <c r="D94" s="28" t="inlineStr">
        <is>
          <t>Performance profile</t>
        </is>
      </c>
      <c r="E94" s="28" t="inlineStr">
        <is>
          <t>One page per person with delivery, discipline and goals data: the evidence base for coaching and appraisal.</t>
        </is>
      </c>
      <c r="F94" s="28" t="inlineStr">
        <is>
          <t>Any time</t>
        </is>
      </c>
      <c r="G94" s="28" t="inlineStr">
        <is>
          <t>1. Open My performance, or a report's profile
2. Review on-time %, average variance, first-pass %, quality, timesheet compliance and late weeks, goals score, approval SLA (for managers), feedback
3. Change the period</t>
        </is>
      </c>
      <c r="H94" s="29" t="inlineStr"/>
      <c r="I94" s="29" t="inlineStr">
        <is>
          <t>R</t>
        </is>
      </c>
      <c r="J94" s="29" t="inlineStr">
        <is>
          <t>C</t>
        </is>
      </c>
      <c r="K94" s="29" t="inlineStr">
        <is>
          <t>C</t>
        </is>
      </c>
      <c r="L94" s="29" t="inlineStr">
        <is>
          <t>R</t>
        </is>
      </c>
      <c r="M94" s="29" t="inlineStr">
        <is>
          <t>R</t>
        </is>
      </c>
      <c r="N94" s="29" t="inlineStr">
        <is>
          <t>R</t>
        </is>
      </c>
      <c r="O94" s="29" t="inlineStr">
        <is>
          <t>R</t>
        </is>
      </c>
      <c r="P94" s="29" t="inlineStr">
        <is>
          <t>R</t>
        </is>
      </c>
      <c r="Q94" s="29" t="inlineStr">
        <is>
          <t>R</t>
        </is>
      </c>
      <c r="R94" s="29" t="inlineStr"/>
      <c r="S94" s="29" t="inlineStr"/>
      <c r="T94" s="28" t="inlineStr">
        <is>
          <t>You see yourself and people below you in the reporting line; Admin and HR see everyone.</t>
        </is>
      </c>
      <c r="U94" s="28" t="inlineStr">
        <is>
          <t>computed (tasks, task_reviews, timesheet_weeks, goals, feedback)</t>
        </is>
      </c>
      <c r="V94" s="28" t="inlineStr">
        <is>
          <t>On-time %, first-pass %, avg quality, timesheet compliance, goals score, approval SLA %</t>
        </is>
      </c>
      <c r="W94" s="28" t="inlineStr">
        <is>
          <t>My performance</t>
        </is>
      </c>
      <c r="X94" s="28" t="inlineStr">
        <is>
          <t>-</t>
        </is>
      </c>
      <c r="Y94" s="28" t="inlineStr">
        <is>
          <t>/performance, /performance/:userId</t>
        </is>
      </c>
      <c r="Z94" s="28" t="inlineStr">
        <is>
          <t>-</t>
        </is>
      </c>
      <c r="AA94" s="29" t="inlineStr">
        <is>
          <t>New in v3</t>
        </is>
      </c>
      <c r="AB94" s="28" t="inlineStr">
        <is>
          <t>-</t>
        </is>
      </c>
    </row>
    <row r="95" ht="82" customHeight="1">
      <c r="A95" s="28" t="inlineStr">
        <is>
          <t>HR-15</t>
        </is>
      </c>
      <c r="B95" s="28" t="inlineStr">
        <is>
          <t>People &amp; HR</t>
        </is>
      </c>
      <c r="C95" s="28" t="inlineStr">
        <is>
          <t>Lifecycle</t>
        </is>
      </c>
      <c r="D95" s="28" t="inlineStr">
        <is>
          <t>Exit and offboarding</t>
        </is>
      </c>
      <c r="E95" s="28" t="inlineStr">
        <is>
          <t>Every exit is handled the same way: notice, knowledge transfer, assets, access and settlement.</t>
        </is>
      </c>
      <c r="F95" s="28" t="inlineStr">
        <is>
          <t>Resignation, termination, contract end or retirement</t>
        </is>
      </c>
      <c r="G95" s="28" t="inlineStr">
        <is>
          <t>1. HR starts an exit: resignation date, last working day, exit type, reason
2. Checklist: resignation received, notice agreed, knowledge transfer, exit interview, asset return, access revoked, full &amp; final (+30 days), experience letter (+7 days)
3. Person is deactivated after the last day</t>
        </is>
      </c>
      <c r="H95" s="29" t="inlineStr"/>
      <c r="I95" s="30" t="inlineStr">
        <is>
          <t>A</t>
        </is>
      </c>
      <c r="J95" s="29" t="inlineStr"/>
      <c r="K95" s="29" t="inlineStr"/>
      <c r="L95" s="29" t="inlineStr">
        <is>
          <t>R</t>
        </is>
      </c>
      <c r="M95" s="29" t="inlineStr">
        <is>
          <t>I</t>
        </is>
      </c>
      <c r="N95" s="29" t="inlineStr"/>
      <c r="O95" s="29" t="inlineStr"/>
      <c r="P95" s="29" t="inlineStr">
        <is>
          <t>C</t>
        </is>
      </c>
      <c r="Q95" s="29" t="inlineStr">
        <is>
          <t>R</t>
        </is>
      </c>
      <c r="R95" s="29" t="inlineStr"/>
      <c r="S95" s="29" t="inlineStr"/>
      <c r="T95" s="28" t="inlineStr">
        <is>
          <t>Only people who have joined; DUPLICATE open exit; last day on/after resignation; exit type; reason min 5; ASSETS_OUTSTANDING (cannot complete while assets are assigned); EXIT_SCHEDULED / USER_DEACTIVATED.</t>
        </is>
      </c>
      <c r="U95" s="28" t="inlineStr">
        <is>
          <t>lifecycle_checklists (kind offboarding, last_day, exit_type, exit_reason, rehire_eligible)</t>
        </is>
      </c>
      <c r="V95" s="28" t="inlineStr">
        <is>
          <t>Exits this quarter, attrition %</t>
        </is>
      </c>
      <c r="W95" s="28" t="inlineStr">
        <is>
          <t>HR Home (onboarding &amp; exits, assets due back), CEO People panel</t>
        </is>
      </c>
      <c r="X95" s="28" t="inlineStr">
        <is>
          <t>-</t>
        </is>
      </c>
      <c r="Y95" s="28" t="inlineStr">
        <is>
          <t>/lifecycle</t>
        </is>
      </c>
      <c r="Z95" s="28" t="inlineStr">
        <is>
          <t>R: people.manage|team.view; A: people.manage</t>
        </is>
      </c>
      <c r="AA95" s="29" t="inlineStr">
        <is>
          <t>New in v3</t>
        </is>
      </c>
      <c r="AB95" s="28" t="inlineStr">
        <is>
          <t>-</t>
        </is>
      </c>
    </row>
    <row r="96" ht="56" customHeight="1">
      <c r="A96" s="28" t="inlineStr">
        <is>
          <t>HR-16</t>
        </is>
      </c>
      <c r="B96" s="28" t="inlineStr">
        <is>
          <t>People &amp; HR</t>
        </is>
      </c>
      <c r="C96" s="28" t="inlineStr">
        <is>
          <t>Capability</t>
        </is>
      </c>
      <c r="D96" s="28" t="inlineStr">
        <is>
          <t>Skills matrix and bench management</t>
        </is>
      </c>
      <c r="E96" s="28" t="inlineStr">
        <is>
          <t>Knows who can do what (SAP ABAP, CPI, RAP, React, FastAPI) and who is free, before selling or staffing.</t>
        </is>
      </c>
      <c r="F96" s="28" t="inlineStr">
        <is>
          <t>Staffing, bidding, or quarterly review</t>
        </is>
      </c>
      <c r="G96" s="28" t="inlineStr">
        <is>
          <t>1. Each person rates skills; manager validates
2. Bench view = people under 50% allocated in the next 4 weeks, with skills
3. Search by skill when staffing or bidding</t>
        </is>
      </c>
      <c r="H96" s="29" t="inlineStr"/>
      <c r="I96" s="30" t="inlineStr">
        <is>
          <t>A</t>
        </is>
      </c>
      <c r="J96" s="29" t="inlineStr">
        <is>
          <t>R</t>
        </is>
      </c>
      <c r="K96" s="29" t="inlineStr">
        <is>
          <t>R</t>
        </is>
      </c>
      <c r="L96" s="29" t="inlineStr">
        <is>
          <t>R</t>
        </is>
      </c>
      <c r="M96" s="29" t="inlineStr">
        <is>
          <t>R</t>
        </is>
      </c>
      <c r="N96" s="29" t="inlineStr"/>
      <c r="O96" s="29" t="inlineStr"/>
      <c r="P96" s="29" t="inlineStr">
        <is>
          <t>R</t>
        </is>
      </c>
      <c r="Q96" s="29" t="inlineStr">
        <is>
          <t>R</t>
        </is>
      </c>
      <c r="R96" s="29" t="inlineStr"/>
      <c r="S96" s="29" t="inlineStr"/>
      <c r="T96" s="28" t="inlineStr">
        <is>
          <t>-</t>
        </is>
      </c>
      <c r="U96" s="28" t="inlineStr">
        <is>
          <t>-</t>
        </is>
      </c>
      <c r="V96" s="28" t="inlineStr">
        <is>
          <t>-</t>
        </is>
      </c>
      <c r="W96" s="28" t="inlineStr">
        <is>
          <t>-</t>
        </is>
      </c>
      <c r="X96" s="28" t="inlineStr">
        <is>
          <t>-</t>
        </is>
      </c>
      <c r="Y96" s="28" t="inlineStr">
        <is>
          <t>-</t>
        </is>
      </c>
      <c r="Z96" s="28" t="inlineStr">
        <is>
          <t>- (planned)</t>
        </is>
      </c>
      <c r="AA96" s="29" t="inlineStr">
        <is>
          <t>Planned</t>
        </is>
      </c>
      <c r="AB96" s="28" t="inlineStr">
        <is>
          <t>Recommendation: add skills to the person record and a bench view next to Allocation (spec future scope).</t>
        </is>
      </c>
    </row>
    <row r="97" ht="69" customHeight="1">
      <c r="A97" s="28" t="inlineStr">
        <is>
          <t>HR-17</t>
        </is>
      </c>
      <c r="B97" s="28" t="inlineStr">
        <is>
          <t>People &amp; HR</t>
        </is>
      </c>
      <c r="C97" s="28" t="inlineStr">
        <is>
          <t>Capability</t>
        </is>
      </c>
      <c r="D97" s="28" t="inlineStr">
        <is>
          <t>Training and certification tracking</t>
        </is>
      </c>
      <c r="E97" s="28" t="inlineStr">
        <is>
          <t>Tracks courses and certifications (SAP, cloud) with expiry, a selling point for clients and ISO.</t>
        </is>
      </c>
      <c r="F97" s="28" t="inlineStr">
        <is>
          <t>Course completed or certificate earned</t>
        </is>
      </c>
      <c r="G97" s="28" t="inlineStr">
        <is>
          <t>1. Employee records training/certificate with file and expiry
2. Manager approves; training spend links to the Training budget
3. Expiry reminders 60 days ahead</t>
        </is>
      </c>
      <c r="H97" s="29" t="inlineStr"/>
      <c r="I97" s="30" t="inlineStr">
        <is>
          <t>A</t>
        </is>
      </c>
      <c r="J97" s="29" t="inlineStr">
        <is>
          <t>C</t>
        </is>
      </c>
      <c r="K97" s="29" t="inlineStr">
        <is>
          <t>C</t>
        </is>
      </c>
      <c r="L97" s="29" t="inlineStr">
        <is>
          <t>R</t>
        </is>
      </c>
      <c r="M97" s="29" t="inlineStr">
        <is>
          <t>R</t>
        </is>
      </c>
      <c r="N97" s="29" t="inlineStr">
        <is>
          <t>R</t>
        </is>
      </c>
      <c r="O97" s="29" t="inlineStr">
        <is>
          <t>R</t>
        </is>
      </c>
      <c r="P97" s="29" t="inlineStr">
        <is>
          <t>R</t>
        </is>
      </c>
      <c r="Q97" s="29" t="inlineStr">
        <is>
          <t>R</t>
        </is>
      </c>
      <c r="R97" s="29" t="inlineStr"/>
      <c r="S97" s="29" t="inlineStr"/>
      <c r="T97" s="28" t="inlineStr">
        <is>
          <t>-</t>
        </is>
      </c>
      <c r="U97" s="28" t="inlineStr">
        <is>
          <t>-</t>
        </is>
      </c>
      <c r="V97" s="28" t="inlineStr">
        <is>
          <t>-</t>
        </is>
      </c>
      <c r="W97" s="28" t="inlineStr">
        <is>
          <t>-</t>
        </is>
      </c>
      <c r="X97" s="28" t="inlineStr">
        <is>
          <t>-</t>
        </is>
      </c>
      <c r="Y97" s="28" t="inlineStr">
        <is>
          <t>-</t>
        </is>
      </c>
      <c r="Z97" s="28" t="inlineStr">
        <is>
          <t>- (planned)</t>
        </is>
      </c>
      <c r="AA97" s="29" t="inlineStr">
        <is>
          <t>Planned</t>
        </is>
      </c>
      <c r="AB97" s="28" t="inlineStr">
        <is>
          <t>Recommendation: link to expense category "Training" and the skills matrix.</t>
        </is>
      </c>
    </row>
    <row r="98" ht="56" customHeight="1">
      <c r="A98" s="28" t="inlineStr">
        <is>
          <t>HR-18</t>
        </is>
      </c>
      <c r="B98" s="28" t="inlineStr">
        <is>
          <t>People &amp; HR</t>
        </is>
      </c>
      <c r="C98" s="28" t="inlineStr">
        <is>
          <t>Lifecycle</t>
        </is>
      </c>
      <c r="D98" s="28" t="inlineStr">
        <is>
          <t>Probation confirmation</t>
        </is>
      </c>
      <c r="E98" s="28" t="inlineStr">
        <is>
          <t>Confirms or extends probation on time with the manager's recommendation.</t>
        </is>
      </c>
      <c r="F98" s="28" t="inlineStr">
        <is>
          <t>Probation end date approaching</t>
        </is>
      </c>
      <c r="G98" s="28" t="inlineStr">
        <is>
          <t>1. HR is reminded 15 days before probation ends
2. Manager recommends confirm / extend / exit with evidence from the performance profile
3. Confirmation letter issued</t>
        </is>
      </c>
      <c r="H98" s="29" t="inlineStr"/>
      <c r="I98" s="30" t="inlineStr">
        <is>
          <t>A</t>
        </is>
      </c>
      <c r="J98" s="29" t="inlineStr"/>
      <c r="K98" s="29" t="inlineStr"/>
      <c r="L98" s="29" t="inlineStr">
        <is>
          <t>R</t>
        </is>
      </c>
      <c r="M98" s="29" t="inlineStr">
        <is>
          <t>I</t>
        </is>
      </c>
      <c r="N98" s="29" t="inlineStr"/>
      <c r="O98" s="29" t="inlineStr"/>
      <c r="P98" s="29" t="inlineStr">
        <is>
          <t>I</t>
        </is>
      </c>
      <c r="Q98" s="29" t="inlineStr">
        <is>
          <t>R</t>
        </is>
      </c>
      <c r="R98" s="29" t="inlineStr"/>
      <c r="S98" s="29" t="inlineStr"/>
      <c r="T98" s="28" t="inlineStr">
        <is>
          <t>-</t>
        </is>
      </c>
      <c r="U98" s="28" t="inlineStr">
        <is>
          <t>-</t>
        </is>
      </c>
      <c r="V98" s="28" t="inlineStr">
        <is>
          <t>-</t>
        </is>
      </c>
      <c r="W98" s="28" t="inlineStr">
        <is>
          <t>-</t>
        </is>
      </c>
      <c r="X98" s="28" t="inlineStr">
        <is>
          <t>-</t>
        </is>
      </c>
      <c r="Y98" s="28" t="inlineStr">
        <is>
          <t>-</t>
        </is>
      </c>
      <c r="Z98" s="28" t="inlineStr">
        <is>
          <t>- (planned)</t>
        </is>
      </c>
      <c r="AA98" s="29" t="inlineStr">
        <is>
          <t>Planned</t>
        </is>
      </c>
      <c r="AB98" s="28" t="inlineStr">
        <is>
          <t>Recommendation: add probation end date to the person and a step in the onboarding checklist (handbook policy).</t>
        </is>
      </c>
    </row>
    <row r="99" ht="56" customHeight="1">
      <c r="A99" s="28" t="inlineStr">
        <is>
          <t>HR-19</t>
        </is>
      </c>
      <c r="B99" s="28" t="inlineStr">
        <is>
          <t>People &amp; HR</t>
        </is>
      </c>
      <c r="C99" s="28" t="inlineStr">
        <is>
          <t>Self-service</t>
        </is>
      </c>
      <c r="D99" s="28" t="inlineStr">
        <is>
          <t>Employee self-service letters</t>
        </is>
      </c>
      <c r="E99" s="28" t="inlineStr">
        <is>
          <t>Employees download standard letters (employment, address proof, experience, relieving) without waiting for HR.</t>
        </is>
      </c>
      <c r="F99" s="28" t="inlineStr">
        <is>
          <t>Employee request or exit</t>
        </is>
      </c>
      <c r="G99" s="28" t="inlineStr">
        <is>
          <t>1. Employee requests a letter type
2. HR approves; letter generated from a template with company letterhead
3. Stored in the person's file</t>
        </is>
      </c>
      <c r="H99" s="29" t="inlineStr"/>
      <c r="I99" s="30" t="inlineStr">
        <is>
          <t>A</t>
        </is>
      </c>
      <c r="J99" s="29" t="inlineStr"/>
      <c r="K99" s="29" t="inlineStr"/>
      <c r="L99" s="29" t="inlineStr">
        <is>
          <t>R</t>
        </is>
      </c>
      <c r="M99" s="29" t="inlineStr">
        <is>
          <t>R</t>
        </is>
      </c>
      <c r="N99" s="29" t="inlineStr">
        <is>
          <t>R</t>
        </is>
      </c>
      <c r="O99" s="29" t="inlineStr">
        <is>
          <t>R</t>
        </is>
      </c>
      <c r="P99" s="29" t="inlineStr">
        <is>
          <t>R</t>
        </is>
      </c>
      <c r="Q99" s="29" t="inlineStr"/>
      <c r="R99" s="29" t="inlineStr"/>
      <c r="S99" s="29" t="inlineStr"/>
      <c r="T99" s="28" t="inlineStr">
        <is>
          <t>-</t>
        </is>
      </c>
      <c r="U99" s="28" t="inlineStr">
        <is>
          <t>-</t>
        </is>
      </c>
      <c r="V99" s="28" t="inlineStr">
        <is>
          <t>-</t>
        </is>
      </c>
      <c r="W99" s="28" t="inlineStr">
        <is>
          <t>-</t>
        </is>
      </c>
      <c r="X99" s="28" t="inlineStr">
        <is>
          <t>-</t>
        </is>
      </c>
      <c r="Y99" s="28" t="inlineStr">
        <is>
          <t>-</t>
        </is>
      </c>
      <c r="Z99" s="28" t="inlineStr">
        <is>
          <t>- (planned)</t>
        </is>
      </c>
      <c r="AA99" s="29" t="inlineStr">
        <is>
          <t>Planned</t>
        </is>
      </c>
      <c r="AB99" s="28" t="inlineStr">
        <is>
          <t>Recommendation: template-based letters; experience letter already exists as an exit checklist item.</t>
        </is>
      </c>
    </row>
    <row r="100" ht="43" customHeight="1">
      <c r="A100" s="28" t="inlineStr">
        <is>
          <t>HR-20</t>
        </is>
      </c>
      <c r="B100" s="28" t="inlineStr">
        <is>
          <t>People &amp; HR</t>
        </is>
      </c>
      <c r="C100" s="28" t="inlineStr">
        <is>
          <t>Talent</t>
        </is>
      </c>
      <c r="D100" s="28" t="inlineStr">
        <is>
          <t>Employee referral bonus</t>
        </is>
      </c>
      <c r="E100" s="28" t="inlineStr">
        <is>
          <t>Rewards employees who refer hires, a cheap and reliable source for a small firm.</t>
        </is>
      </c>
      <c r="F100" s="28" t="inlineStr">
        <is>
          <t>Referred candidate is hired and completes the qualifying period</t>
        </is>
      </c>
      <c r="G100" s="28" t="inlineStr">
        <is>
          <t>1. Candidate source = Referral with the referrer named
2. Bonus becomes due after the qualifying period
3. Paid through payroll or reimbursement</t>
        </is>
      </c>
      <c r="H100" s="29" t="inlineStr"/>
      <c r="I100" s="30" t="inlineStr">
        <is>
          <t>A</t>
        </is>
      </c>
      <c r="J100" s="29" t="inlineStr"/>
      <c r="K100" s="29" t="inlineStr"/>
      <c r="L100" s="29" t="inlineStr">
        <is>
          <t>R</t>
        </is>
      </c>
      <c r="M100" s="29" t="inlineStr">
        <is>
          <t>R</t>
        </is>
      </c>
      <c r="N100" s="29" t="inlineStr">
        <is>
          <t>R</t>
        </is>
      </c>
      <c r="O100" s="29" t="inlineStr">
        <is>
          <t>R</t>
        </is>
      </c>
      <c r="P100" s="29" t="inlineStr">
        <is>
          <t>R</t>
        </is>
      </c>
      <c r="Q100" s="29" t="inlineStr"/>
      <c r="R100" s="29" t="inlineStr"/>
      <c r="S100" s="29" t="inlineStr"/>
      <c r="T100" s="28" t="inlineStr">
        <is>
          <t>-</t>
        </is>
      </c>
      <c r="U100" s="28" t="inlineStr">
        <is>
          <t>-</t>
        </is>
      </c>
      <c r="V100" s="28" t="inlineStr">
        <is>
          <t>-</t>
        </is>
      </c>
      <c r="W100" s="28" t="inlineStr">
        <is>
          <t>-</t>
        </is>
      </c>
      <c r="X100" s="28" t="inlineStr">
        <is>
          <t>-</t>
        </is>
      </c>
      <c r="Y100" s="28" t="inlineStr">
        <is>
          <t>-</t>
        </is>
      </c>
      <c r="Z100" s="28" t="inlineStr">
        <is>
          <t>- (planned)</t>
        </is>
      </c>
      <c r="AA100" s="29" t="inlineStr">
        <is>
          <t>Planned</t>
        </is>
      </c>
      <c r="AB100" s="28" t="inlineStr">
        <is>
          <t>Recommendation: add "referred by" to candidates and a payroll addition line.</t>
        </is>
      </c>
    </row>
    <row r="101" ht="56" customHeight="1">
      <c r="A101" s="28" t="inlineStr">
        <is>
          <t>HR-21</t>
        </is>
      </c>
      <c r="B101" s="28" t="inlineStr">
        <is>
          <t>People &amp; HR</t>
        </is>
      </c>
      <c r="C101" s="28" t="inlineStr">
        <is>
          <t>Compliance</t>
        </is>
      </c>
      <c r="D101" s="28" t="inlineStr">
        <is>
          <t>Grievance and POSH register</t>
        </is>
      </c>
      <c r="E101" s="28" t="inlineStr">
        <is>
          <t>Confidential record of grievances and POSH complaints with Internal Committee handling, as required by law.</t>
        </is>
      </c>
      <c r="F101" s="28" t="inlineStr">
        <is>
          <t>Complaint received</t>
        </is>
      </c>
      <c r="G101" s="28" t="inlineStr">
        <is>
          <t>1. Complaint recorded confidentially
2. Internal Committee investigates within statutory timelines
3. Outcome and annual POSH report recorded</t>
        </is>
      </c>
      <c r="H101" s="29" t="inlineStr"/>
      <c r="I101" s="30" t="inlineStr">
        <is>
          <t>A</t>
        </is>
      </c>
      <c r="J101" s="29" t="inlineStr"/>
      <c r="K101" s="29" t="inlineStr"/>
      <c r="L101" s="29" t="inlineStr">
        <is>
          <t>R</t>
        </is>
      </c>
      <c r="M101" s="29" t="inlineStr">
        <is>
          <t>R</t>
        </is>
      </c>
      <c r="N101" s="29" t="inlineStr"/>
      <c r="O101" s="29" t="inlineStr"/>
      <c r="P101" s="29" t="inlineStr">
        <is>
          <t>R</t>
        </is>
      </c>
      <c r="Q101" s="29" t="inlineStr"/>
      <c r="R101" s="29" t="inlineStr"/>
      <c r="S101" s="29" t="inlineStr"/>
      <c r="T101" s="28" t="inlineStr">
        <is>
          <t>-</t>
        </is>
      </c>
      <c r="U101" s="28" t="inlineStr">
        <is>
          <t>-</t>
        </is>
      </c>
      <c r="V101" s="28" t="inlineStr">
        <is>
          <t>-</t>
        </is>
      </c>
      <c r="W101" s="28" t="inlineStr">
        <is>
          <t>-</t>
        </is>
      </c>
      <c r="X101" s="28" t="inlineStr">
        <is>
          <t>-</t>
        </is>
      </c>
      <c r="Y101" s="28" t="inlineStr">
        <is>
          <t>-</t>
        </is>
      </c>
      <c r="Z101" s="28" t="inlineStr">
        <is>
          <t>- (planned)</t>
        </is>
      </c>
      <c r="AA101" s="29" t="inlineStr">
        <is>
          <t>Planned</t>
        </is>
      </c>
      <c r="AB101" s="28" t="inlineStr">
        <is>
          <t>Recommendation: restricted-access register with statutory timelines and the annual report; keep content out of general audit logs.</t>
        </is>
      </c>
    </row>
    <row r="102" ht="69" customHeight="1">
      <c r="A102" s="28" t="inlineStr">
        <is>
          <t>PAY-01</t>
        </is>
      </c>
      <c r="B102" s="28" t="inlineStr">
        <is>
          <t>Payroll &amp; compensation</t>
        </is>
      </c>
      <c r="C102" s="28" t="inlineStr">
        <is>
          <t>Payroll</t>
        </is>
      </c>
      <c r="D102" s="28" t="inlineStr">
        <is>
          <t>Run monthly payroll (draft)</t>
        </is>
      </c>
      <c r="E102" s="28" t="inlineStr">
        <is>
          <t>Calculates what each person is owed for the month from approved work, leave and cost rates.</t>
        </is>
      </c>
      <c r="F102" s="28" t="inlineStr">
        <is>
          <t>Month end</t>
        </is>
      </c>
      <c r="G102" s="28" t="inlineStr">
        <is>
          <t>1. Admin picks the month and runs payroll
2. System builds a line per person: base, working days, approved/unapproved days, LWP, deduction, variable, net
3. Review warnings (no cost rate, unapproved weeks, month not over)</t>
        </is>
      </c>
      <c r="H102" s="29" t="inlineStr"/>
      <c r="I102" s="29" t="inlineStr">
        <is>
          <t>R</t>
        </is>
      </c>
      <c r="J102" s="29" t="inlineStr"/>
      <c r="K102" s="29" t="inlineStr"/>
      <c r="L102" s="29" t="inlineStr">
        <is>
          <t>C</t>
        </is>
      </c>
      <c r="M102" s="29" t="inlineStr">
        <is>
          <t>I</t>
        </is>
      </c>
      <c r="N102" s="29" t="inlineStr"/>
      <c r="O102" s="29" t="inlineStr"/>
      <c r="P102" s="29" t="inlineStr"/>
      <c r="Q102" s="29" t="inlineStr"/>
      <c r="R102" s="29" t="inlineStr"/>
      <c r="S102" s="29" t="inlineStr"/>
      <c r="T102" s="28" t="inlineStr">
        <is>
          <t>Month required and not in the future; PAY_FINAL (final month cannot be re-run); PAY_EXISTS (draft recalculated); warnings listed on the run.</t>
        </is>
      </c>
      <c r="U102" s="28" t="inlineStr">
        <is>
          <t>payroll_runs (month, status, warnings), payroll_lines</t>
        </is>
      </c>
      <c r="V102" s="28" t="inlineStr">
        <is>
          <t>Payroll cost, net pay</t>
        </is>
      </c>
      <c r="W102" s="28" t="inlineStr">
        <is>
          <t>HR Home (payroll status), P&amp;L</t>
        </is>
      </c>
      <c r="X102" s="28" t="inlineStr">
        <is>
          <t>-</t>
        </is>
      </c>
      <c r="Y102" s="28" t="inlineStr">
        <is>
          <t>/payroll, /payroll/:id</t>
        </is>
      </c>
      <c r="Z102" s="28" t="inlineStr">
        <is>
          <t>payroll.run</t>
        </is>
      </c>
      <c r="AA102" s="29" t="inlineStr">
        <is>
          <t>Live</t>
        </is>
      </c>
      <c r="AB102" s="28" t="inlineStr">
        <is>
          <t>Payroll is Admin-only today (payroll.run).</t>
        </is>
      </c>
    </row>
    <row r="103" ht="69" customHeight="1">
      <c r="A103" s="28" t="inlineStr">
        <is>
          <t>PAY-02</t>
        </is>
      </c>
      <c r="B103" s="28" t="inlineStr">
        <is>
          <t>Payroll &amp; compensation</t>
        </is>
      </c>
      <c r="C103" s="28" t="inlineStr">
        <is>
          <t>Payroll</t>
        </is>
      </c>
      <c r="D103" s="28" t="inlineStr">
        <is>
          <t>Deductions for unapproved and LWP days</t>
        </is>
      </c>
      <c r="E103" s="28" t="inlineStr">
        <is>
          <t>Pays only for approved work, as company policy requires, and shows exactly why.</t>
        </is>
      </c>
      <c r="F103" s="28" t="inlineStr">
        <is>
          <t>Payroll run</t>
        </is>
      </c>
      <c r="G103" s="28" t="inlineStr">
        <is>
          <t>1. System finds working days in weeks not approved at run time, and leave-without-pay days
2. Deduction = base / working days x (unapproved + LWP days); half day = 0.5
3. Each deduction shows the source week</t>
        </is>
      </c>
      <c r="H103" s="29" t="inlineStr"/>
      <c r="I103" s="30" t="inlineStr">
        <is>
          <t>A</t>
        </is>
      </c>
      <c r="J103" s="29" t="inlineStr"/>
      <c r="K103" s="29" t="inlineStr"/>
      <c r="L103" s="29" t="inlineStr">
        <is>
          <t>C</t>
        </is>
      </c>
      <c r="M103" s="29" t="inlineStr">
        <is>
          <t>I</t>
        </is>
      </c>
      <c r="N103" s="29" t="inlineStr">
        <is>
          <t>I</t>
        </is>
      </c>
      <c r="O103" s="29" t="inlineStr">
        <is>
          <t>I</t>
        </is>
      </c>
      <c r="P103" s="29" t="inlineStr">
        <is>
          <t>I</t>
        </is>
      </c>
      <c r="Q103" s="29" t="inlineStr">
        <is>
          <t>I</t>
        </is>
      </c>
      <c r="R103" s="29" t="inlineStr"/>
      <c r="S103" s="29" t="inlineStr"/>
      <c r="T103" s="28" t="inlineStr">
        <is>
          <t>BR-12, BR-13; applies only when pay.deduct_unapproved_days is on (on for Seereon).</t>
        </is>
      </c>
      <c r="U103" s="28" t="inlineStr">
        <is>
          <t>payroll_lines (unapproved_days, unapproved_weeks, lwp_days, deduction_paise)</t>
        </is>
      </c>
      <c r="V103" s="28" t="inlineStr">
        <is>
          <t>Deduction amount, days lost to unapproved weeks</t>
        </is>
      </c>
      <c r="W103" s="28" t="inlineStr">
        <is>
          <t>Payroll</t>
        </is>
      </c>
      <c r="X103" s="28" t="inlineStr">
        <is>
          <t>-</t>
        </is>
      </c>
      <c r="Y103" s="28" t="inlineStr">
        <is>
          <t>/payroll/:id</t>
        </is>
      </c>
      <c r="Z103" s="28" t="inlineStr">
        <is>
          <t>payroll.run</t>
        </is>
      </c>
      <c r="AA103" s="29" t="inlineStr">
        <is>
          <t>Live</t>
        </is>
      </c>
      <c r="AB103" s="28" t="inlineStr">
        <is>
          <t>-</t>
        </is>
      </c>
    </row>
    <row r="104" ht="69" customHeight="1">
      <c r="A104" s="28" t="inlineStr">
        <is>
          <t>PAY-03</t>
        </is>
      </c>
      <c r="B104" s="28" t="inlineStr">
        <is>
          <t>Payroll &amp; compensation</t>
        </is>
      </c>
      <c r="C104" s="28" t="inlineStr">
        <is>
          <t>Compensation</t>
        </is>
      </c>
      <c r="D104" s="28" t="inlineStr">
        <is>
          <t>Sales variable pay</t>
        </is>
      </c>
      <c r="E104" s="28" t="inlineStr">
        <is>
          <t>Pays sales variable only when the monthly target is fully met.</t>
        </is>
      </c>
      <c r="F104" s="28" t="inlineStr">
        <is>
          <t>Payroll run / month end</t>
        </is>
      </c>
      <c r="G104" s="28" t="inlineStr">
        <is>
          <t>1. Base = CTC x (1 - variable %); variable at stake = CTC x variable %
2. Achieved = value of deals the person won that month
3. Variable paid in full only when achieved &gt;= 100% of target; otherwise zero</t>
        </is>
      </c>
      <c r="H104" s="29" t="inlineStr"/>
      <c r="I104" s="30" t="inlineStr">
        <is>
          <t>A</t>
        </is>
      </c>
      <c r="J104" s="29" t="inlineStr"/>
      <c r="K104" s="29" t="inlineStr"/>
      <c r="L104" s="29" t="inlineStr">
        <is>
          <t>C</t>
        </is>
      </c>
      <c r="M104" s="29" t="inlineStr"/>
      <c r="N104" s="29" t="inlineStr">
        <is>
          <t>I</t>
        </is>
      </c>
      <c r="O104" s="29" t="inlineStr">
        <is>
          <t>I</t>
        </is>
      </c>
      <c r="P104" s="29" t="inlineStr"/>
      <c r="Q104" s="29" t="inlineStr"/>
      <c r="R104" s="29" t="inlineStr"/>
      <c r="S104" s="29" t="inlineStr"/>
      <c r="T104" s="28" t="inlineStr">
        <is>
          <t>BR-14 (variable default 20%), BR-15 (no partial variable, threshold pay.variable_threshold_pct 100), BR-16.</t>
        </is>
      </c>
      <c r="U104" s="28" t="inlineStr">
        <is>
          <t>cost_rates (variable_pct, sales_target_paise), deals.won_on</t>
        </is>
      </c>
      <c r="V104" s="28" t="inlineStr">
        <is>
          <t>Achievement %, variable earned, payout</t>
        </is>
      </c>
      <c r="W104" s="28" t="inlineStr">
        <is>
          <t>Sales compensation, Sales Home (my target), Payroll</t>
        </is>
      </c>
      <c r="X104" s="28" t="inlineStr">
        <is>
          <t>-</t>
        </is>
      </c>
      <c r="Y104" s="28" t="inlineStr">
        <is>
          <t>/sales/compensation</t>
        </is>
      </c>
      <c r="Z104" s="28" t="inlineStr">
        <is>
          <t>cost_rates.view</t>
        </is>
      </c>
      <c r="AA104" s="29" t="inlineStr">
        <is>
          <t>Live</t>
        </is>
      </c>
      <c r="AB104" s="28" t="inlineStr">
        <is>
          <t>-</t>
        </is>
      </c>
    </row>
    <row r="105" ht="82" customHeight="1">
      <c r="A105" s="28" t="inlineStr">
        <is>
          <t>PAY-04</t>
        </is>
      </c>
      <c r="B105" s="28" t="inlineStr">
        <is>
          <t>Payroll &amp; compensation</t>
        </is>
      </c>
      <c r="C105" s="28" t="inlineStr">
        <is>
          <t>Payroll</t>
        </is>
      </c>
      <c r="D105" s="28" t="inlineStr">
        <is>
          <t>Recompute, finalise and export payroll</t>
        </is>
      </c>
      <c r="E105" s="28" t="inlineStr">
        <is>
          <t>Freezes the month once paid and gives accounts a file for salary transfer.</t>
        </is>
      </c>
      <c r="F105" s="28" t="inlineStr">
        <is>
          <t>Payroll reviewed</t>
        </is>
      </c>
      <c r="G105" s="28" t="inlineStr">
        <is>
          <t>1. Recompute while draft (after late approvals)
2. Finalise: lines frozen; cost rates and holidays for that month are locked
3. Export CSV for bank / accountant</t>
        </is>
      </c>
      <c r="H105" s="29" t="inlineStr">
        <is>
          <t>C</t>
        </is>
      </c>
      <c r="I105" s="30" t="inlineStr">
        <is>
          <t>A</t>
        </is>
      </c>
      <c r="J105" s="29" t="inlineStr"/>
      <c r="K105" s="29" t="inlineStr"/>
      <c r="L105" s="29" t="inlineStr">
        <is>
          <t>R</t>
        </is>
      </c>
      <c r="M105" s="29" t="inlineStr"/>
      <c r="N105" s="29" t="inlineStr"/>
      <c r="O105" s="29" t="inlineStr"/>
      <c r="P105" s="29" t="inlineStr"/>
      <c r="Q105" s="29" t="inlineStr"/>
      <c r="R105" s="29" t="inlineStr"/>
      <c r="S105" s="29" t="inlineStr"/>
      <c r="T105" s="28" t="inlineStr">
        <is>
          <t>PAY_FINAL (frozen); STALE (changed in another tab); RATE_PERIOD_LOCKED for that month afterwards.</t>
        </is>
      </c>
      <c r="U105" s="28" t="inlineStr">
        <is>
          <t>payroll_runs (status final, finalised_by, finalised_at)</t>
        </is>
      </c>
      <c r="V105" s="28" t="inlineStr">
        <is>
          <t>Payroll cost</t>
        </is>
      </c>
      <c r="W105" s="28" t="inlineStr">
        <is>
          <t>Payroll, P&amp;L</t>
        </is>
      </c>
      <c r="X105" s="28" t="inlineStr">
        <is>
          <t>-</t>
        </is>
      </c>
      <c r="Y105" s="28" t="inlineStr">
        <is>
          <t>/payroll/:id</t>
        </is>
      </c>
      <c r="Z105" s="28" t="inlineStr">
        <is>
          <t>R: payroll.run; A: payroll.finalise</t>
        </is>
      </c>
      <c r="AA105" s="29" t="inlineStr">
        <is>
          <t>Extended</t>
        </is>
      </c>
      <c r="AB105" s="28" t="inlineStr">
        <is>
          <t>v4: finalisation is maker-checked in Seereon: the HR Manager (payroll.run) requests it and a second person with Check changes + Finalise payroll (CEO or Administrator) approves; recompute and lock happen on approval; STALE if the run changed meanwhile.</t>
        </is>
      </c>
    </row>
    <row r="106" ht="82" customHeight="1">
      <c r="A106" s="28" t="inlineStr">
        <is>
          <t>PAY-05</t>
        </is>
      </c>
      <c r="B106" s="28" t="inlineStr">
        <is>
          <t>Payroll &amp; compensation</t>
        </is>
      </c>
      <c r="C106" s="28" t="inlineStr">
        <is>
          <t>Compensation</t>
        </is>
      </c>
      <c r="D106" s="28" t="inlineStr">
        <is>
          <t>Apply appraisal increments to salary</t>
        </is>
      </c>
      <c r="E106" s="28" t="inlineStr">
        <is>
          <t>Closes the loop: the increment agreed in the appraisal becomes the new cost rate automatically.</t>
        </is>
      </c>
      <c r="F106" s="28" t="inlineStr">
        <is>
          <t>Appraisal cycle closed</t>
        </is>
      </c>
      <c r="G106" s="28" t="inlineStr">
        <is>
          <t>1. HR completes the appraisal with an increment %
2. System adds a cost-rate row: monthly CTC x (1 + increment %), same variable %, sales target scaled, effective the day after the cycle period ends
3. Project costing and payroll use the new rate from that date; the change is logged</t>
        </is>
      </c>
      <c r="H106" s="29" t="inlineStr"/>
      <c r="I106" s="30" t="inlineStr">
        <is>
          <t>A</t>
        </is>
      </c>
      <c r="J106" s="29" t="inlineStr"/>
      <c r="K106" s="29" t="inlineStr"/>
      <c r="L106" s="29" t="inlineStr">
        <is>
          <t>R</t>
        </is>
      </c>
      <c r="M106" s="29" t="inlineStr">
        <is>
          <t>I</t>
        </is>
      </c>
      <c r="N106" s="29" t="inlineStr"/>
      <c r="O106" s="29" t="inlineStr"/>
      <c r="P106" s="29" t="inlineStr">
        <is>
          <t>I</t>
        </is>
      </c>
      <c r="Q106" s="29" t="inlineStr"/>
      <c r="R106" s="29" t="inlineStr"/>
      <c r="S106" s="29" t="inlineStr"/>
      <c r="T106" s="28" t="inlineStr">
        <is>
          <t>Only when increment &gt; 0 and the person has a current rate; skipped if a rate already starts on that date; increment 0-50%.</t>
        </is>
      </c>
      <c r="U106" s="28" t="inlineStr">
        <is>
          <t>cost_rates (new row), activity_log (cost_rate increment)</t>
        </is>
      </c>
      <c r="V106" s="28" t="inlineStr">
        <is>
          <t>Cost per hour, payroll cost</t>
        </is>
      </c>
      <c r="W106" s="28" t="inlineStr">
        <is>
          <t>Cost rates, Payroll, Project money tab, P&amp;L</t>
        </is>
      </c>
      <c r="X106" s="28" t="inlineStr">
        <is>
          <t>NTF-05 appraisal completed</t>
        </is>
      </c>
      <c r="Y106" s="28" t="inlineStr">
        <is>
          <t>/appraisals/:id &gt; /settings/cost-rates</t>
        </is>
      </c>
      <c r="Z106" s="28" t="inlineStr">
        <is>
          <t>R: appraisals.manage; A: cost_rates.edit</t>
        </is>
      </c>
      <c r="AA106" s="29" t="inlineStr">
        <is>
          <t>New in v3</t>
        </is>
      </c>
      <c r="AB106" s="28" t="inlineStr">
        <is>
          <t>Payroll for a month already finalised is not changed (rates are append-only).</t>
        </is>
      </c>
    </row>
    <row r="107" ht="69" customHeight="1">
      <c r="A107" s="28" t="inlineStr">
        <is>
          <t>PAY-06</t>
        </is>
      </c>
      <c r="B107" s="28" t="inlineStr">
        <is>
          <t>Payroll &amp; compensation</t>
        </is>
      </c>
      <c r="C107" s="28" t="inlineStr">
        <is>
          <t>Statutory</t>
        </is>
      </c>
      <c r="D107" s="28" t="inlineStr">
        <is>
          <t>Statutory payroll (PF, ESI, PT, TDS, LWF)</t>
        </is>
      </c>
      <c r="E107" s="28" t="inlineStr">
        <is>
          <t>Makes payroll legally complete for an Indian employer instead of "payable amount only".</t>
        </is>
      </c>
      <c r="F107" s="28" t="inlineStr">
        <is>
          <t>Monthly payroll</t>
        </is>
      </c>
      <c r="G107" s="28" t="inlineStr">
        <is>
          <t>1. Define salary structure (basic, HRA, allowances)
2. Compute PF, ESI, professional tax (Odisha slabs), TDS on salary, LWF
3. Generate challans / ECR files and statutory reports
4. Feed due dates to the Operations register</t>
        </is>
      </c>
      <c r="H107" s="29" t="inlineStr"/>
      <c r="I107" s="30" t="inlineStr">
        <is>
          <t>A</t>
        </is>
      </c>
      <c r="J107" s="29" t="inlineStr"/>
      <c r="K107" s="29" t="inlineStr"/>
      <c r="L107" s="29" t="inlineStr">
        <is>
          <t>R</t>
        </is>
      </c>
      <c r="M107" s="29" t="inlineStr">
        <is>
          <t>I</t>
        </is>
      </c>
      <c r="N107" s="29" t="inlineStr"/>
      <c r="O107" s="29" t="inlineStr"/>
      <c r="P107" s="29" t="inlineStr">
        <is>
          <t>I</t>
        </is>
      </c>
      <c r="Q107" s="29" t="inlineStr"/>
      <c r="R107" s="29" t="inlineStr"/>
      <c r="S107" s="29" t="inlineStr"/>
      <c r="T107" s="28" t="inlineStr">
        <is>
          <t>-</t>
        </is>
      </c>
      <c r="U107" s="28" t="inlineStr">
        <is>
          <t>-</t>
        </is>
      </c>
      <c r="V107" s="28" t="inlineStr">
        <is>
          <t>-</t>
        </is>
      </c>
      <c r="W107" s="28" t="inlineStr">
        <is>
          <t>-</t>
        </is>
      </c>
      <c r="X107" s="28" t="inlineStr">
        <is>
          <t>-</t>
        </is>
      </c>
      <c r="Y107" s="28" t="inlineStr">
        <is>
          <t>-</t>
        </is>
      </c>
      <c r="Z107" s="28" t="inlineStr">
        <is>
          <t>- (planned)</t>
        </is>
      </c>
      <c r="AA107" s="29" t="inlineStr">
        <is>
          <t>Planned</t>
        </is>
      </c>
      <c r="AB107" s="28" t="inlineStr">
        <is>
          <t>Recommendation: either a built-in statutory engine or an integration with an Indian payroll provider (debt TD-A04).</t>
        </is>
      </c>
    </row>
    <row r="108" ht="43" customHeight="1">
      <c r="A108" s="28" t="inlineStr">
        <is>
          <t>PAY-07</t>
        </is>
      </c>
      <c r="B108" s="28" t="inlineStr">
        <is>
          <t>Payroll &amp; compensation</t>
        </is>
      </c>
      <c r="C108" s="28" t="inlineStr">
        <is>
          <t>Statutory</t>
        </is>
      </c>
      <c r="D108" s="28" t="inlineStr">
        <is>
          <t>Payslips and Form 16</t>
        </is>
      </c>
      <c r="E108" s="28" t="inlineStr">
        <is>
          <t>Employees get monthly payslips and annual Form 16 in self-service.</t>
        </is>
      </c>
      <c r="F108" s="28" t="inlineStr">
        <is>
          <t>Payroll finalised / FY end</t>
        </is>
      </c>
      <c r="G108" s="28" t="inlineStr">
        <is>
          <t>1. Payslip PDF generated per person on finalise
2. Employees download from My performance / profile
3. Form 16 Part B generated at FY end</t>
        </is>
      </c>
      <c r="H108" s="29" t="inlineStr"/>
      <c r="I108" s="30" t="inlineStr">
        <is>
          <t>A</t>
        </is>
      </c>
      <c r="J108" s="29" t="inlineStr"/>
      <c r="K108" s="29" t="inlineStr"/>
      <c r="L108" s="29" t="inlineStr">
        <is>
          <t>R</t>
        </is>
      </c>
      <c r="M108" s="29" t="inlineStr">
        <is>
          <t>R</t>
        </is>
      </c>
      <c r="N108" s="29" t="inlineStr">
        <is>
          <t>R</t>
        </is>
      </c>
      <c r="O108" s="29" t="inlineStr">
        <is>
          <t>R</t>
        </is>
      </c>
      <c r="P108" s="29" t="inlineStr">
        <is>
          <t>R</t>
        </is>
      </c>
      <c r="Q108" s="29" t="inlineStr"/>
      <c r="R108" s="29" t="inlineStr"/>
      <c r="S108" s="29" t="inlineStr"/>
      <c r="T108" s="28" t="inlineStr">
        <is>
          <t>-</t>
        </is>
      </c>
      <c r="U108" s="28" t="inlineStr">
        <is>
          <t>-</t>
        </is>
      </c>
      <c r="V108" s="28" t="inlineStr">
        <is>
          <t>-</t>
        </is>
      </c>
      <c r="W108" s="28" t="inlineStr">
        <is>
          <t>-</t>
        </is>
      </c>
      <c r="X108" s="28" t="inlineStr">
        <is>
          <t>-</t>
        </is>
      </c>
      <c r="Y108" s="28" t="inlineStr">
        <is>
          <t>-</t>
        </is>
      </c>
      <c r="Z108" s="28" t="inlineStr">
        <is>
          <t>- (planned)</t>
        </is>
      </c>
      <c r="AA108" s="29" t="inlineStr">
        <is>
          <t>Planned</t>
        </is>
      </c>
      <c r="AB108" s="28" t="inlineStr">
        <is>
          <t>Recommendation: payslips first (low effort once structure exists); Form 16 with the statutory module.</t>
        </is>
      </c>
    </row>
    <row r="109" ht="69" customHeight="1">
      <c r="A109" s="28" t="inlineStr">
        <is>
          <t>PAY-08</t>
        </is>
      </c>
      <c r="B109" s="28" t="inlineStr">
        <is>
          <t>Payroll &amp; compensation</t>
        </is>
      </c>
      <c r="C109" s="28" t="inlineStr">
        <is>
          <t>Payroll</t>
        </is>
      </c>
      <c r="D109" s="28" t="inlineStr">
        <is>
          <t>Full and final settlement</t>
        </is>
      </c>
      <c r="E109" s="28" t="inlineStr">
        <is>
          <t>Computes the leaver's final dues: salary to last day, leave encashment, recoveries, gratuity.</t>
        </is>
      </c>
      <c r="F109" s="28" t="inlineStr">
        <is>
          <t>Exit last day</t>
        </is>
      </c>
      <c r="G109" s="28" t="inlineStr">
        <is>
          <t>1. System pulls last-month pay, leave balance and outstanding advances/assets
2. HR and finance review and approve
3. Settlement letter and payment; exit checklist item ticked</t>
        </is>
      </c>
      <c r="H109" s="29" t="inlineStr"/>
      <c r="I109" s="30" t="inlineStr">
        <is>
          <t>A</t>
        </is>
      </c>
      <c r="J109" s="29" t="inlineStr"/>
      <c r="K109" s="29" t="inlineStr"/>
      <c r="L109" s="29" t="inlineStr">
        <is>
          <t>R</t>
        </is>
      </c>
      <c r="M109" s="29" t="inlineStr">
        <is>
          <t>I</t>
        </is>
      </c>
      <c r="N109" s="29" t="inlineStr"/>
      <c r="O109" s="29" t="inlineStr"/>
      <c r="P109" s="29" t="inlineStr">
        <is>
          <t>I</t>
        </is>
      </c>
      <c r="Q109" s="29" t="inlineStr"/>
      <c r="R109" s="29" t="inlineStr"/>
      <c r="S109" s="29" t="inlineStr"/>
      <c r="T109" s="28" t="inlineStr">
        <is>
          <t>-</t>
        </is>
      </c>
      <c r="U109" s="28" t="inlineStr">
        <is>
          <t>-</t>
        </is>
      </c>
      <c r="V109" s="28" t="inlineStr">
        <is>
          <t>-</t>
        </is>
      </c>
      <c r="W109" s="28" t="inlineStr">
        <is>
          <t>-</t>
        </is>
      </c>
      <c r="X109" s="28" t="inlineStr">
        <is>
          <t>-</t>
        </is>
      </c>
      <c r="Y109" s="28" t="inlineStr">
        <is>
          <t>-</t>
        </is>
      </c>
      <c r="Z109" s="28" t="inlineStr">
        <is>
          <t>- (planned)</t>
        </is>
      </c>
      <c r="AA109" s="29" t="inlineStr">
        <is>
          <t>Planned</t>
        </is>
      </c>
      <c r="AB109" s="28" t="inlineStr">
        <is>
          <t>Recommendation: link to the exit checklist item "Full &amp; final settlement" (due +30 days).</t>
        </is>
      </c>
    </row>
    <row r="110" ht="56" customHeight="1">
      <c r="A110" s="28" t="inlineStr">
        <is>
          <t>FIN-01</t>
        </is>
      </c>
      <c r="B110" s="28" t="inlineStr">
        <is>
          <t>Finance</t>
        </is>
      </c>
      <c r="C110" s="28" t="inlineStr">
        <is>
          <t>Billing</t>
        </is>
      </c>
      <c r="D110" s="28" t="inlineStr">
        <is>
          <t>Milestone invoicing</t>
        </is>
      </c>
      <c r="E110" s="28" t="inlineStr">
        <is>
          <t>Turns achieved milestones into invoices on time; revenue is recognised as billed at this point.</t>
        </is>
      </c>
      <c r="F110" s="28" t="inlineStr">
        <is>
          <t>Milestone achieved / billing date</t>
        </is>
      </c>
      <c r="G110" s="28" t="inlineStr">
        <is>
          <t>1. Finance (Admin) opens the milestone and clicks Invoice
2. Invoice number (next number suggested), date, due date, amount, PDF file
3. Invoice creates a locked income row in the ledger</t>
        </is>
      </c>
      <c r="H110" s="29" t="inlineStr"/>
      <c r="I110" s="30" t="inlineStr">
        <is>
          <t>A</t>
        </is>
      </c>
      <c r="J110" s="29" t="inlineStr">
        <is>
          <t>I</t>
        </is>
      </c>
      <c r="K110" s="29" t="inlineStr">
        <is>
          <t>I</t>
        </is>
      </c>
      <c r="L110" s="29" t="inlineStr"/>
      <c r="M110" s="29" t="inlineStr"/>
      <c r="N110" s="29" t="inlineStr"/>
      <c r="O110" s="29" t="inlineStr"/>
      <c r="P110" s="29" t="inlineStr"/>
      <c r="Q110" s="29" t="inlineStr"/>
      <c r="R110" s="29" t="inlineStr"/>
      <c r="S110" s="29" t="inlineStr">
        <is>
          <t>I</t>
        </is>
      </c>
      <c r="T110" s="28" t="inlineStr">
        <is>
          <t>MS_INVOICED (once per milestone); INV_NUMBER_TAKEN; DATE_RANGE (due after invoice date); file up to 10 MB; INV_AMOUNT_DIFFERS warning vs milestone billing; BR-27 billed on invoice raise.</t>
        </is>
      </c>
      <c r="U110" s="28" t="inlineStr">
        <is>
          <t>invoices (project_id, milestone_id, number, invoiced_on, amount_paise, due_on, file_id); ledger income row (locked)</t>
        </is>
      </c>
      <c r="V110" s="28" t="inlineStr">
        <is>
          <t>Revenue billed</t>
        </is>
      </c>
      <c r="W110" s="28" t="inlineStr">
        <is>
          <t>CEO Home (revenue), P&amp;L, Invoices</t>
        </is>
      </c>
      <c r="X110" s="28" t="inlineStr">
        <is>
          <t>-</t>
        </is>
      </c>
      <c r="Y110" s="28" t="inlineStr">
        <is>
          <t>/projects/:id/money, /finance/invoices</t>
        </is>
      </c>
      <c r="Z110" s="28" t="inlineStr">
        <is>
          <t>finance.edit</t>
        </is>
      </c>
      <c r="AA110" s="29" t="inlineStr">
        <is>
          <t>Live</t>
        </is>
      </c>
      <c r="AB110" s="28" t="inlineStr">
        <is>
          <t>Invoices are uploaded files; no GST tax-invoice generation yet (FIN-08).</t>
        </is>
      </c>
    </row>
    <row r="111" ht="69" customHeight="1">
      <c r="A111" s="28" t="inlineStr">
        <is>
          <t>FIN-02</t>
        </is>
      </c>
      <c r="B111" s="28" t="inlineStr">
        <is>
          <t>Finance</t>
        </is>
      </c>
      <c r="C111" s="28" t="inlineStr">
        <is>
          <t>Billing</t>
        </is>
      </c>
      <c r="D111" s="28" t="inlineStr">
        <is>
          <t>Record client payment</t>
        </is>
      </c>
      <c r="E111" s="28" t="inlineStr">
        <is>
          <t>Revenue is collected only when money arrives; partial payments are tracked.</t>
        </is>
      </c>
      <c r="F111" s="28" t="inlineStr">
        <is>
          <t>Payment received</t>
        </is>
      </c>
      <c r="G111" s="28" t="inlineStr">
        <is>
          <t>1. Open the invoice and record payment: amount, date, reference
2. Partial payments allowed; invoice becomes paid when fully settled
3. Collected revenue updates</t>
        </is>
      </c>
      <c r="H111" s="29" t="inlineStr"/>
      <c r="I111" s="30" t="inlineStr">
        <is>
          <t>A</t>
        </is>
      </c>
      <c r="J111" s="29" t="inlineStr"/>
      <c r="K111" s="29" t="inlineStr"/>
      <c r="L111" s="29" t="inlineStr"/>
      <c r="M111" s="29" t="inlineStr"/>
      <c r="N111" s="29" t="inlineStr"/>
      <c r="O111" s="29" t="inlineStr"/>
      <c r="P111" s="29" t="inlineStr"/>
      <c r="Q111" s="29" t="inlineStr"/>
      <c r="R111" s="29" t="inlineStr"/>
      <c r="S111" s="29" t="inlineStr"/>
      <c r="T111" s="28" t="inlineStr">
        <is>
          <t>MONEY_INVALID; date required, not in the future, not before invoice date; INV_OVERPAY (no more than outstanding); BR-27 collected on payment.</t>
        </is>
      </c>
      <c r="U111" s="28" t="inlineStr">
        <is>
          <t>payments (invoice_id, amount_paise, paid_on, reference); invoices.paid_amount_paise</t>
        </is>
      </c>
      <c r="V111" s="28" t="inlineStr">
        <is>
          <t>Collected, outstanding</t>
        </is>
      </c>
      <c r="W111" s="28" t="inlineStr">
        <is>
          <t>CEO Home (billed vs collected), Invoices</t>
        </is>
      </c>
      <c r="X111" s="28" t="inlineStr">
        <is>
          <t>-</t>
        </is>
      </c>
      <c r="Y111" s="28" t="inlineStr">
        <is>
          <t>/finance/invoices</t>
        </is>
      </c>
      <c r="Z111" s="28" t="inlineStr">
        <is>
          <t>finance.edit</t>
        </is>
      </c>
      <c r="AA111" s="29" t="inlineStr">
        <is>
          <t>Live</t>
        </is>
      </c>
      <c r="AB111" s="28" t="inlineStr">
        <is>
          <t>-</t>
        </is>
      </c>
    </row>
    <row r="112" ht="56" customHeight="1">
      <c r="A112" s="28" t="inlineStr">
        <is>
          <t>FIN-03</t>
        </is>
      </c>
      <c r="B112" s="28" t="inlineStr">
        <is>
          <t>Finance</t>
        </is>
      </c>
      <c r="C112" s="28" t="inlineStr">
        <is>
          <t>Receivables</t>
        </is>
      </c>
      <c r="D112" s="28" t="inlineStr">
        <is>
          <t>Receivables, ageing and DSO</t>
        </is>
      </c>
      <c r="E112" s="28" t="inlineStr">
        <is>
          <t>Shows who owes what and for how long, so collections are chased in time.</t>
        </is>
      </c>
      <c r="F112" s="28" t="inlineStr">
        <is>
          <t>Weekly collections review</t>
        </is>
      </c>
      <c r="G112" s="28" t="inlineStr">
        <is>
          <t>1. Open Invoices: outstanding by client and project
2. Ageing buckets 0-30, 31-60, 61-90, 90+ days; DSO
3. Invoices more than 90 days past due flow to Lost revenue as bad-debt risk</t>
        </is>
      </c>
      <c r="H112" s="29" t="inlineStr"/>
      <c r="I112" s="30" t="inlineStr">
        <is>
          <t>A</t>
        </is>
      </c>
      <c r="J112" s="29" t="inlineStr">
        <is>
          <t>I</t>
        </is>
      </c>
      <c r="K112" s="29" t="inlineStr">
        <is>
          <t>I</t>
        </is>
      </c>
      <c r="L112" s="29" t="inlineStr"/>
      <c r="M112" s="29" t="inlineStr"/>
      <c r="N112" s="29" t="inlineStr">
        <is>
          <t>I</t>
        </is>
      </c>
      <c r="O112" s="29" t="inlineStr">
        <is>
          <t>I</t>
        </is>
      </c>
      <c r="P112" s="29" t="inlineStr"/>
      <c r="Q112" s="29" t="inlineStr"/>
      <c r="R112" s="29" t="inlineStr"/>
      <c r="S112" s="29" t="inlineStr"/>
      <c r="T112" s="28" t="inlineStr">
        <is>
          <t>Outstanding = amount - paid; bad-debt risk when &gt; 90 days past due.</t>
        </is>
      </c>
      <c r="U112" s="28" t="inlineStr">
        <is>
          <t>invoices, payments</t>
        </is>
      </c>
      <c r="V112" s="28" t="inlineStr">
        <is>
          <t>DSO = outstanding / (billed last 90 days / 90); ageing</t>
        </is>
      </c>
      <c r="W112" s="28" t="inlineStr">
        <is>
          <t>Invoices, Client health, Lost revenue</t>
        </is>
      </c>
      <c r="X112" s="28" t="inlineStr">
        <is>
          <t>-</t>
        </is>
      </c>
      <c r="Y112" s="28" t="inlineStr">
        <is>
          <t>/finance/invoices</t>
        </is>
      </c>
      <c r="Z112" s="28" t="inlineStr">
        <is>
          <t>finance.view</t>
        </is>
      </c>
      <c r="AA112" s="29" t="inlineStr">
        <is>
          <t>Live</t>
        </is>
      </c>
      <c r="AB112" s="28" t="inlineStr">
        <is>
          <t>-</t>
        </is>
      </c>
    </row>
    <row r="113" ht="95" customHeight="1">
      <c r="A113" s="28" t="inlineStr">
        <is>
          <t>FIN-04</t>
        </is>
      </c>
      <c r="B113" s="28" t="inlineStr">
        <is>
          <t>Finance</t>
        </is>
      </c>
      <c r="C113" s="28" t="inlineStr">
        <is>
          <t>Books</t>
        </is>
      </c>
      <c r="D113" s="28" t="inlineStr">
        <is>
          <t>Ledger: income and expenses (incl. recurring)</t>
        </is>
      </c>
      <c r="E113" s="28" t="inlineStr">
        <is>
          <t>One ledger of all money in and out, so P&amp;L and cash are complete.</t>
        </is>
      </c>
      <c r="F113" s="28" t="inlineStr">
        <is>
          <t>Any income or cost not created by another process</t>
        </is>
      </c>
      <c r="G113" s="28" t="inlineStr">
        <is>
          <t>1. Add an entry: income or expense, category, description, amount, date, status (expected / received / paid), stream, project
2. Mark recurring monthly with an end date (rent, salaries, SaaS)
3. Rows from invoices, expense claims and vendor bills are added automatically and locked</t>
        </is>
      </c>
      <c r="H113" s="29" t="inlineStr"/>
      <c r="I113" s="30" t="inlineStr">
        <is>
          <t>A</t>
        </is>
      </c>
      <c r="J113" s="29" t="inlineStr"/>
      <c r="K113" s="29" t="inlineStr"/>
      <c r="L113" s="29" t="inlineStr">
        <is>
          <t>C</t>
        </is>
      </c>
      <c r="M113" s="29" t="inlineStr">
        <is>
          <t>I</t>
        </is>
      </c>
      <c r="N113" s="29" t="inlineStr"/>
      <c r="O113" s="29" t="inlineStr"/>
      <c r="P113" s="29" t="inlineStr"/>
      <c r="Q113" s="29" t="inlineStr"/>
      <c r="R113" s="29" t="inlineStr"/>
      <c r="S113" s="29" t="inlineStr"/>
      <c r="T113" s="28" t="inlineStr">
        <is>
          <t>Kind, category, description (min 3), amount &gt; 0 (MONEY_INVALID), date, status; DATE_RANGE for repeat end; LEDGER_LOCKED (invoice rows cannot be edited/deleted).</t>
        </is>
      </c>
      <c r="U113" s="28" t="inlineStr">
        <is>
          <t>ledger_entries (kind, category, description, amount_paise, date, recurring, until_on, status, project_id, invoice_id, stream, locked)</t>
        </is>
      </c>
      <c r="V113" s="28" t="inlineStr">
        <is>
          <t>Costs, income by category</t>
        </is>
      </c>
      <c r="W113" s="28" t="inlineStr">
        <is>
          <t>P&amp;L, CEO Home, Budgets (actuals)</t>
        </is>
      </c>
      <c r="X113" s="28" t="inlineStr">
        <is>
          <t>-</t>
        </is>
      </c>
      <c r="Y113" s="28" t="inlineStr">
        <is>
          <t>/finance/ledger</t>
        </is>
      </c>
      <c r="Z113" s="28" t="inlineStr">
        <is>
          <t>finance.edit</t>
        </is>
      </c>
      <c r="AA113" s="29" t="inlineStr">
        <is>
          <t>Extended</t>
        </is>
      </c>
      <c r="AB113" s="28" t="inlineStr">
        <is>
          <t>Edit: Admin; view: Admin and HR &amp; operations. v3 posts expense claims and vendor bills here.</t>
        </is>
      </c>
    </row>
    <row r="114" ht="56" customHeight="1">
      <c r="A114" s="28" t="inlineStr">
        <is>
          <t>FIN-05</t>
        </is>
      </c>
      <c r="B114" s="28" t="inlineStr">
        <is>
          <t>Finance</t>
        </is>
      </c>
      <c r="C114" s="28" t="inlineStr">
        <is>
          <t>Reporting</t>
        </is>
      </c>
      <c r="D114" s="28" t="inlineStr">
        <is>
          <t>Profit and loss (monthly, by stream)</t>
        </is>
      </c>
      <c r="E114" s="28" t="inlineStr">
        <is>
          <t>Shows billed, collected, cost, net and margin by month and revenue stream.</t>
        </is>
      </c>
      <c r="F114" s="28" t="inlineStr">
        <is>
          <t>Monthly close / CEO review</t>
        </is>
      </c>
      <c r="G114" s="28" t="inlineStr">
        <is>
          <t>1. Open P&amp;L: 12-month table and chart
2. Revenue by stream (SAP consulting, products, services, SaaS, AMS)
3. Drill into ledger</t>
        </is>
      </c>
      <c r="H114" s="29" t="inlineStr"/>
      <c r="I114" s="30" t="inlineStr">
        <is>
          <t>A</t>
        </is>
      </c>
      <c r="J114" s="29" t="inlineStr"/>
      <c r="K114" s="29" t="inlineStr"/>
      <c r="L114" s="29" t="inlineStr"/>
      <c r="M114" s="29" t="inlineStr"/>
      <c r="N114" s="29" t="inlineStr"/>
      <c r="O114" s="29" t="inlineStr"/>
      <c r="P114" s="29" t="inlineStr"/>
      <c r="Q114" s="29" t="inlineStr"/>
      <c r="R114" s="29" t="inlineStr"/>
      <c r="S114" s="29" t="inlineStr"/>
      <c r="T114" s="28" t="inlineStr">
        <is>
          <t>Margin = (revenue - cost) / revenue (BR-24).</t>
        </is>
      </c>
      <c r="U114" s="28" t="inlineStr">
        <is>
          <t>computed from invoices, payments, ledger, approved hours</t>
        </is>
      </c>
      <c r="V114" s="28" t="inlineStr">
        <is>
          <t>Billed, collected, cost, net, net margin %</t>
        </is>
      </c>
      <c r="W114" s="28" t="inlineStr">
        <is>
          <t>CEO Home (revenue and earnings, revenue by stream), P&amp;L</t>
        </is>
      </c>
      <c r="X114" s="28" t="inlineStr">
        <is>
          <t>-</t>
        </is>
      </c>
      <c r="Y114" s="28" t="inlineStr">
        <is>
          <t>/finance/pnl</t>
        </is>
      </c>
      <c r="Z114" s="28" t="inlineStr">
        <is>
          <t>finance.view</t>
        </is>
      </c>
      <c r="AA114" s="29" t="inlineStr">
        <is>
          <t>Live</t>
        </is>
      </c>
      <c r="AB114" s="28" t="inlineStr">
        <is>
          <t>-</t>
        </is>
      </c>
    </row>
    <row r="115" ht="69" customHeight="1">
      <c r="A115" s="28" t="inlineStr">
        <is>
          <t>FIN-06</t>
        </is>
      </c>
      <c r="B115" s="28" t="inlineStr">
        <is>
          <t>Finance</t>
        </is>
      </c>
      <c r="C115" s="28" t="inlineStr">
        <is>
          <t>Cash</t>
        </is>
      </c>
      <c r="D115" s="28" t="inlineStr">
        <is>
          <t>Cash runway and revenue ahead</t>
        </is>
      </c>
      <c r="E115" s="28" t="inlineStr">
        <is>
          <t>Answers "how many months can we run?" and "what money is coming?".</t>
        </is>
      </c>
      <c r="F115" s="28" t="inlineStr">
        <is>
          <t>Weekly CEO review</t>
        </is>
      </c>
      <c r="G115" s="28" t="inlineStr">
        <is>
          <t>1. Cash balance = opening + received - paid
2. Burn = average monthly cost of the last 3 full months; net burn = burn - average collections
3. Revenue ahead = uninvoiced milestones of live projects + weighted pipeline (30/60/90 days)</t>
        </is>
      </c>
      <c r="H115" s="29" t="inlineStr"/>
      <c r="I115" s="30" t="inlineStr">
        <is>
          <t>A</t>
        </is>
      </c>
      <c r="J115" s="29" t="inlineStr"/>
      <c r="K115" s="29" t="inlineStr"/>
      <c r="L115" s="29" t="inlineStr"/>
      <c r="M115" s="29" t="inlineStr"/>
      <c r="N115" s="29" t="inlineStr">
        <is>
          <t>I</t>
        </is>
      </c>
      <c r="O115" s="29" t="inlineStr">
        <is>
          <t>I</t>
        </is>
      </c>
      <c r="P115" s="29" t="inlineStr"/>
      <c r="Q115" s="29" t="inlineStr"/>
      <c r="R115" s="29" t="inlineStr"/>
      <c r="S115" s="29" t="inlineStr"/>
      <c r="T115" s="28" t="inlineStr">
        <is>
          <t>Runway shown only when net burn &gt; 0 (otherwise "cash positive").</t>
        </is>
      </c>
      <c r="U115" s="28" t="inlineStr">
        <is>
          <t>computed</t>
        </is>
      </c>
      <c r="V115" s="28" t="inlineStr">
        <is>
          <t>Runway months, revenue ahead</t>
        </is>
      </c>
      <c r="W115" s="28" t="inlineStr">
        <is>
          <t>CEO Home (cash runway, revenue ahead), P&amp;L</t>
        </is>
      </c>
      <c r="X115" s="28" t="inlineStr">
        <is>
          <t>-</t>
        </is>
      </c>
      <c r="Y115" s="28" t="inlineStr">
        <is>
          <t>/home, /finance/pnl</t>
        </is>
      </c>
      <c r="Z115" s="28" t="inlineStr">
        <is>
          <t>finance.view</t>
        </is>
      </c>
      <c r="AA115" s="29" t="inlineStr">
        <is>
          <t>Live</t>
        </is>
      </c>
      <c r="AB115" s="28" t="inlineStr">
        <is>
          <t>-</t>
        </is>
      </c>
    </row>
    <row r="116" ht="56" customHeight="1">
      <c r="A116" s="28" t="inlineStr">
        <is>
          <t>FIN-07</t>
        </is>
      </c>
      <c r="B116" s="28" t="inlineStr">
        <is>
          <t>Finance</t>
        </is>
      </c>
      <c r="C116" s="28" t="inlineStr">
        <is>
          <t>Billing</t>
        </is>
      </c>
      <c r="D116" s="28" t="inlineStr">
        <is>
          <t>Timesheet-based billing for T&amp;M projects</t>
        </is>
      </c>
      <c r="E116" s="28" t="inlineStr">
        <is>
          <t>For time-and-material clients, approved hours become invoice lines automatically.</t>
        </is>
      </c>
      <c r="F116" s="28" t="inlineStr">
        <is>
          <t>Month end on T&amp;M projects</t>
        </is>
      </c>
      <c r="G116" s="28" t="inlineStr">
        <is>
          <t>1. System lists approved billable hours by person and rate card
2. Finance reviews, adjusts and creates the invoice
3. Unbilled hours leakage closes</t>
        </is>
      </c>
      <c r="H116" s="29" t="inlineStr"/>
      <c r="I116" s="30" t="inlineStr">
        <is>
          <t>A</t>
        </is>
      </c>
      <c r="J116" s="29" t="inlineStr">
        <is>
          <t>R</t>
        </is>
      </c>
      <c r="K116" s="29" t="inlineStr">
        <is>
          <t>R</t>
        </is>
      </c>
      <c r="L116" s="29" t="inlineStr"/>
      <c r="M116" s="29" t="inlineStr"/>
      <c r="N116" s="29" t="inlineStr"/>
      <c r="O116" s="29" t="inlineStr"/>
      <c r="P116" s="29" t="inlineStr"/>
      <c r="Q116" s="29" t="inlineStr"/>
      <c r="R116" s="29" t="inlineStr"/>
      <c r="S116" s="29" t="inlineStr">
        <is>
          <t>I</t>
        </is>
      </c>
      <c r="T116" s="28" t="inlineStr">
        <is>
          <t>-</t>
        </is>
      </c>
      <c r="U116" s="28" t="inlineStr">
        <is>
          <t>-</t>
        </is>
      </c>
      <c r="V116" s="28" t="inlineStr">
        <is>
          <t>-</t>
        </is>
      </c>
      <c r="W116" s="28" t="inlineStr">
        <is>
          <t>-</t>
        </is>
      </c>
      <c r="X116" s="28" t="inlineStr">
        <is>
          <t>-</t>
        </is>
      </c>
      <c r="Y116" s="28" t="inlineStr">
        <is>
          <t>-</t>
        </is>
      </c>
      <c r="Z116" s="28" t="inlineStr">
        <is>
          <t>- (planned)</t>
        </is>
      </c>
      <c r="AA116" s="29" t="inlineStr">
        <is>
          <t>Planned</t>
        </is>
      </c>
      <c r="AB116" s="28" t="inlineStr">
        <is>
          <t>Recommendation: today T&amp;M unbilled hours are only detected as leakage (REV-03); generate the invoice from them.</t>
        </is>
      </c>
    </row>
    <row r="117" ht="69" customHeight="1">
      <c r="A117" s="28" t="inlineStr">
        <is>
          <t>FIN-08</t>
        </is>
      </c>
      <c r="B117" s="28" t="inlineStr">
        <is>
          <t>Finance</t>
        </is>
      </c>
      <c r="C117" s="28" t="inlineStr">
        <is>
          <t>Compliance</t>
        </is>
      </c>
      <c r="D117" s="28" t="inlineStr">
        <is>
          <t>GST tax invoice, e-invoicing and e-way bill</t>
        </is>
      </c>
      <c r="E117" s="28" t="inlineStr">
        <is>
          <t>Generates GST-compliant invoices with IRN and QR code, instead of uploading PDFs.</t>
        </is>
      </c>
      <c r="F117" s="28" t="inlineStr">
        <is>
          <t>Invoice raised</t>
        </is>
      </c>
      <c r="G117" s="28" t="inlineStr">
        <is>
          <t>1. Invoice built from milestone/T&amp;M data with HSN/SAC, GSTIN, place of supply
2. IRN and QR obtained from the IRP; e-way bill when goods move
3. Credit/debit notes follow the same rules</t>
        </is>
      </c>
      <c r="H117" s="29" t="inlineStr"/>
      <c r="I117" s="30" t="inlineStr">
        <is>
          <t>A</t>
        </is>
      </c>
      <c r="J117" s="29" t="inlineStr"/>
      <c r="K117" s="29" t="inlineStr"/>
      <c r="L117" s="29" t="inlineStr"/>
      <c r="M117" s="29" t="inlineStr"/>
      <c r="N117" s="29" t="inlineStr"/>
      <c r="O117" s="29" t="inlineStr"/>
      <c r="P117" s="29" t="inlineStr"/>
      <c r="Q117" s="29" t="inlineStr"/>
      <c r="R117" s="29" t="inlineStr"/>
      <c r="S117" s="29" t="inlineStr">
        <is>
          <t>I</t>
        </is>
      </c>
      <c r="T117" s="28" t="inlineStr">
        <is>
          <t>-</t>
        </is>
      </c>
      <c r="U117" s="28" t="inlineStr">
        <is>
          <t>-</t>
        </is>
      </c>
      <c r="V117" s="28" t="inlineStr">
        <is>
          <t>-</t>
        </is>
      </c>
      <c r="W117" s="28" t="inlineStr">
        <is>
          <t>-</t>
        </is>
      </c>
      <c r="X117" s="28" t="inlineStr">
        <is>
          <t>-</t>
        </is>
      </c>
      <c r="Y117" s="28" t="inlineStr">
        <is>
          <t>-</t>
        </is>
      </c>
      <c r="Z117" s="28" t="inlineStr">
        <is>
          <t>- (planned)</t>
        </is>
      </c>
      <c r="AA117" s="29" t="inlineStr">
        <is>
          <t>Planned</t>
        </is>
      </c>
      <c r="AB117" s="28" t="inlineStr">
        <is>
          <t>Recommendation: needed once turnover crosses the e-invoicing threshold; integrate a GSP (spec future scope).</t>
        </is>
      </c>
    </row>
    <row r="118" ht="56" customHeight="1">
      <c r="A118" s="28" t="inlineStr">
        <is>
          <t>FIN-09</t>
        </is>
      </c>
      <c r="B118" s="28" t="inlineStr">
        <is>
          <t>Finance</t>
        </is>
      </c>
      <c r="C118" s="28" t="inlineStr">
        <is>
          <t>Books</t>
        </is>
      </c>
      <c r="D118" s="28" t="inlineStr">
        <is>
          <t>Bank reconciliation</t>
        </is>
      </c>
      <c r="E118" s="28" t="inlineStr">
        <is>
          <t>Matches bank statement lines to payments, bills and ledger rows so cash is trusted.</t>
        </is>
      </c>
      <c r="F118" s="28" t="inlineStr">
        <is>
          <t>Weekly / monthly</t>
        </is>
      </c>
      <c r="G118" s="28" t="inlineStr">
        <is>
          <t>1. Import bank statement (CSV)
2. Auto-match by amount, date and reference; review exceptions
3. Unmatched items create ledger entries</t>
        </is>
      </c>
      <c r="H118" s="29" t="inlineStr"/>
      <c r="I118" s="30" t="inlineStr">
        <is>
          <t>A</t>
        </is>
      </c>
      <c r="J118" s="29" t="inlineStr"/>
      <c r="K118" s="29" t="inlineStr"/>
      <c r="L118" s="29" t="inlineStr">
        <is>
          <t>C</t>
        </is>
      </c>
      <c r="M118" s="29" t="inlineStr">
        <is>
          <t>I</t>
        </is>
      </c>
      <c r="N118" s="29" t="inlineStr"/>
      <c r="O118" s="29" t="inlineStr"/>
      <c r="P118" s="29" t="inlineStr"/>
      <c r="Q118" s="29" t="inlineStr"/>
      <c r="R118" s="29" t="inlineStr"/>
      <c r="S118" s="29" t="inlineStr"/>
      <c r="T118" s="28" t="inlineStr">
        <is>
          <t>-</t>
        </is>
      </c>
      <c r="U118" s="28" t="inlineStr">
        <is>
          <t>-</t>
        </is>
      </c>
      <c r="V118" s="28" t="inlineStr">
        <is>
          <t>-</t>
        </is>
      </c>
      <c r="W118" s="28" t="inlineStr">
        <is>
          <t>-</t>
        </is>
      </c>
      <c r="X118" s="28" t="inlineStr">
        <is>
          <t>-</t>
        </is>
      </c>
      <c r="Y118" s="28" t="inlineStr">
        <is>
          <t>-</t>
        </is>
      </c>
      <c r="Z118" s="28" t="inlineStr">
        <is>
          <t>- (planned)</t>
        </is>
      </c>
      <c r="AA118" s="29" t="inlineStr">
        <is>
          <t>Planned</t>
        </is>
      </c>
      <c r="AB118" s="28" t="inlineStr">
        <is>
          <t>Recommendation: CSV import first; bank APIs later.</t>
        </is>
      </c>
    </row>
    <row r="119" ht="43" customHeight="1">
      <c r="A119" s="28" t="inlineStr">
        <is>
          <t>FIN-10</t>
        </is>
      </c>
      <c r="B119" s="28" t="inlineStr">
        <is>
          <t>Finance</t>
        </is>
      </c>
      <c r="C119" s="28" t="inlineStr">
        <is>
          <t>Integration</t>
        </is>
      </c>
      <c r="D119" s="28" t="inlineStr">
        <is>
          <t>Tally / Zoho Books integration</t>
        </is>
      </c>
      <c r="E119" s="28" t="inlineStr">
        <is>
          <t>Avoids double entry with the accountant's books.</t>
        </is>
      </c>
      <c r="F119" s="28" t="inlineStr">
        <is>
          <t>Daily / month end</t>
        </is>
      </c>
      <c r="G119" s="28" t="inlineStr">
        <is>
          <t>1. Map ledger categories to Tally/Zoho ledgers
2. Push invoices, payments, bills and expenses
3. Pull back GST returns status</t>
        </is>
      </c>
      <c r="H119" s="29" t="inlineStr"/>
      <c r="I119" s="30" t="inlineStr">
        <is>
          <t>A</t>
        </is>
      </c>
      <c r="J119" s="29" t="inlineStr"/>
      <c r="K119" s="29" t="inlineStr"/>
      <c r="L119" s="29" t="inlineStr">
        <is>
          <t>C</t>
        </is>
      </c>
      <c r="M119" s="29" t="inlineStr">
        <is>
          <t>I</t>
        </is>
      </c>
      <c r="N119" s="29" t="inlineStr"/>
      <c r="O119" s="29" t="inlineStr"/>
      <c r="P119" s="29" t="inlineStr"/>
      <c r="Q119" s="29" t="inlineStr"/>
      <c r="R119" s="29" t="inlineStr"/>
      <c r="S119" s="29" t="inlineStr"/>
      <c r="T119" s="28" t="inlineStr">
        <is>
          <t>-</t>
        </is>
      </c>
      <c r="U119" s="28" t="inlineStr">
        <is>
          <t>-</t>
        </is>
      </c>
      <c r="V119" s="28" t="inlineStr">
        <is>
          <t>-</t>
        </is>
      </c>
      <c r="W119" s="28" t="inlineStr">
        <is>
          <t>-</t>
        </is>
      </c>
      <c r="X119" s="28" t="inlineStr">
        <is>
          <t>-</t>
        </is>
      </c>
      <c r="Y119" s="28" t="inlineStr">
        <is>
          <t>-</t>
        </is>
      </c>
      <c r="Z119" s="28" t="inlineStr">
        <is>
          <t>- (planned)</t>
        </is>
      </c>
      <c r="AA119" s="29" t="inlineStr">
        <is>
          <t>Planned</t>
        </is>
      </c>
      <c r="AB119" s="28" t="inlineStr">
        <is>
          <t>Recommendation: export in Tally XML first (spec future scope; also fits Munim AI).</t>
        </is>
      </c>
    </row>
    <row r="120" ht="43" customHeight="1">
      <c r="A120" s="28" t="inlineStr">
        <is>
          <t>FIN-11</t>
        </is>
      </c>
      <c r="B120" s="28" t="inlineStr">
        <is>
          <t>Finance</t>
        </is>
      </c>
      <c r="C120" s="28" t="inlineStr">
        <is>
          <t>Receivables</t>
        </is>
      </c>
      <c r="D120" s="28" t="inlineStr">
        <is>
          <t>Collections follow-up and dunning</t>
        </is>
      </c>
      <c r="E120" s="28" t="inlineStr">
        <is>
          <t>Reminds clients automatically before and after the due date and escalates in time.</t>
        </is>
      </c>
      <c r="F120" s="28" t="inlineStr">
        <is>
          <t>Invoice due / overdue</t>
        </is>
      </c>
      <c r="G120" s="28" t="inlineStr">
        <is>
          <t>1. Reminder emails at due -3, +7, +15, +30 days
2. Escalation to the account owner and CEO at +45 days
3. Promise-to-pay dates logged</t>
        </is>
      </c>
      <c r="H120" s="29" t="inlineStr"/>
      <c r="I120" s="30" t="inlineStr">
        <is>
          <t>A</t>
        </is>
      </c>
      <c r="J120" s="29" t="inlineStr"/>
      <c r="K120" s="29" t="inlineStr"/>
      <c r="L120" s="29" t="inlineStr"/>
      <c r="M120" s="29" t="inlineStr"/>
      <c r="N120" s="29" t="inlineStr">
        <is>
          <t>R</t>
        </is>
      </c>
      <c r="O120" s="29" t="inlineStr">
        <is>
          <t>R</t>
        </is>
      </c>
      <c r="P120" s="29" t="inlineStr"/>
      <c r="Q120" s="29" t="inlineStr"/>
      <c r="R120" s="29" t="inlineStr"/>
      <c r="S120" s="29" t="inlineStr">
        <is>
          <t>I</t>
        </is>
      </c>
      <c r="T120" s="28" t="inlineStr">
        <is>
          <t>-</t>
        </is>
      </c>
      <c r="U120" s="28" t="inlineStr">
        <is>
          <t>-</t>
        </is>
      </c>
      <c r="V120" s="28" t="inlineStr">
        <is>
          <t>-</t>
        </is>
      </c>
      <c r="W120" s="28" t="inlineStr">
        <is>
          <t>-</t>
        </is>
      </c>
      <c r="X120" s="28" t="inlineStr">
        <is>
          <t>-</t>
        </is>
      </c>
      <c r="Y120" s="28" t="inlineStr">
        <is>
          <t>-</t>
        </is>
      </c>
      <c r="Z120" s="28" t="inlineStr">
        <is>
          <t>- (planned)</t>
        </is>
      </c>
      <c r="AA120" s="29" t="inlineStr">
        <is>
          <t>Planned</t>
        </is>
      </c>
      <c r="AB120" s="28" t="inlineStr">
        <is>
          <t>Recommendation: biggest cash lever for a services firm; reuse client payment terms and ageing.</t>
        </is>
      </c>
    </row>
    <row r="121" ht="69" customHeight="1">
      <c r="A121" s="28" t="inlineStr">
        <is>
          <t>SPD-01</t>
        </is>
      </c>
      <c r="B121" s="28" t="inlineStr">
        <is>
          <t>Spend &amp; procurement</t>
        </is>
      </c>
      <c r="C121" s="28" t="inlineStr">
        <is>
          <t>Expenses</t>
        </is>
      </c>
      <c r="D121" s="28" t="inlineStr">
        <is>
          <t>Submit an expense claim</t>
        </is>
      </c>
      <c r="E121" s="28" t="inlineStr">
        <is>
          <t>Employees claim out-of-pocket spend with a receipt; project costs can be re-billed to clients.</t>
        </is>
      </c>
      <c r="F121" s="28" t="inlineStr">
        <is>
          <t>Employee spends company money</t>
        </is>
      </c>
      <c r="G121" s="28" t="inlineStr">
        <is>
          <t>1. Create a claim: category, description, amount, date spent, receipt, project, billable to client
2. Save as draft or submit
3. Claim routes to the approver</t>
        </is>
      </c>
      <c r="H121" s="29" t="inlineStr"/>
      <c r="I121" s="29" t="inlineStr">
        <is>
          <t>I</t>
        </is>
      </c>
      <c r="J121" s="29" t="inlineStr">
        <is>
          <t>R</t>
        </is>
      </c>
      <c r="K121" s="29" t="inlineStr">
        <is>
          <t>R</t>
        </is>
      </c>
      <c r="L121" s="29" t="inlineStr">
        <is>
          <t>R</t>
        </is>
      </c>
      <c r="M121" s="29" t="inlineStr">
        <is>
          <t>R</t>
        </is>
      </c>
      <c r="N121" s="29" t="inlineStr">
        <is>
          <t>R</t>
        </is>
      </c>
      <c r="O121" s="29" t="inlineStr">
        <is>
          <t>R</t>
        </is>
      </c>
      <c r="P121" s="29" t="inlineStr">
        <is>
          <t>R</t>
        </is>
      </c>
      <c r="Q121" s="29" t="inlineStr">
        <is>
          <t>R</t>
        </is>
      </c>
      <c r="R121" s="29" t="inlineStr"/>
      <c r="S121" s="29" t="inlineStr"/>
      <c r="T121" s="28" t="inlineStr">
        <is>
          <t>Category required; DATE_IN_FUTURE; EXPENSE_TOO_OLD (over 90 days); RECEIPT_REQUIRED above Rs 500; project required when billable to client; DUPLICATE_EXPENSE warning (same amount and date); EXPENSE_LOCKED (submitted claims cannot be edited; only draft/rejected deleted).</t>
        </is>
      </c>
      <c r="U121" s="28" t="inlineStr">
        <is>
          <t>expense_claims (user_id, project_id, category, description, amount_paise, spent_on, receipt_file_id, billable_to_client, status)</t>
        </is>
      </c>
      <c r="V121" s="28" t="inlineStr">
        <is>
          <t>Claims submitted</t>
        </is>
      </c>
      <c r="W121" s="28" t="inlineStr">
        <is>
          <t>Expenses (mine); Reports / Ask AI (expenses)</t>
        </is>
      </c>
      <c r="X121" s="28" t="inlineStr">
        <is>
          <t>NTF-04 expense to approve</t>
        </is>
      </c>
      <c r="Y121" s="28" t="inlineStr">
        <is>
          <t>/expenses</t>
        </is>
      </c>
      <c r="Z121" s="28" t="inlineStr">
        <is>
          <t>-</t>
        </is>
      </c>
      <c r="AA121" s="29" t="inlineStr">
        <is>
          <t>New in v3</t>
        </is>
      </c>
      <c r="AB121" s="28" t="inlineStr">
        <is>
          <t>-</t>
        </is>
      </c>
    </row>
    <row r="122" ht="95" customHeight="1">
      <c r="A122" s="28" t="inlineStr">
        <is>
          <t>SPD-02</t>
        </is>
      </c>
      <c r="B122" s="28" t="inlineStr">
        <is>
          <t>Spend &amp; procurement</t>
        </is>
      </c>
      <c r="C122" s="28" t="inlineStr">
        <is>
          <t>Expenses</t>
        </is>
      </c>
      <c r="D122" s="28" t="inlineStr">
        <is>
          <t>Approve or reject an expense (two-step above Rs 25,000)</t>
        </is>
      </c>
      <c r="E122" s="28" t="inlineStr">
        <is>
          <t>Every claim is checked by the right person; large claims also by the CEO; over-budget claims are flagged.</t>
        </is>
      </c>
      <c r="F122" s="28" t="inlineStr">
        <is>
          <t>Claim submitted</t>
        </is>
      </c>
      <c r="G122" s="28" t="inlineStr">
        <is>
          <t>1. Approver = project PM (if the claim is on a project), else reports-to manager, else Admin
2. Approve, or reject with a reason
3. Above Rs 25,000 a manager approval forwards it to the Admin for final approval
4. Approving beyond the month's category budget marks it unbudgeted spend</t>
        </is>
      </c>
      <c r="H122" s="29" t="inlineStr"/>
      <c r="I122" s="30" t="inlineStr">
        <is>
          <t>A</t>
        </is>
      </c>
      <c r="J122" s="29" t="inlineStr">
        <is>
          <t>R</t>
        </is>
      </c>
      <c r="K122" s="29" t="inlineStr">
        <is>
          <t>R</t>
        </is>
      </c>
      <c r="L122" s="29" t="inlineStr">
        <is>
          <t>C</t>
        </is>
      </c>
      <c r="M122" s="29" t="inlineStr">
        <is>
          <t>I</t>
        </is>
      </c>
      <c r="N122" s="29" t="inlineStr"/>
      <c r="O122" s="29" t="inlineStr"/>
      <c r="P122" s="29" t="inlineStr">
        <is>
          <t>I</t>
        </is>
      </c>
      <c r="Q122" s="29" t="inlineStr">
        <is>
          <t>R</t>
        </is>
      </c>
      <c r="R122" s="29" t="inlineStr"/>
      <c r="S122" s="29" t="inlineStr"/>
      <c r="T122" s="28" t="inlineStr">
        <is>
          <t>INVALID_STATE (only submitted); SELF_APPROVAL; approver or Admin only; SECOND_APPROVAL (Rs 25,000); OVER_BUDGET warning; REASON_REQUIRED (reject, min 5).</t>
        </is>
      </c>
      <c r="U122" s="28" t="inlineStr">
        <is>
          <t>expense_claims (approver_id, first_approved_by, decided_by, decided_at, decision_reason, in_budget)</t>
        </is>
      </c>
      <c r="V122" s="28" t="inlineStr">
        <is>
          <t>Claims approved, unbudgeted spend</t>
        </is>
      </c>
      <c r="W122" s="28" t="inlineStr">
        <is>
          <t>Approvals inbox (expense), Budgets (unbudgeted), CEO Spend panel; Reports / Ask AI (expenses)</t>
        </is>
      </c>
      <c r="X122" s="28" t="inlineStr">
        <is>
          <t>NTF-04 to Admin (second step); NTF-05 approved; NTF-06 rejected</t>
        </is>
      </c>
      <c r="Y122" s="28" t="inlineStr">
        <is>
          <t>/expenses?tab=approve, /inbox</t>
        </is>
      </c>
      <c r="Z122" s="28" t="inlineStr">
        <is>
          <t>expenses.approve|approvals.act</t>
        </is>
      </c>
      <c r="AA122" s="29" t="inlineStr">
        <is>
          <t>Extended</t>
        </is>
      </c>
      <c r="AB122" s="28" t="inlineStr">
        <is>
          <t>New in v3. v4: routed by the configurable "Expense claims" workflow (default: PM else manager, then CEO above Rs 25,000); steps, thresholds, SLA and escalation are admin-configurable.</t>
        </is>
      </c>
    </row>
    <row r="123" ht="56" customHeight="1">
      <c r="A123" s="28" t="inlineStr">
        <is>
          <t>SPD-03</t>
        </is>
      </c>
      <c r="B123" s="28" t="inlineStr">
        <is>
          <t>Spend &amp; procurement</t>
        </is>
      </c>
      <c r="C123" s="28" t="inlineStr">
        <is>
          <t>Expenses</t>
        </is>
      </c>
      <c r="D123" s="28" t="inlineStr">
        <is>
          <t>Reimburse an expense</t>
        </is>
      </c>
      <c r="E123" s="28" t="inlineStr">
        <is>
          <t>Approved claims are paid and booked to the ledger in one step.</t>
        </is>
      </c>
      <c r="F123" s="28" t="inlineStr">
        <is>
          <t>Claim approved</t>
        </is>
      </c>
      <c r="G123" s="28" t="inlineStr">
        <is>
          <t>1. Admin / HR &amp; operations opens Expenses &gt; To pay
2. Records the payment date
3. A locked ledger expense row is created (marked re-bill if billable)</t>
        </is>
      </c>
      <c r="H123" s="29" t="inlineStr"/>
      <c r="I123" s="30" t="inlineStr">
        <is>
          <t>A</t>
        </is>
      </c>
      <c r="J123" s="29" t="inlineStr"/>
      <c r="K123" s="29" t="inlineStr"/>
      <c r="L123" s="29" t="inlineStr">
        <is>
          <t>R</t>
        </is>
      </c>
      <c r="M123" s="29" t="inlineStr">
        <is>
          <t>I</t>
        </is>
      </c>
      <c r="N123" s="29" t="inlineStr"/>
      <c r="O123" s="29" t="inlineStr"/>
      <c r="P123" s="29" t="inlineStr">
        <is>
          <t>I</t>
        </is>
      </c>
      <c r="Q123" s="29" t="inlineStr"/>
      <c r="R123" s="29" t="inlineStr"/>
      <c r="S123" s="29" t="inlineStr"/>
      <c r="T123" s="28" t="inlineStr">
        <is>
          <t>Only Admin and HR &amp; operations (expenses.pay); only approved claims; DATE_IN_FUTURE.</t>
        </is>
      </c>
      <c r="U123" s="28" t="inlineStr">
        <is>
          <t>expense_claims (paid_on, ledger_entry_id); ledger_entries</t>
        </is>
      </c>
      <c r="V123" s="28" t="inlineStr">
        <is>
          <t>Reimbursements paid</t>
        </is>
      </c>
      <c r="W123" s="28" t="inlineStr">
        <is>
          <t>Approvals inbox (expense pay), P&amp;L; Reports / Ask AI (expenses)</t>
        </is>
      </c>
      <c r="X123" s="28" t="inlineStr">
        <is>
          <t>NTF-05 expense reimbursed</t>
        </is>
      </c>
      <c r="Y123" s="28" t="inlineStr">
        <is>
          <t>/expenses?tab=pay, /inbox</t>
        </is>
      </c>
      <c r="Z123" s="28" t="inlineStr">
        <is>
          <t>expenses.pay</t>
        </is>
      </c>
      <c r="AA123" s="29" t="inlineStr">
        <is>
          <t>New in v3</t>
        </is>
      </c>
      <c r="AB123" s="28" t="inlineStr">
        <is>
          <t>-</t>
        </is>
      </c>
    </row>
    <row r="124" ht="95" customHeight="1">
      <c r="A124" s="28" t="inlineStr">
        <is>
          <t>SPD-04</t>
        </is>
      </c>
      <c r="B124" s="28" t="inlineStr">
        <is>
          <t>Spend &amp; procurement</t>
        </is>
      </c>
      <c r="C124" s="28" t="inlineStr">
        <is>
          <t>Procurement</t>
        </is>
      </c>
      <c r="D124" s="28" t="inlineStr">
        <is>
          <t>Raise a purchase order</t>
        </is>
      </c>
      <c r="E124" s="28" t="inlineStr">
        <is>
          <t>Commits spend only against a vendor, a budget head and, if over budget, a written justification.</t>
        </is>
      </c>
      <c r="F124" s="28" t="inlineStr">
        <is>
          <t>Need to buy goods or services</t>
        </is>
      </c>
      <c r="G124" s="28" t="inlineStr">
        <is>
          <t>1. Admin / HR &amp; operations creates a PO: vendor, lines (description, qty, rate), GST %, budget category, project, needed by
2. Submit: system checks the remaining FY budget (counting other committed POs)
3. If over budget, a justification is required; PO goes to the Admin</t>
        </is>
      </c>
      <c r="H124" s="29" t="inlineStr"/>
      <c r="I124" s="30" t="inlineStr">
        <is>
          <t>A</t>
        </is>
      </c>
      <c r="J124" s="29" t="inlineStr">
        <is>
          <t>I</t>
        </is>
      </c>
      <c r="K124" s="29" t="inlineStr">
        <is>
          <t>I</t>
        </is>
      </c>
      <c r="L124" s="29" t="inlineStr">
        <is>
          <t>R</t>
        </is>
      </c>
      <c r="M124" s="29" t="inlineStr">
        <is>
          <t>I</t>
        </is>
      </c>
      <c r="N124" s="29" t="inlineStr"/>
      <c r="O124" s="29" t="inlineStr"/>
      <c r="P124" s="29" t="inlineStr"/>
      <c r="Q124" s="29" t="inlineStr"/>
      <c r="R124" s="29" t="inlineStr"/>
      <c r="S124" s="29" t="inlineStr"/>
      <c r="T124" s="28" t="inlineStr">
        <is>
          <t>VENDOR_BLOCKED; at least one line; qty &gt; 0; GST 0/5/12/18/28%; JUSTIFICATION_REQUIRED (min 15 characters when over budget or no budget); OVER_BUDGET warning; PO_LOCKED after submit.</t>
        </is>
      </c>
      <c r="U124" s="28" t="inlineStr">
        <is>
          <t>purchase_orders (number, vendor_id, project_id, budget_category, lines, amount_paise, gst_pct, status, requested_by, approver_id, needed_by, justification, over_budget)</t>
        </is>
      </c>
      <c r="V124" s="28" t="inlineStr">
        <is>
          <t>Committed spend</t>
        </is>
      </c>
      <c r="W124" s="28" t="inlineStr">
        <is>
          <t>Purchases &amp; vendors, Budgets (committed); Reports / Ask AI (purchases)</t>
        </is>
      </c>
      <c r="X124" s="28" t="inlineStr">
        <is>
          <t>NTF-04 PO to approve</t>
        </is>
      </c>
      <c r="Y124" s="28" t="inlineStr">
        <is>
          <t>/purchases</t>
        </is>
      </c>
      <c r="Z124" s="28" t="inlineStr">
        <is>
          <t>R: procurement.manage; A: approvals.act</t>
        </is>
      </c>
      <c r="AA124" s="29" t="inlineStr">
        <is>
          <t>New in v3</t>
        </is>
      </c>
      <c r="AB124" s="28" t="inlineStr">
        <is>
          <t>Employees and PMs cannot raise a purchase request themselves (procurement.manage = Admin, HR &amp; ops).</t>
        </is>
      </c>
    </row>
    <row r="125" ht="43" customHeight="1">
      <c r="A125" s="28" t="inlineStr">
        <is>
          <t>SPD-05</t>
        </is>
      </c>
      <c r="B125" s="28" t="inlineStr">
        <is>
          <t>Spend &amp; procurement</t>
        </is>
      </c>
      <c r="C125" s="28" t="inlineStr">
        <is>
          <t>Procurement</t>
        </is>
      </c>
      <c r="D125" s="28" t="inlineStr">
        <is>
          <t>Approve, reject or close a PO</t>
        </is>
      </c>
      <c r="E125" s="28" t="inlineStr">
        <is>
          <t>The CEO controls every purchase commitment.</t>
        </is>
      </c>
      <c r="F125" s="28" t="inlineStr">
        <is>
          <t>PO submitted</t>
        </is>
      </c>
      <c r="G125" s="28" t="inlineStr">
        <is>
          <t>1. Admin reviews lines, budget remaining and justification
2. Approve, or reject with a reason
3. Close the PO when fully billed / delivered</t>
        </is>
      </c>
      <c r="H125" s="29" t="inlineStr"/>
      <c r="I125" s="29" t="inlineStr">
        <is>
          <t>R</t>
        </is>
      </c>
      <c r="J125" s="29" t="inlineStr"/>
      <c r="K125" s="29" t="inlineStr"/>
      <c r="L125" s="29" t="inlineStr">
        <is>
          <t>C</t>
        </is>
      </c>
      <c r="M125" s="29" t="inlineStr">
        <is>
          <t>I</t>
        </is>
      </c>
      <c r="N125" s="29" t="inlineStr"/>
      <c r="O125" s="29" t="inlineStr"/>
      <c r="P125" s="29" t="inlineStr"/>
      <c r="Q125" s="29" t="inlineStr"/>
      <c r="R125" s="29" t="inlineStr"/>
      <c r="S125" s="29" t="inlineStr"/>
      <c r="T125" s="28" t="inlineStr">
        <is>
          <t>Only Admin approves; INVALID_STATE (only pending); VENDOR_BLOCKED; REASON_REQUIRED (min 5); only approved POs close; only drafts deleted (PO_LOCKED).</t>
        </is>
      </c>
      <c r="U125" s="28" t="inlineStr">
        <is>
          <t>purchase_orders (decided_by, decided_at, decision_reason, status)</t>
        </is>
      </c>
      <c r="V125" s="28" t="inlineStr">
        <is>
          <t>POs approved / rejected</t>
        </is>
      </c>
      <c r="W125" s="28" t="inlineStr">
        <is>
          <t>Approvals inbox (purchase_order); Reports / Ask AI (purchases)</t>
        </is>
      </c>
      <c r="X125" s="28" t="inlineStr">
        <is>
          <t>NTF-05 / NTF-06 to requester</t>
        </is>
      </c>
      <c r="Y125" s="28" t="inlineStr">
        <is>
          <t>/purchases, /inbox</t>
        </is>
      </c>
      <c r="Z125" s="28" t="inlineStr">
        <is>
          <t>procurement.manage|approvals.act</t>
        </is>
      </c>
      <c r="AA125" s="29" t="inlineStr">
        <is>
          <t>Extended</t>
        </is>
      </c>
      <c r="AB125" s="28" t="inlineStr">
        <is>
          <t>New in v3. v4: routed by the configurable "Purchase orders" workflow (default: CEO).</t>
        </is>
      </c>
    </row>
    <row r="126" ht="69" customHeight="1">
      <c r="A126" s="28" t="inlineStr">
        <is>
          <t>SPD-06</t>
        </is>
      </c>
      <c r="B126" s="28" t="inlineStr">
        <is>
          <t>Spend &amp; procurement</t>
        </is>
      </c>
      <c r="C126" s="28" t="inlineStr">
        <is>
          <t>Payables</t>
        </is>
      </c>
      <c r="D126" s="28" t="inlineStr">
        <is>
          <t>Book a vendor bill (PO match)</t>
        </is>
      </c>
      <c r="E126" s="28" t="inlineStr">
        <is>
          <t>Bills are checked against the PO before anyone pays, preventing over-billing and duplicates.</t>
        </is>
      </c>
      <c r="F126" s="28" t="inlineStr">
        <is>
          <t>Vendor invoice received</t>
        </is>
      </c>
      <c r="G126" s="28" t="inlineStr">
        <is>
          <t>1. HR &amp; operations / Admin records the bill: vendor, number, date, amount, GST, TDS, file, PO (or category if no PO)
2. System checks the PO is approved, belongs to the vendor, and bills stay within PO value + 5%
3. Due date = bill date + vendor payment terms</t>
        </is>
      </c>
      <c r="H126" s="29" t="inlineStr"/>
      <c r="I126" s="30" t="inlineStr">
        <is>
          <t>A</t>
        </is>
      </c>
      <c r="J126" s="29" t="inlineStr"/>
      <c r="K126" s="29" t="inlineStr"/>
      <c r="L126" s="29" t="inlineStr">
        <is>
          <t>R</t>
        </is>
      </c>
      <c r="M126" s="29" t="inlineStr">
        <is>
          <t>I</t>
        </is>
      </c>
      <c r="N126" s="29" t="inlineStr"/>
      <c r="O126" s="29" t="inlineStr"/>
      <c r="P126" s="29" t="inlineStr"/>
      <c r="Q126" s="29" t="inlineStr"/>
      <c r="R126" s="29" t="inlineStr"/>
      <c r="S126" s="29" t="inlineStr"/>
      <c r="T126" s="28" t="inlineStr">
        <is>
          <t>DUPLICATE_BILL (same number per vendor); DATE_IN_FUTURE; TDS &lt;= amount; VAL_PO (PO of another vendor); PO_NOT_APPROVED; BILL_EXCEEDS_PO (over 5% tolerance); BILL_OVER_PO warning; BILL_LOCKED once approved/paid.</t>
        </is>
      </c>
      <c r="U126" s="28" t="inlineStr">
        <is>
          <t>vendor_bills (vendor_id, po_id, number, bill_date, due_on, amount_paise, gst_paise, tds_paise, status, file_id)</t>
        </is>
      </c>
      <c r="V126" s="28" t="inlineStr">
        <is>
          <t>Bills received, PO utilisation</t>
        </is>
      </c>
      <c r="W126" s="28" t="inlineStr">
        <is>
          <t>Purchases &amp; vendors (bills, ageing), Approvals inbox (vendor_bill); Reports / Ask AI (vendor_bills)</t>
        </is>
      </c>
      <c r="X126" s="28" t="inlineStr">
        <is>
          <t>NTF-04 vendor bill to approve (Admin)</t>
        </is>
      </c>
      <c r="Y126" s="28" t="inlineStr">
        <is>
          <t>/purchases</t>
        </is>
      </c>
      <c r="Z126" s="28" t="inlineStr">
        <is>
          <t>R: procurement.manage; A: approvals.act</t>
        </is>
      </c>
      <c r="AA126" s="29" t="inlineStr">
        <is>
          <t>New in v3</t>
        </is>
      </c>
      <c r="AB126" s="28" t="inlineStr">
        <is>
          <t>This is a 2-way match (PO vs bill). There is no goods/service receipt step yet (see SPD-12).</t>
        </is>
      </c>
    </row>
    <row r="127" ht="56" customHeight="1">
      <c r="A127" s="28" t="inlineStr">
        <is>
          <t>SPD-07</t>
        </is>
      </c>
      <c r="B127" s="28" t="inlineStr">
        <is>
          <t>Spend &amp; procurement</t>
        </is>
      </c>
      <c r="C127" s="28" t="inlineStr">
        <is>
          <t>Payables</t>
        </is>
      </c>
      <c r="D127" s="28" t="inlineStr">
        <is>
          <t>Approve, dispute and pay vendor bills</t>
        </is>
      </c>
      <c r="E127" s="28" t="inlineStr">
        <is>
          <t>Bills are approved by the CEO, disputes are tracked, and payments post to the ledger; payables ageing shows what is due.</t>
        </is>
      </c>
      <c r="F127" s="28" t="inlineStr">
        <is>
          <t>Bill booked</t>
        </is>
      </c>
      <c r="G127" s="28" t="inlineStr">
        <is>
          <t>1. Admin approves the bill (or disputes it with a reason; resolve later)
2. Admin / HR &amp; operations pays on or before the due date
3. Ledger expense row created; payables ageing updates</t>
        </is>
      </c>
      <c r="H127" s="29" t="inlineStr"/>
      <c r="I127" s="30" t="inlineStr">
        <is>
          <t>A</t>
        </is>
      </c>
      <c r="J127" s="29" t="inlineStr"/>
      <c r="K127" s="29" t="inlineStr"/>
      <c r="L127" s="29" t="inlineStr">
        <is>
          <t>R</t>
        </is>
      </c>
      <c r="M127" s="29" t="inlineStr">
        <is>
          <t>I</t>
        </is>
      </c>
      <c r="N127" s="29" t="inlineStr"/>
      <c r="O127" s="29" t="inlineStr"/>
      <c r="P127" s="29" t="inlineStr"/>
      <c r="Q127" s="29" t="inlineStr"/>
      <c r="R127" s="29" t="inlineStr"/>
      <c r="S127" s="29" t="inlineStr"/>
      <c r="T127" s="28" t="inlineStr">
        <is>
          <t>Only Admin approves; resolve the dispute before approving; dispute reason min 10; paid bills cannot be disputed (ask for a credit note); only approved bills paid; DATE_IN_FUTURE.</t>
        </is>
      </c>
      <c r="U127" s="28" t="inlineStr">
        <is>
          <t>vendor_bills (status received/approved/disputed/paid, paid_on, ledger_entry_id)</t>
        </is>
      </c>
      <c r="V127" s="28" t="inlineStr">
        <is>
          <t>Payables, ageing buckets, vendor spend</t>
        </is>
      </c>
      <c r="W127" s="28" t="inlineStr">
        <is>
          <t>Approvals inbox (vendor_bill approve / pay), Purchases (ageing), P&amp;L; Reports / Ask AI (vendor_bills)</t>
        </is>
      </c>
      <c r="X127" s="28" t="inlineStr">
        <is>
          <t>NTF-05 vendor bill approved</t>
        </is>
      </c>
      <c r="Y127" s="28" t="inlineStr">
        <is>
          <t>/purchases, /inbox</t>
        </is>
      </c>
      <c r="Z127" s="28" t="inlineStr">
        <is>
          <t>R: procurement.manage; A: approvals.act</t>
        </is>
      </c>
      <c r="AA127" s="29" t="inlineStr">
        <is>
          <t>Extended</t>
        </is>
      </c>
      <c r="AB127" s="28" t="inlineStr">
        <is>
          <t>New in v3. v4: approval routed by the configurable "Vendor bills" workflow (default: CEO); payment unchanged.</t>
        </is>
      </c>
    </row>
    <row r="128" ht="56" customHeight="1">
      <c r="A128" s="28" t="inlineStr">
        <is>
          <t>SPD-08</t>
        </is>
      </c>
      <c r="B128" s="28" t="inlineStr">
        <is>
          <t>Spend &amp; procurement</t>
        </is>
      </c>
      <c r="C128" s="28" t="inlineStr">
        <is>
          <t>Budget</t>
        </is>
      </c>
      <c r="D128" s="28" t="inlineStr">
        <is>
          <t>Annual budget and monthly phasing</t>
        </is>
      </c>
      <c r="E128" s="28" t="inlineStr">
        <is>
          <t>Sets what the company plans to earn and spend each month, by stream and cost head.</t>
        </is>
      </c>
      <c r="F128" s="28" t="inlineStr">
        <is>
          <t>Before the FY starts (April)</t>
        </is>
      </c>
      <c r="G128" s="28" t="inlineStr">
        <is>
          <t>1. Admin sets the FY budget per expense category and per revenue stream with an owner
2. Phase across 12 months
3. Or copy last FY with a growth % and adjust</t>
        </is>
      </c>
      <c r="H128" s="29" t="inlineStr"/>
      <c r="I128" s="29" t="inlineStr">
        <is>
          <t>R</t>
        </is>
      </c>
      <c r="J128" s="29" t="inlineStr">
        <is>
          <t>C</t>
        </is>
      </c>
      <c r="K128" s="29" t="inlineStr">
        <is>
          <t>C</t>
        </is>
      </c>
      <c r="L128" s="29" t="inlineStr">
        <is>
          <t>C</t>
        </is>
      </c>
      <c r="M128" s="29" t="inlineStr">
        <is>
          <t>I</t>
        </is>
      </c>
      <c r="N128" s="29" t="inlineStr">
        <is>
          <t>C</t>
        </is>
      </c>
      <c r="O128" s="29" t="inlineStr">
        <is>
          <t>C</t>
        </is>
      </c>
      <c r="P128" s="29" t="inlineStr"/>
      <c r="Q128" s="29" t="inlineStr"/>
      <c r="R128" s="29" t="inlineStr"/>
      <c r="S128" s="29" t="inlineStr"/>
      <c r="T128" s="28" t="inlineStr">
        <is>
          <t>Only Admin (budgets.manage); FY required; revenue budgets per stream (VAL_CATEGORY); VAL_PHASING (12 months); growth -50% to +200%; NO_SOURCE_BUDGET.</t>
        </is>
      </c>
      <c r="U128" s="28" t="inlineStr">
        <is>
          <t>budgets (fy_start_year, kind expense/revenue, category, owner_id, monthly_paise[12], notes)</t>
        </is>
      </c>
      <c r="V128" s="28" t="inlineStr">
        <is>
          <t>Budget by month</t>
        </is>
      </c>
      <c r="W128" s="28" t="inlineStr">
        <is>
          <t>Budgets</t>
        </is>
      </c>
      <c r="X128" s="28" t="inlineStr">
        <is>
          <t>-</t>
        </is>
      </c>
      <c r="Y128" s="28" t="inlineStr">
        <is>
          <t>/budgets</t>
        </is>
      </c>
      <c r="Z128" s="28" t="inlineStr">
        <is>
          <t>budgets.manage</t>
        </is>
      </c>
      <c r="AA128" s="29" t="inlineStr">
        <is>
          <t>Extended</t>
        </is>
      </c>
      <c r="AB128" s="28" t="inlineStr">
        <is>
          <t>New in v3. v4: budget changes can be maker-checked (entity budget, needs budgets.manage); off by default in Seereon.</t>
        </is>
      </c>
    </row>
    <row r="129" ht="69" customHeight="1">
      <c r="A129" s="28" t="inlineStr">
        <is>
          <t>SPD-09</t>
        </is>
      </c>
      <c r="B129" s="28" t="inlineStr">
        <is>
          <t>Spend &amp; procurement</t>
        </is>
      </c>
      <c r="C129" s="28" t="inlineStr">
        <is>
          <t>Budget</t>
        </is>
      </c>
      <c r="D129" s="28" t="inlineStr">
        <is>
          <t>Budget vs actual review</t>
        </is>
      </c>
      <c r="E129" s="28" t="inlineStr">
        <is>
          <t>Shows month by month where spend or revenue is off plan.</t>
        </is>
      </c>
      <c r="F129" s="28" t="inlineStr">
        <is>
          <t>Monthly review</t>
        </is>
      </c>
      <c r="G129" s="28" t="inlineStr">
        <is>
          <t>1. Open Budgets: budget, actual and variance per category/stream, YTD and FY
2. Actuals come from the ledger (incl. claims and bills); committed POs reduce the remaining budget
3. Over-budget lines are highlighted</t>
        </is>
      </c>
      <c r="H129" s="29" t="inlineStr"/>
      <c r="I129" s="30" t="inlineStr">
        <is>
          <t>A</t>
        </is>
      </c>
      <c r="J129" s="29" t="inlineStr">
        <is>
          <t>C</t>
        </is>
      </c>
      <c r="K129" s="29" t="inlineStr">
        <is>
          <t>C</t>
        </is>
      </c>
      <c r="L129" s="29" t="inlineStr">
        <is>
          <t>C</t>
        </is>
      </c>
      <c r="M129" s="29" t="inlineStr">
        <is>
          <t>I</t>
        </is>
      </c>
      <c r="N129" s="29" t="inlineStr">
        <is>
          <t>C</t>
        </is>
      </c>
      <c r="O129" s="29" t="inlineStr">
        <is>
          <t>C</t>
        </is>
      </c>
      <c r="P129" s="29" t="inlineStr"/>
      <c r="Q129" s="29" t="inlineStr"/>
      <c r="R129" s="29" t="inlineStr"/>
      <c r="S129" s="29" t="inlineStr"/>
      <c r="T129" s="28" t="inlineStr">
        <is>
          <t>Expense variance = budget - actual (negative = over); revenue variance = actual - budget.</t>
        </is>
      </c>
      <c r="U129" s="28" t="inlineStr">
        <is>
          <t>computed from budgets, ledger, POs</t>
        </is>
      </c>
      <c r="V129" s="28" t="inlineStr">
        <is>
          <t>YTD variance and %, over-budget lines</t>
        </is>
      </c>
      <c r="W129" s="28" t="inlineStr">
        <is>
          <t>Budgets, CEO Spend panel; Reports / Ask AI (budget_vs_actual)</t>
        </is>
      </c>
      <c r="X129" s="28" t="inlineStr">
        <is>
          <t>-</t>
        </is>
      </c>
      <c r="Y129" s="28" t="inlineStr">
        <is>
          <t>/budgets</t>
        </is>
      </c>
      <c r="Z129" s="28" t="inlineStr">
        <is>
          <t>budgets.manage</t>
        </is>
      </c>
      <c r="AA129" s="29" t="inlineStr">
        <is>
          <t>New in v3</t>
        </is>
      </c>
      <c r="AB129" s="28" t="inlineStr">
        <is>
          <t>-</t>
        </is>
      </c>
    </row>
    <row r="130" ht="69" customHeight="1">
      <c r="A130" s="28" t="inlineStr">
        <is>
          <t>SPD-10</t>
        </is>
      </c>
      <c r="B130" s="28" t="inlineStr">
        <is>
          <t>Spend &amp; procurement</t>
        </is>
      </c>
      <c r="C130" s="28" t="inlineStr">
        <is>
          <t>Budget</t>
        </is>
      </c>
      <c r="D130" s="28" t="inlineStr">
        <is>
          <t>Unbudgeted / additional spend register</t>
        </is>
      </c>
      <c r="E130" s="28" t="inlineStr">
        <is>
          <t>Lists every rupee spent beyond plan, so "additional expenses" are visible and explained.</t>
        </is>
      </c>
      <c r="F130" s="28" t="inlineStr">
        <is>
          <t>Spend above a month's budget</t>
        </is>
      </c>
      <c r="G130" s="28" t="inlineStr">
        <is>
          <t>1. System computes, per category and month, spend beyond budget
2. Over-budget expense approvals and POs (with justification) appear here
3. CEO reviews totals on Home</t>
        </is>
      </c>
      <c r="H130" s="29" t="inlineStr"/>
      <c r="I130" s="30" t="inlineStr">
        <is>
          <t>A</t>
        </is>
      </c>
      <c r="J130" s="29" t="inlineStr"/>
      <c r="K130" s="29" t="inlineStr"/>
      <c r="L130" s="29" t="inlineStr">
        <is>
          <t>C</t>
        </is>
      </c>
      <c r="M130" s="29" t="inlineStr">
        <is>
          <t>I</t>
        </is>
      </c>
      <c r="N130" s="29" t="inlineStr"/>
      <c r="O130" s="29" t="inlineStr"/>
      <c r="P130" s="29" t="inlineStr"/>
      <c r="Q130" s="29" t="inlineStr"/>
      <c r="R130" s="29" t="inlineStr"/>
      <c r="S130" s="29" t="inlineStr"/>
      <c r="T130" s="28" t="inlineStr">
        <is>
          <t>Excess = actual - budget per category-month; approved claims outside budget are flagged in_budget = false.</t>
        </is>
      </c>
      <c r="U130" s="28" t="inlineStr">
        <is>
          <t>computed; expense_claims.in_budget; purchase_orders.over_budget, justification</t>
        </is>
      </c>
      <c r="V130" s="28" t="inlineStr">
        <is>
          <t>Unbudgeted spend FY</t>
        </is>
      </c>
      <c r="W130" s="28" t="inlineStr">
        <is>
          <t>Budgets (unbudgeted), CEO Home (Spend panel); Reports / Ask AI (budget_vs_actual)</t>
        </is>
      </c>
      <c r="X130" s="28" t="inlineStr">
        <is>
          <t>-</t>
        </is>
      </c>
      <c r="Y130" s="28" t="inlineStr">
        <is>
          <t>/budgets</t>
        </is>
      </c>
      <c r="Z130" s="28" t="inlineStr">
        <is>
          <t>budgets.manage</t>
        </is>
      </c>
      <c r="AA130" s="29" t="inlineStr">
        <is>
          <t>New in v3</t>
        </is>
      </c>
      <c r="AB130" s="28" t="inlineStr">
        <is>
          <t>-</t>
        </is>
      </c>
    </row>
    <row r="131" ht="56" customHeight="1">
      <c r="A131" s="28" t="inlineStr">
        <is>
          <t>SPD-11</t>
        </is>
      </c>
      <c r="B131" s="28" t="inlineStr">
        <is>
          <t>Spend &amp; procurement</t>
        </is>
      </c>
      <c r="C131" s="28" t="inlineStr">
        <is>
          <t>Travel</t>
        </is>
      </c>
      <c r="D131" s="28" t="inlineStr">
        <is>
          <t>Travel requests and advances</t>
        </is>
      </c>
      <c r="E131" s="28" t="inlineStr">
        <is>
          <t>Pre-approves client travel and cash advances, then settles them against actual claims.</t>
        </is>
      </c>
      <c r="F131" s="28" t="inlineStr">
        <is>
          <t>Client visit or onsite assignment</t>
        </is>
      </c>
      <c r="G131" s="28" t="inlineStr">
        <is>
          <t>1. Employee requests travel: purpose, project, dates, estimate, advance needed
2. Manager/PM approves; finance pays the advance
3. After travel, claims are settled against the advance</t>
        </is>
      </c>
      <c r="H131" s="29" t="inlineStr"/>
      <c r="I131" s="30" t="inlineStr">
        <is>
          <t>A</t>
        </is>
      </c>
      <c r="J131" s="29" t="inlineStr">
        <is>
          <t>R</t>
        </is>
      </c>
      <c r="K131" s="29" t="inlineStr">
        <is>
          <t>R</t>
        </is>
      </c>
      <c r="L131" s="29" t="inlineStr">
        <is>
          <t>R</t>
        </is>
      </c>
      <c r="M131" s="29" t="inlineStr">
        <is>
          <t>R</t>
        </is>
      </c>
      <c r="N131" s="29" t="inlineStr">
        <is>
          <t>R</t>
        </is>
      </c>
      <c r="O131" s="29" t="inlineStr">
        <is>
          <t>R</t>
        </is>
      </c>
      <c r="P131" s="29" t="inlineStr">
        <is>
          <t>R</t>
        </is>
      </c>
      <c r="Q131" s="29" t="inlineStr">
        <is>
          <t>R</t>
        </is>
      </c>
      <c r="R131" s="29" t="inlineStr"/>
      <c r="S131" s="29" t="inlineStr"/>
      <c r="T131" s="28" t="inlineStr">
        <is>
          <t>-</t>
        </is>
      </c>
      <c r="U131" s="28" t="inlineStr">
        <is>
          <t>-</t>
        </is>
      </c>
      <c r="V131" s="28" t="inlineStr">
        <is>
          <t>-</t>
        </is>
      </c>
      <c r="W131" s="28" t="inlineStr">
        <is>
          <t>-</t>
        </is>
      </c>
      <c r="X131" s="28" t="inlineStr">
        <is>
          <t>-</t>
        </is>
      </c>
      <c r="Y131" s="28" t="inlineStr">
        <is>
          <t>-</t>
        </is>
      </c>
      <c r="Z131" s="28" t="inlineStr">
        <is>
          <t>- (planned)</t>
        </is>
      </c>
      <c r="AA131" s="29" t="inlineStr">
        <is>
          <t>Planned</t>
        </is>
      </c>
      <c r="AB131" s="28" t="inlineStr">
        <is>
          <t>Recommendation: extend expense claims with a pre-approval and advance settlement step.</t>
        </is>
      </c>
    </row>
    <row r="132" ht="56" customHeight="1">
      <c r="A132" s="28" t="inlineStr">
        <is>
          <t>SPD-12</t>
        </is>
      </c>
      <c r="B132" s="28" t="inlineStr">
        <is>
          <t>Spend &amp; procurement</t>
        </is>
      </c>
      <c r="C132" s="28" t="inlineStr">
        <is>
          <t>Procurement</t>
        </is>
      </c>
      <c r="D132" s="28" t="inlineStr">
        <is>
          <t>Goods / service receipt (true 3-way match)</t>
        </is>
      </c>
      <c r="E132" s="28" t="inlineStr">
        <is>
          <t>Confirms delivery before a bill is paid: PO = receipt = bill.</t>
        </is>
      </c>
      <c r="F132" s="28" t="inlineStr">
        <is>
          <t>Goods or service delivered</t>
        </is>
      </c>
      <c r="G132" s="28" t="inlineStr">
        <is>
          <t>1. Requester records receipt against PO lines (qty / milestone)
2. Bill can be approved only up to the received value
3. Exceptions flagged</t>
        </is>
      </c>
      <c r="H132" s="29" t="inlineStr"/>
      <c r="I132" s="30" t="inlineStr">
        <is>
          <t>A</t>
        </is>
      </c>
      <c r="J132" s="29" t="inlineStr"/>
      <c r="K132" s="29" t="inlineStr"/>
      <c r="L132" s="29" t="inlineStr">
        <is>
          <t>R</t>
        </is>
      </c>
      <c r="M132" s="29" t="inlineStr">
        <is>
          <t>R</t>
        </is>
      </c>
      <c r="N132" s="29" t="inlineStr"/>
      <c r="O132" s="29" t="inlineStr"/>
      <c r="P132" s="29" t="inlineStr">
        <is>
          <t>R</t>
        </is>
      </c>
      <c r="Q132" s="29" t="inlineStr"/>
      <c r="R132" s="29" t="inlineStr"/>
      <c r="S132" s="29" t="inlineStr"/>
      <c r="T132" s="28" t="inlineStr">
        <is>
          <t>-</t>
        </is>
      </c>
      <c r="U132" s="28" t="inlineStr">
        <is>
          <t>-</t>
        </is>
      </c>
      <c r="V132" s="28" t="inlineStr">
        <is>
          <t>-</t>
        </is>
      </c>
      <c r="W132" s="28" t="inlineStr">
        <is>
          <t>-</t>
        </is>
      </c>
      <c r="X132" s="28" t="inlineStr">
        <is>
          <t>-</t>
        </is>
      </c>
      <c r="Y132" s="28" t="inlineStr">
        <is>
          <t>-</t>
        </is>
      </c>
      <c r="Z132" s="28" t="inlineStr">
        <is>
          <t>- (planned)</t>
        </is>
      </c>
      <c r="AA132" s="29" t="inlineStr">
        <is>
          <t>Planned</t>
        </is>
      </c>
      <c r="AB132" s="28" t="inlineStr">
        <is>
          <t>Recommendation: add a receipt step between PO and bill.</t>
        </is>
      </c>
    </row>
    <row r="133" ht="43" customHeight="1">
      <c r="A133" s="28" t="inlineStr">
        <is>
          <t>SPD-13</t>
        </is>
      </c>
      <c r="B133" s="28" t="inlineStr">
        <is>
          <t>Spend &amp; procurement</t>
        </is>
      </c>
      <c r="C133" s="28" t="inlineStr">
        <is>
          <t>Expenses</t>
        </is>
      </c>
      <c r="D133" s="28" t="inlineStr">
        <is>
          <t>Petty cash</t>
        </is>
      </c>
      <c r="E133" s="28" t="inlineStr">
        <is>
          <t>Tracks office petty cash float, top-ups and small payments with vouchers.</t>
        </is>
      </c>
      <c r="F133" s="28" t="inlineStr">
        <is>
          <t>Small office spend</t>
        </is>
      </c>
      <c r="G133" s="28" t="inlineStr">
        <is>
          <t>1. Custodian records payments with voucher
2. Monthly top-up request approved
3. Balance reconciled and posted to the ledger</t>
        </is>
      </c>
      <c r="H133" s="29" t="inlineStr"/>
      <c r="I133" s="30" t="inlineStr">
        <is>
          <t>A</t>
        </is>
      </c>
      <c r="J133" s="29" t="inlineStr"/>
      <c r="K133" s="29" t="inlineStr"/>
      <c r="L133" s="29" t="inlineStr">
        <is>
          <t>R</t>
        </is>
      </c>
      <c r="M133" s="29" t="inlineStr">
        <is>
          <t>I</t>
        </is>
      </c>
      <c r="N133" s="29" t="inlineStr"/>
      <c r="O133" s="29" t="inlineStr"/>
      <c r="P133" s="29" t="inlineStr"/>
      <c r="Q133" s="29" t="inlineStr"/>
      <c r="R133" s="29" t="inlineStr"/>
      <c r="S133" s="29" t="inlineStr"/>
      <c r="T133" s="28" t="inlineStr">
        <is>
          <t>-</t>
        </is>
      </c>
      <c r="U133" s="28" t="inlineStr">
        <is>
          <t>-</t>
        </is>
      </c>
      <c r="V133" s="28" t="inlineStr">
        <is>
          <t>-</t>
        </is>
      </c>
      <c r="W133" s="28" t="inlineStr">
        <is>
          <t>-</t>
        </is>
      </c>
      <c r="X133" s="28" t="inlineStr">
        <is>
          <t>-</t>
        </is>
      </c>
      <c r="Y133" s="28" t="inlineStr">
        <is>
          <t>-</t>
        </is>
      </c>
      <c r="Z133" s="28" t="inlineStr">
        <is>
          <t>- (planned)</t>
        </is>
      </c>
      <c r="AA133" s="29" t="inlineStr">
        <is>
          <t>Planned</t>
        </is>
      </c>
      <c r="AB133" s="28" t="inlineStr">
        <is>
          <t>Recommendation: a simple cash book with top-up approval.</t>
        </is>
      </c>
    </row>
    <row r="134" ht="56" customHeight="1">
      <c r="A134" s="28" t="inlineStr">
        <is>
          <t>REV-01</t>
        </is>
      </c>
      <c r="B134" s="28" t="inlineStr">
        <is>
          <t>Revenue assurance</t>
        </is>
      </c>
      <c r="C134" s="28" t="inlineStr">
        <is>
          <t>Register</t>
        </is>
      </c>
      <c r="D134" s="28" t="inlineStr">
        <is>
          <t>Lost revenue register and reporting</t>
        </is>
      </c>
      <c r="E134" s="28" t="inlineStr">
        <is>
          <t>Puts a rupee value on every leak (lost deals, discounts, write-offs, unbilled hours, bad debt, scope creep) so it can be fixed.</t>
        </is>
      </c>
      <c r="F134" s="28" t="inlineStr">
        <is>
          <t>Monthly CEO review</t>
        </is>
      </c>
      <c r="G134" s="28" t="inlineStr">
        <is>
          <t>1. Open Lost revenue for the FY
2. See total, recovered, net, % of billed, by kind, client and month
3. Drill into each row and its source</t>
        </is>
      </c>
      <c r="H134" s="29" t="inlineStr"/>
      <c r="I134" s="29" t="inlineStr">
        <is>
          <t>R</t>
        </is>
      </c>
      <c r="J134" s="29" t="inlineStr"/>
      <c r="K134" s="29" t="inlineStr"/>
      <c r="L134" s="29" t="inlineStr"/>
      <c r="M134" s="29" t="inlineStr"/>
      <c r="N134" s="29" t="inlineStr"/>
      <c r="O134" s="29" t="inlineStr"/>
      <c r="P134" s="29" t="inlineStr"/>
      <c r="Q134" s="29" t="inlineStr"/>
      <c r="R134" s="29" t="inlineStr"/>
      <c r="S134" s="29" t="inlineStr"/>
      <c r="T134" s="28" t="inlineStr">
        <is>
          <t>Admin only (leakage.view).</t>
        </is>
      </c>
      <c r="U134" s="28" t="inlineStr">
        <is>
          <t>computed rows + revenue_leakage</t>
        </is>
      </c>
      <c r="V134" s="28" t="inlineStr">
        <is>
          <t>Leakage % of billed = (total - recovered) / billed; by kind/client</t>
        </is>
      </c>
      <c r="W134" s="28" t="inlineStr">
        <is>
          <t>Lost revenue, OKR (leakage metric); Reports / Ask AI (revenue_leakage)</t>
        </is>
      </c>
      <c r="X134" s="28" t="inlineStr">
        <is>
          <t>-</t>
        </is>
      </c>
      <c r="Y134" s="28" t="inlineStr">
        <is>
          <t>/leakage</t>
        </is>
      </c>
      <c r="Z134" s="28" t="inlineStr">
        <is>
          <t>leakage.view</t>
        </is>
      </c>
      <c r="AA134" s="29" t="inlineStr">
        <is>
          <t>New in v3</t>
        </is>
      </c>
      <c r="AB134" s="28" t="inlineStr">
        <is>
          <t>-</t>
        </is>
      </c>
    </row>
    <row r="135" ht="30" customHeight="1">
      <c r="A135" s="28" t="inlineStr">
        <is>
          <t>REV-02</t>
        </is>
      </c>
      <c r="B135" s="28" t="inlineStr">
        <is>
          <t>Revenue assurance</t>
        </is>
      </c>
      <c r="C135" s="28" t="inlineStr">
        <is>
          <t>Automatic</t>
        </is>
      </c>
      <c r="D135" s="28" t="inlineStr">
        <is>
          <t>Auto-detect: lost deals</t>
        </is>
      </c>
      <c r="E135" s="28" t="inlineStr">
        <is>
          <t>Every lost deal's value is counted automatically with its reason.</t>
        </is>
      </c>
      <c r="F135" s="28" t="inlineStr">
        <is>
          <t>Deal marked Lost</t>
        </is>
      </c>
      <c r="G135" s="28" t="inlineStr">
        <is>
          <t>1. Row created from the deal: value, client, date, reason</t>
        </is>
      </c>
      <c r="H135" s="29" t="inlineStr"/>
      <c r="I135" s="30" t="inlineStr">
        <is>
          <t>A</t>
        </is>
      </c>
      <c r="J135" s="29" t="inlineStr"/>
      <c r="K135" s="29" t="inlineStr"/>
      <c r="L135" s="29" t="inlineStr"/>
      <c r="M135" s="29" t="inlineStr"/>
      <c r="N135" s="29" t="inlineStr">
        <is>
          <t>R</t>
        </is>
      </c>
      <c r="O135" s="29" t="inlineStr">
        <is>
          <t>I</t>
        </is>
      </c>
      <c r="P135" s="29" t="inlineStr"/>
      <c r="Q135" s="29" t="inlineStr"/>
      <c r="R135" s="29" t="inlineStr"/>
      <c r="S135" s="29" t="inlineStr"/>
      <c r="T135" s="28" t="inlineStr">
        <is>
          <t>Calculated row, cannot be edited (AUTO_ROW).</t>
        </is>
      </c>
      <c r="U135" s="28" t="inlineStr">
        <is>
          <t>deals</t>
        </is>
      </c>
      <c r="V135" s="28" t="inlineStr">
        <is>
          <t>Lost deal value</t>
        </is>
      </c>
      <c r="W135" s="28" t="inlineStr">
        <is>
          <t>Lost revenue; Reports / Ask AI (revenue_leakage)</t>
        </is>
      </c>
      <c r="X135" s="28" t="inlineStr">
        <is>
          <t>-</t>
        </is>
      </c>
      <c r="Y135" s="28" t="inlineStr">
        <is>
          <t>/leakage</t>
        </is>
      </c>
      <c r="Z135" s="28" t="inlineStr">
        <is>
          <t>leakage.view</t>
        </is>
      </c>
      <c r="AA135" s="29" t="inlineStr">
        <is>
          <t>New in v3</t>
        </is>
      </c>
      <c r="AB135" s="28" t="inlineStr">
        <is>
          <t>-</t>
        </is>
      </c>
    </row>
    <row r="136" ht="56" customHeight="1">
      <c r="A136" s="28" t="inlineStr">
        <is>
          <t>REV-03</t>
        </is>
      </c>
      <c r="B136" s="28" t="inlineStr">
        <is>
          <t>Revenue assurance</t>
        </is>
      </c>
      <c r="C136" s="28" t="inlineStr">
        <is>
          <t>Automatic</t>
        </is>
      </c>
      <c r="D136" s="28" t="inlineStr">
        <is>
          <t>Auto-detect: unbilled hours</t>
        </is>
      </c>
      <c r="E136" s="28" t="inlineStr">
        <is>
          <t>Finds approved effort that will never be billed.</t>
        </is>
      </c>
      <c r="F136" s="28" t="inlineStr">
        <is>
          <t>Approved hours exceed estimates (fixed price) or invoices (T&amp;M)</t>
        </is>
      </c>
      <c r="G136" s="28" t="inlineStr">
        <is>
          <t>1. Fixed price: approved hours beyond task estimates x blended rate (contract value / estimated hours)
2. T&amp;M: approved hours x blended rate - amount invoiced
3. Row shown per project</t>
        </is>
      </c>
      <c r="H136" s="29" t="inlineStr"/>
      <c r="I136" s="30" t="inlineStr">
        <is>
          <t>A</t>
        </is>
      </c>
      <c r="J136" s="29" t="inlineStr">
        <is>
          <t>I</t>
        </is>
      </c>
      <c r="K136" s="29" t="inlineStr">
        <is>
          <t>I</t>
        </is>
      </c>
      <c r="L136" s="29" t="inlineStr"/>
      <c r="M136" s="29" t="inlineStr"/>
      <c r="N136" s="29" t="inlineStr"/>
      <c r="O136" s="29" t="inlineStr"/>
      <c r="P136" s="29" t="inlineStr"/>
      <c r="Q136" s="29" t="inlineStr"/>
      <c r="R136" s="29" t="inlineStr"/>
      <c r="S136" s="29" t="inlineStr"/>
      <c r="T136" s="28" t="inlineStr">
        <is>
          <t>Calculated rows only (AUTO_ROW).</t>
        </is>
      </c>
      <c r="U136" s="28" t="inlineStr">
        <is>
          <t>costed timesheet entries, tasks, invoices</t>
        </is>
      </c>
      <c r="V136" s="28" t="inlineStr">
        <is>
          <t>Unbilled hours value</t>
        </is>
      </c>
      <c r="W136" s="28" t="inlineStr">
        <is>
          <t>Lost revenue; Reports / Ask AI (revenue_leakage)</t>
        </is>
      </c>
      <c r="X136" s="28" t="inlineStr">
        <is>
          <t>-</t>
        </is>
      </c>
      <c r="Y136" s="28" t="inlineStr">
        <is>
          <t>/leakage</t>
        </is>
      </c>
      <c r="Z136" s="28" t="inlineStr">
        <is>
          <t>leakage.view</t>
        </is>
      </c>
      <c r="AA136" s="29" t="inlineStr">
        <is>
          <t>New in v3</t>
        </is>
      </c>
      <c r="AB136" s="28" t="inlineStr">
        <is>
          <t>-</t>
        </is>
      </c>
    </row>
    <row r="137" ht="30" customHeight="1">
      <c r="A137" s="28" t="inlineStr">
        <is>
          <t>REV-04</t>
        </is>
      </c>
      <c r="B137" s="28" t="inlineStr">
        <is>
          <t>Revenue assurance</t>
        </is>
      </c>
      <c r="C137" s="28" t="inlineStr">
        <is>
          <t>Automatic</t>
        </is>
      </c>
      <c r="D137" s="28" t="inlineStr">
        <is>
          <t>Auto-detect: bad-debt risk</t>
        </is>
      </c>
      <c r="E137" s="28" t="inlineStr">
        <is>
          <t>Invoices unpaid more than 90 days past due are flagged as at-risk revenue.</t>
        </is>
      </c>
      <c r="F137" s="28" t="inlineStr">
        <is>
          <t>Invoice &gt; 90 days past due</t>
        </is>
      </c>
      <c r="G137" s="28" t="inlineStr">
        <is>
          <t>1. Row created with outstanding amount and days overdue</t>
        </is>
      </c>
      <c r="H137" s="29" t="inlineStr"/>
      <c r="I137" s="30" t="inlineStr">
        <is>
          <t>A</t>
        </is>
      </c>
      <c r="J137" s="29" t="inlineStr"/>
      <c r="K137" s="29" t="inlineStr"/>
      <c r="L137" s="29" t="inlineStr"/>
      <c r="M137" s="29" t="inlineStr"/>
      <c r="N137" s="29" t="inlineStr">
        <is>
          <t>I</t>
        </is>
      </c>
      <c r="O137" s="29" t="inlineStr">
        <is>
          <t>I</t>
        </is>
      </c>
      <c r="P137" s="29" t="inlineStr"/>
      <c r="Q137" s="29" t="inlineStr"/>
      <c r="R137" s="29" t="inlineStr"/>
      <c r="S137" s="29" t="inlineStr"/>
      <c r="T137" s="28" t="inlineStr">
        <is>
          <t>Calculated row (AUTO_ROW).</t>
        </is>
      </c>
      <c r="U137" s="28" t="inlineStr">
        <is>
          <t>invoices, payments</t>
        </is>
      </c>
      <c r="V137" s="28" t="inlineStr">
        <is>
          <t>Bad-debt risk value</t>
        </is>
      </c>
      <c r="W137" s="28" t="inlineStr">
        <is>
          <t>Lost revenue, Client health; Reports / Ask AI (revenue_leakage)</t>
        </is>
      </c>
      <c r="X137" s="28" t="inlineStr">
        <is>
          <t>-</t>
        </is>
      </c>
      <c r="Y137" s="28" t="inlineStr">
        <is>
          <t>/leakage</t>
        </is>
      </c>
      <c r="Z137" s="28" t="inlineStr">
        <is>
          <t>leakage.view</t>
        </is>
      </c>
      <c r="AA137" s="29" t="inlineStr">
        <is>
          <t>New in v3</t>
        </is>
      </c>
      <c r="AB137" s="28" t="inlineStr">
        <is>
          <t>-</t>
        </is>
      </c>
    </row>
    <row r="138" ht="43" customHeight="1">
      <c r="A138" s="28" t="inlineStr">
        <is>
          <t>REV-05</t>
        </is>
      </c>
      <c r="B138" s="28" t="inlineStr">
        <is>
          <t>Revenue assurance</t>
        </is>
      </c>
      <c r="C138" s="28" t="inlineStr">
        <is>
          <t>Automatic</t>
        </is>
      </c>
      <c r="D138" s="28" t="inlineStr">
        <is>
          <t>Auto-detect: scope creep</t>
        </is>
      </c>
      <c r="E138" s="28" t="inlineStr">
        <is>
          <t>Work done on change requests that were later rejected is counted as given away.</t>
        </is>
      </c>
      <c r="F138" s="28" t="inlineStr">
        <is>
          <t>CR rejected after the project started</t>
        </is>
      </c>
      <c r="G138" s="28" t="inlineStr">
        <is>
          <t>1. Row created with CR value, hours and project</t>
        </is>
      </c>
      <c r="H138" s="29" t="inlineStr"/>
      <c r="I138" s="30" t="inlineStr">
        <is>
          <t>A</t>
        </is>
      </c>
      <c r="J138" s="29" t="inlineStr">
        <is>
          <t>I</t>
        </is>
      </c>
      <c r="K138" s="29" t="inlineStr">
        <is>
          <t>I</t>
        </is>
      </c>
      <c r="L138" s="29" t="inlineStr"/>
      <c r="M138" s="29" t="inlineStr"/>
      <c r="N138" s="29" t="inlineStr"/>
      <c r="O138" s="29" t="inlineStr"/>
      <c r="P138" s="29" t="inlineStr"/>
      <c r="Q138" s="29" t="inlineStr"/>
      <c r="R138" s="29" t="inlineStr"/>
      <c r="S138" s="29" t="inlineStr"/>
      <c r="T138" s="28" t="inlineStr">
        <is>
          <t>Calculated row (AUTO_ROW).</t>
        </is>
      </c>
      <c r="U138" s="28" t="inlineStr">
        <is>
          <t>change_requests</t>
        </is>
      </c>
      <c r="V138" s="28" t="inlineStr">
        <is>
          <t>Scope creep value</t>
        </is>
      </c>
      <c r="W138" s="28" t="inlineStr">
        <is>
          <t>Lost revenue; Reports / Ask AI (revenue_leakage)</t>
        </is>
      </c>
      <c r="X138" s="28" t="inlineStr">
        <is>
          <t>-</t>
        </is>
      </c>
      <c r="Y138" s="28" t="inlineStr">
        <is>
          <t>/leakage</t>
        </is>
      </c>
      <c r="Z138" s="28" t="inlineStr">
        <is>
          <t>leakage.view</t>
        </is>
      </c>
      <c r="AA138" s="29" t="inlineStr">
        <is>
          <t>New in v3</t>
        </is>
      </c>
      <c r="AB138" s="28" t="inlineStr">
        <is>
          <t>-</t>
        </is>
      </c>
    </row>
    <row r="139" ht="56" customHeight="1">
      <c r="A139" s="28" t="inlineStr">
        <is>
          <t>REV-06</t>
        </is>
      </c>
      <c r="B139" s="28" t="inlineStr">
        <is>
          <t>Revenue assurance</t>
        </is>
      </c>
      <c r="C139" s="28" t="inlineStr">
        <is>
          <t>Manual</t>
        </is>
      </c>
      <c r="D139" s="28" t="inlineStr">
        <is>
          <t>Record discounts, write-offs, credit notes, penalties and churn</t>
        </is>
      </c>
      <c r="E139" s="28" t="inlineStr">
        <is>
          <t>Captures leaks that only people know about.</t>
        </is>
      </c>
      <c r="F139" s="28" t="inlineStr">
        <is>
          <t>Discount given, invoice written off, credit note, SLA penalty, client churned</t>
        </is>
      </c>
      <c r="G139" s="28" t="inlineStr">
        <is>
          <t>1. Admin records kind, amount, date, client, project, reason, recoverable flag</t>
        </is>
      </c>
      <c r="H139" s="29" t="inlineStr"/>
      <c r="I139" s="29" t="inlineStr">
        <is>
          <t>R</t>
        </is>
      </c>
      <c r="J139" s="29" t="inlineStr">
        <is>
          <t>C</t>
        </is>
      </c>
      <c r="K139" s="29" t="inlineStr">
        <is>
          <t>C</t>
        </is>
      </c>
      <c r="L139" s="29" t="inlineStr"/>
      <c r="M139" s="29" t="inlineStr"/>
      <c r="N139" s="29" t="inlineStr">
        <is>
          <t>C</t>
        </is>
      </c>
      <c r="O139" s="29" t="inlineStr">
        <is>
          <t>C</t>
        </is>
      </c>
      <c r="P139" s="29" t="inlineStr"/>
      <c r="Q139" s="29" t="inlineStr"/>
      <c r="R139" s="29" t="inlineStr"/>
      <c r="S139" s="29" t="inlineStr"/>
      <c r="T139" s="28" t="inlineStr">
        <is>
          <t>VAL_KIND (manual kinds only: discount, write-off, credit note, penalty, scope creep, churn); DATE_IN_FUTURE; client required; VAL_STATUS.</t>
        </is>
      </c>
      <c r="U139" s="28" t="inlineStr">
        <is>
          <t>revenue_leakage (kind, amount_paise, date, client, project_id, reason, recorded_by, recoverable, status, recovered_paise)</t>
        </is>
      </c>
      <c r="V139" s="28" t="inlineStr">
        <is>
          <t>Leakage by kind</t>
        </is>
      </c>
      <c r="W139" s="28" t="inlineStr">
        <is>
          <t>Lost revenue; Reports / Ask AI (revenue_leakage)</t>
        </is>
      </c>
      <c r="X139" s="28" t="inlineStr">
        <is>
          <t>-</t>
        </is>
      </c>
      <c r="Y139" s="28" t="inlineStr">
        <is>
          <t>/leakage</t>
        </is>
      </c>
      <c r="Z139" s="28" t="inlineStr">
        <is>
          <t>leakage.view</t>
        </is>
      </c>
      <c r="AA139" s="29" t="inlineStr">
        <is>
          <t>New in v3</t>
        </is>
      </c>
      <c r="AB139" s="28" t="inlineStr">
        <is>
          <t>-</t>
        </is>
      </c>
    </row>
    <row r="140" ht="43" customHeight="1">
      <c r="A140" s="28" t="inlineStr">
        <is>
          <t>REV-07</t>
        </is>
      </c>
      <c r="B140" s="28" t="inlineStr">
        <is>
          <t>Revenue assurance</t>
        </is>
      </c>
      <c r="C140" s="28" t="inlineStr">
        <is>
          <t>Recovery</t>
        </is>
      </c>
      <c r="D140" s="28" t="inlineStr">
        <is>
          <t>Recovery tracking</t>
        </is>
      </c>
      <c r="E140" s="28" t="inlineStr">
        <is>
          <t>Tracks how much leaked revenue was won back.</t>
        </is>
      </c>
      <c r="F140" s="28" t="inlineStr">
        <is>
          <t>Recovery action succeeds or is abandoned</t>
        </is>
      </c>
      <c r="G140" s="28" t="inlineStr">
        <is>
          <t>1. Update recovered amount and status (open, recovered, accepted)
2. Recoverable open total shows what is still worth chasing</t>
        </is>
      </c>
      <c r="H140" s="29" t="inlineStr"/>
      <c r="I140" s="29" t="inlineStr">
        <is>
          <t>R</t>
        </is>
      </c>
      <c r="J140" s="29" t="inlineStr">
        <is>
          <t>C</t>
        </is>
      </c>
      <c r="K140" s="29" t="inlineStr">
        <is>
          <t>C</t>
        </is>
      </c>
      <c r="L140" s="29" t="inlineStr"/>
      <c r="M140" s="29" t="inlineStr"/>
      <c r="N140" s="29" t="inlineStr">
        <is>
          <t>C</t>
        </is>
      </c>
      <c r="O140" s="29" t="inlineStr">
        <is>
          <t>C</t>
        </is>
      </c>
      <c r="P140" s="29" t="inlineStr"/>
      <c r="Q140" s="29" t="inlineStr"/>
      <c r="R140" s="29" t="inlineStr"/>
      <c r="S140" s="29" t="inlineStr"/>
      <c r="T140" s="28" t="inlineStr">
        <is>
          <t>Recovered cannot exceed amount (VAL_RANGE); auto rows cannot be edited.</t>
        </is>
      </c>
      <c r="U140" s="28" t="inlineStr">
        <is>
          <t>revenue_leakage.recovered_paise, status</t>
        </is>
      </c>
      <c r="V140" s="28" t="inlineStr">
        <is>
          <t>Recovered, recoverable open</t>
        </is>
      </c>
      <c r="W140" s="28" t="inlineStr">
        <is>
          <t>Lost revenue; Reports / Ask AI (revenue_leakage)</t>
        </is>
      </c>
      <c r="X140" s="28" t="inlineStr">
        <is>
          <t>-</t>
        </is>
      </c>
      <c r="Y140" s="28" t="inlineStr">
        <is>
          <t>/leakage</t>
        </is>
      </c>
      <c r="Z140" s="28" t="inlineStr">
        <is>
          <t>leakage.view</t>
        </is>
      </c>
      <c r="AA140" s="29" t="inlineStr">
        <is>
          <t>New in v3</t>
        </is>
      </c>
      <c r="AB140" s="28" t="inlineStr">
        <is>
          <t>Recovery can be recorded only on manual rows; auto rows (e.g. bad debt later paid) clear when the source is fixed.</t>
        </is>
      </c>
    </row>
    <row r="141" ht="43" customHeight="1">
      <c r="A141" s="28" t="inlineStr">
        <is>
          <t>REV-08</t>
        </is>
      </c>
      <c r="B141" s="28" t="inlineStr">
        <is>
          <t>Revenue assurance</t>
        </is>
      </c>
      <c r="C141" s="28" t="inlineStr">
        <is>
          <t>Prevention</t>
        </is>
      </c>
      <c r="D141" s="28" t="inlineStr">
        <is>
          <t>Discount approval workflow</t>
        </is>
      </c>
      <c r="E141" s="28" t="inlineStr">
        <is>
          <t>Stops leakage at source: discounts above a limit need CEO approval before the quote or invoice goes out.</t>
        </is>
      </c>
      <c r="F141" s="28" t="inlineStr">
        <is>
          <t>Seller or PM proposes a discount</t>
        </is>
      </c>
      <c r="G141" s="28" t="inlineStr">
        <is>
          <t>1. Discount % requested on quote or invoice
2. Above the limit routes to the CEO in the Approvals inbox
3. Approved discounts are auto-logged as leakage</t>
        </is>
      </c>
      <c r="H141" s="29" t="inlineStr"/>
      <c r="I141" s="30" t="inlineStr">
        <is>
          <t>A</t>
        </is>
      </c>
      <c r="J141" s="29" t="inlineStr">
        <is>
          <t>C</t>
        </is>
      </c>
      <c r="K141" s="29" t="inlineStr">
        <is>
          <t>C</t>
        </is>
      </c>
      <c r="L141" s="29" t="inlineStr"/>
      <c r="M141" s="29" t="inlineStr"/>
      <c r="N141" s="29" t="inlineStr">
        <is>
          <t>R</t>
        </is>
      </c>
      <c r="O141" s="29" t="inlineStr">
        <is>
          <t>R</t>
        </is>
      </c>
      <c r="P141" s="29" t="inlineStr"/>
      <c r="Q141" s="29" t="inlineStr"/>
      <c r="R141" s="29" t="inlineStr"/>
      <c r="S141" s="29" t="inlineStr"/>
      <c r="T141" s="28" t="inlineStr">
        <is>
          <t>-</t>
        </is>
      </c>
      <c r="U141" s="28" t="inlineStr">
        <is>
          <t>-</t>
        </is>
      </c>
      <c r="V141" s="28" t="inlineStr">
        <is>
          <t>-</t>
        </is>
      </c>
      <c r="W141" s="28" t="inlineStr">
        <is>
          <t>-</t>
        </is>
      </c>
      <c r="X141" s="28" t="inlineStr">
        <is>
          <t>-</t>
        </is>
      </c>
      <c r="Y141" s="28" t="inlineStr">
        <is>
          <t>-</t>
        </is>
      </c>
      <c r="Z141" s="28" t="inlineStr">
        <is>
          <t>- (planned)</t>
        </is>
      </c>
      <c r="AA141" s="29" t="inlineStr">
        <is>
          <t>Planned</t>
        </is>
      </c>
      <c r="AB141" s="28" t="inlineStr">
        <is>
          <t>Recommendation: pairs with the quotation builder (SAL-08).</t>
        </is>
      </c>
    </row>
    <row r="142" ht="69" customHeight="1">
      <c r="A142" s="28" t="inlineStr">
        <is>
          <t>OPS-01</t>
        </is>
      </c>
      <c r="B142" s="28" t="inlineStr">
        <is>
          <t>Operations &amp; compliance</t>
        </is>
      </c>
      <c r="C142" s="28" t="inlineStr">
        <is>
          <t>Register</t>
        </is>
      </c>
      <c r="D142" s="28" t="inlineStr">
        <is>
          <t>Recurring operations register</t>
        </is>
      </c>
      <c r="E142" s="28" t="inlineStr">
        <is>
          <t>Every recurring duty (PF, ESI, GST, TDS, ISO audit, renewals, payroll) has an owner and a due date.</t>
        </is>
      </c>
      <c r="F142" s="28" t="inlineStr">
        <is>
          <t>Set-up, or a new obligation</t>
        </is>
      </c>
      <c r="G142" s="28" t="inlineStr">
        <is>
          <t>1. Admin / HR &amp; operations adds an item: name, area (payroll, compliance, finance, admin, HR, IT), owner, first due date, repeat (monthly, quarterly, yearly)
2. Owner is notified
3. Item shows on the compliance calendar</t>
        </is>
      </c>
      <c r="H142" s="29" t="inlineStr"/>
      <c r="I142" s="30" t="inlineStr">
        <is>
          <t>A</t>
        </is>
      </c>
      <c r="J142" s="29" t="inlineStr"/>
      <c r="K142" s="29" t="inlineStr"/>
      <c r="L142" s="29" t="inlineStr">
        <is>
          <t>R</t>
        </is>
      </c>
      <c r="M142" s="29" t="inlineStr">
        <is>
          <t>R</t>
        </is>
      </c>
      <c r="N142" s="29" t="inlineStr"/>
      <c r="O142" s="29" t="inlineStr"/>
      <c r="P142" s="29" t="inlineStr"/>
      <c r="Q142" s="29" t="inlineStr"/>
      <c r="R142" s="29" t="inlineStr"/>
      <c r="S142" s="29" t="inlineStr"/>
      <c r="T142" s="28" t="inlineStr">
        <is>
          <t>Name min 3; area, repeat, due date and active owner required.</t>
        </is>
      </c>
      <c r="U142" s="28" t="inlineStr">
        <is>
          <t>ops_items (item, category, owner_id, due_on, recurring, status, last_done_on, notes)</t>
        </is>
      </c>
      <c r="V142" s="28" t="inlineStr">
        <is>
          <t>Items due / overdue</t>
        </is>
      </c>
      <c r="W142" s="28" t="inlineStr">
        <is>
          <t>HR Home (ops register, compliance calendar 60 days)</t>
        </is>
      </c>
      <c r="X142" s="28" t="inlineStr">
        <is>
          <t>NTF-13 new ops responsibility</t>
        </is>
      </c>
      <c r="Y142" s="28" t="inlineStr">
        <is>
          <t>/operations</t>
        </is>
      </c>
      <c r="Z142" s="28" t="inlineStr">
        <is>
          <t>ops.manage</t>
        </is>
      </c>
      <c r="AA142" s="29" t="inlineStr">
        <is>
          <t>Live</t>
        </is>
      </c>
      <c r="AB142" s="28" t="inlineStr">
        <is>
          <t>-</t>
        </is>
      </c>
    </row>
    <row r="143" ht="30" customHeight="1">
      <c r="A143" s="28" t="inlineStr">
        <is>
          <t>OPS-02</t>
        </is>
      </c>
      <c r="B143" s="28" t="inlineStr">
        <is>
          <t>Operations &amp; compliance</t>
        </is>
      </c>
      <c r="C143" s="28" t="inlineStr">
        <is>
          <t>Register</t>
        </is>
      </c>
      <c r="D143" s="28" t="inlineStr">
        <is>
          <t>Mark done and roll forward</t>
        </is>
      </c>
      <c r="E143" s="28" t="inlineStr">
        <is>
          <t>Completing an item automatically schedules the next occurrence.</t>
        </is>
      </c>
      <c r="F143" s="28" t="inlineStr">
        <is>
          <t>Duty completed</t>
        </is>
      </c>
      <c r="G143" s="28" t="inlineStr">
        <is>
          <t>1. Owner marks the item done with the date
2. Recurring items roll to the next due date</t>
        </is>
      </c>
      <c r="H143" s="29" t="inlineStr"/>
      <c r="I143" s="29" t="inlineStr">
        <is>
          <t>I</t>
        </is>
      </c>
      <c r="J143" s="29" t="inlineStr"/>
      <c r="K143" s="29" t="inlineStr"/>
      <c r="L143" s="29" t="inlineStr">
        <is>
          <t>R</t>
        </is>
      </c>
      <c r="M143" s="29" t="inlineStr">
        <is>
          <t>R</t>
        </is>
      </c>
      <c r="N143" s="29" t="inlineStr"/>
      <c r="O143" s="29" t="inlineStr"/>
      <c r="P143" s="29" t="inlineStr"/>
      <c r="Q143" s="29" t="inlineStr"/>
      <c r="R143" s="29" t="inlineStr"/>
      <c r="S143" s="29" t="inlineStr"/>
      <c r="T143" s="28" t="inlineStr">
        <is>
          <t>OPS_DONE (already done); done date not in the future.</t>
        </is>
      </c>
      <c r="U143" s="28" t="inlineStr">
        <is>
          <t>ops_items.last_done_on, due_on</t>
        </is>
      </c>
      <c r="V143" s="28" t="inlineStr">
        <is>
          <t>Ops on time %</t>
        </is>
      </c>
      <c r="W143" s="28" t="inlineStr">
        <is>
          <t>Scorecard (ops on time), HR Home</t>
        </is>
      </c>
      <c r="X143" s="28" t="inlineStr">
        <is>
          <t>-</t>
        </is>
      </c>
      <c r="Y143" s="28" t="inlineStr">
        <is>
          <t>/operations</t>
        </is>
      </c>
      <c r="Z143" s="28" t="inlineStr">
        <is>
          <t>ops.manage</t>
        </is>
      </c>
      <c r="AA143" s="29" t="inlineStr">
        <is>
          <t>Live</t>
        </is>
      </c>
      <c r="AB143" s="28" t="inlineStr">
        <is>
          <t>-</t>
        </is>
      </c>
    </row>
    <row r="144" ht="43" customHeight="1">
      <c r="A144" s="28" t="inlineStr">
        <is>
          <t>OPS-03</t>
        </is>
      </c>
      <c r="B144" s="28" t="inlineStr">
        <is>
          <t>Operations &amp; compliance</t>
        </is>
      </c>
      <c r="C144" s="28" t="inlineStr">
        <is>
          <t>Alerts</t>
        </is>
      </c>
      <c r="D144" s="28" t="inlineStr">
        <is>
          <t>Overdue and due-soon alerts</t>
        </is>
      </c>
      <c r="E144" s="28" t="inlineStr">
        <is>
          <t>Nothing statutory is missed: overdue items chase their owner daily.</t>
        </is>
      </c>
      <c r="F144" s="28" t="inlineStr">
        <is>
          <t>Item overdue or due within 7 days</t>
        </is>
      </c>
      <c r="G144" s="28" t="inlineStr">
        <is>
          <t>1. Overdue items notify the owner once a day
2. HR Home shows overdue, due in 7 and 30 days
3. CEO sees overdue counts</t>
        </is>
      </c>
      <c r="H144" s="29" t="inlineStr"/>
      <c r="I144" s="29" t="inlineStr">
        <is>
          <t>I</t>
        </is>
      </c>
      <c r="J144" s="29" t="inlineStr"/>
      <c r="K144" s="29" t="inlineStr"/>
      <c r="L144" s="29" t="inlineStr">
        <is>
          <t>R</t>
        </is>
      </c>
      <c r="M144" s="29" t="inlineStr">
        <is>
          <t>R</t>
        </is>
      </c>
      <c r="N144" s="29" t="inlineStr"/>
      <c r="O144" s="29" t="inlineStr"/>
      <c r="P144" s="29" t="inlineStr"/>
      <c r="Q144" s="29" t="inlineStr"/>
      <c r="R144" s="29" t="inlineStr"/>
      <c r="S144" s="29" t="inlineStr"/>
      <c r="T144" s="28" t="inlineStr">
        <is>
          <t>At most one NTF-13 per item per day; due window 7 days.</t>
        </is>
      </c>
      <c r="U144" s="28" t="inlineStr">
        <is>
          <t>ops_items</t>
        </is>
      </c>
      <c r="V144" s="28" t="inlineStr">
        <is>
          <t>Overdue items</t>
        </is>
      </c>
      <c r="W144" s="28" t="inlineStr">
        <is>
          <t>HR Home (KPIs: overdue, due in 7 / 30 days)</t>
        </is>
      </c>
      <c r="X144" s="28" t="inlineStr">
        <is>
          <t>NTF-13 ops item overdue</t>
        </is>
      </c>
      <c r="Y144" s="28" t="inlineStr">
        <is>
          <t>/operations</t>
        </is>
      </c>
      <c r="Z144" s="28" t="inlineStr">
        <is>
          <t>ops.manage</t>
        </is>
      </c>
      <c r="AA144" s="29" t="inlineStr">
        <is>
          <t>Live</t>
        </is>
      </c>
      <c r="AB144" s="28" t="inlineStr">
        <is>
          <t>-</t>
        </is>
      </c>
    </row>
    <row r="145" ht="69" customHeight="1">
      <c r="A145" s="28" t="inlineStr">
        <is>
          <t>OPS-04</t>
        </is>
      </c>
      <c r="B145" s="28" t="inlineStr">
        <is>
          <t>Operations &amp; compliance</t>
        </is>
      </c>
      <c r="C145" s="28" t="inlineStr">
        <is>
          <t>Quality</t>
        </is>
      </c>
      <c r="D145" s="28" t="inlineStr">
        <is>
          <t>ISO 9001 non-conformance and CAPA</t>
        </is>
      </c>
      <c r="E145" s="28" t="inlineStr">
        <is>
          <t>Records non-conformances, root cause and corrective/preventive actions to keep ISO 9001:2015 certification.</t>
        </is>
      </c>
      <c r="F145" s="28" t="inlineStr">
        <is>
          <t>Audit finding, client complaint or internal defect</t>
        </is>
      </c>
      <c r="G145" s="28" t="inlineStr">
        <is>
          <t>1. Log the non-conformance with source and severity
2. Root cause analysis; assign corrective and preventive actions with due dates
3. Verify effectiveness and close; report for management review</t>
        </is>
      </c>
      <c r="H145" s="29" t="inlineStr"/>
      <c r="I145" s="30" t="inlineStr">
        <is>
          <t>A</t>
        </is>
      </c>
      <c r="J145" s="29" t="inlineStr">
        <is>
          <t>R</t>
        </is>
      </c>
      <c r="K145" s="29" t="inlineStr">
        <is>
          <t>R</t>
        </is>
      </c>
      <c r="L145" s="29" t="inlineStr">
        <is>
          <t>R</t>
        </is>
      </c>
      <c r="M145" s="29" t="inlineStr">
        <is>
          <t>I</t>
        </is>
      </c>
      <c r="N145" s="29" t="inlineStr"/>
      <c r="O145" s="29" t="inlineStr"/>
      <c r="P145" s="29" t="inlineStr">
        <is>
          <t>C</t>
        </is>
      </c>
      <c r="Q145" s="29" t="inlineStr">
        <is>
          <t>R</t>
        </is>
      </c>
      <c r="R145" s="29" t="inlineStr"/>
      <c r="S145" s="29" t="inlineStr">
        <is>
          <t>C</t>
        </is>
      </c>
      <c r="T145" s="28" t="inlineStr">
        <is>
          <t>-</t>
        </is>
      </c>
      <c r="U145" s="28" t="inlineStr">
        <is>
          <t>-</t>
        </is>
      </c>
      <c r="V145" s="28" t="inlineStr">
        <is>
          <t>-</t>
        </is>
      </c>
      <c r="W145" s="28" t="inlineStr">
        <is>
          <t>-</t>
        </is>
      </c>
      <c r="X145" s="28" t="inlineStr">
        <is>
          <t>-</t>
        </is>
      </c>
      <c r="Y145" s="28" t="inlineStr">
        <is>
          <t>-</t>
        </is>
      </c>
      <c r="Z145" s="28" t="inlineStr">
        <is>
          <t>- (planned)</t>
        </is>
      </c>
      <c r="AA145" s="29" t="inlineStr">
        <is>
          <t>Planned</t>
        </is>
      </c>
      <c r="AB145" s="28" t="inlineStr">
        <is>
          <t>Recommendation: high value for Seereon's ISO certification; link CAPA actions to tasks.</t>
        </is>
      </c>
    </row>
    <row r="146" ht="43" customHeight="1">
      <c r="A146" s="28" t="inlineStr">
        <is>
          <t>OPS-05</t>
        </is>
      </c>
      <c r="B146" s="28" t="inlineStr">
        <is>
          <t>Operations &amp; compliance</t>
        </is>
      </c>
      <c r="C146" s="28" t="inlineStr">
        <is>
          <t>Risk</t>
        </is>
      </c>
      <c r="D146" s="28" t="inlineStr">
        <is>
          <t>Risk register (company and project)</t>
        </is>
      </c>
      <c r="E146" s="28" t="inlineStr">
        <is>
          <t>Tracks key risks (client concentration, key-person dependency, delivery, cash) with owners and mitigations.</t>
        </is>
      </c>
      <c r="F146" s="28" t="inlineStr">
        <is>
          <t>Quarterly review or new risk</t>
        </is>
      </c>
      <c r="G146" s="28" t="inlineStr">
        <is>
          <t>1. Record risk, likelihood, impact, owner, mitigation
2. Review quarterly; escalate high risks to the CEO
3. Link project risks to the project</t>
        </is>
      </c>
      <c r="H146" s="29" t="inlineStr"/>
      <c r="I146" s="30" t="inlineStr">
        <is>
          <t>A</t>
        </is>
      </c>
      <c r="J146" s="29" t="inlineStr">
        <is>
          <t>R</t>
        </is>
      </c>
      <c r="K146" s="29" t="inlineStr">
        <is>
          <t>R</t>
        </is>
      </c>
      <c r="L146" s="29" t="inlineStr">
        <is>
          <t>C</t>
        </is>
      </c>
      <c r="M146" s="29" t="inlineStr">
        <is>
          <t>I</t>
        </is>
      </c>
      <c r="N146" s="29" t="inlineStr"/>
      <c r="O146" s="29" t="inlineStr"/>
      <c r="P146" s="29" t="inlineStr"/>
      <c r="Q146" s="29" t="inlineStr"/>
      <c r="R146" s="29" t="inlineStr"/>
      <c r="S146" s="29" t="inlineStr"/>
      <c r="T146" s="28" t="inlineStr">
        <is>
          <t>-</t>
        </is>
      </c>
      <c r="U146" s="28" t="inlineStr">
        <is>
          <t>-</t>
        </is>
      </c>
      <c r="V146" s="28" t="inlineStr">
        <is>
          <t>-</t>
        </is>
      </c>
      <c r="W146" s="28" t="inlineStr">
        <is>
          <t>-</t>
        </is>
      </c>
      <c r="X146" s="28" t="inlineStr">
        <is>
          <t>-</t>
        </is>
      </c>
      <c r="Y146" s="28" t="inlineStr">
        <is>
          <t>-</t>
        </is>
      </c>
      <c r="Z146" s="28" t="inlineStr">
        <is>
          <t>- (planned)</t>
        </is>
      </c>
      <c r="AA146" s="29" t="inlineStr">
        <is>
          <t>Planned</t>
        </is>
      </c>
      <c r="AB146" s="28" t="inlineStr">
        <is>
          <t>Recommendation: also an ISO 9001 requirement (risk-based thinking).</t>
        </is>
      </c>
    </row>
    <row r="147" ht="56" customHeight="1">
      <c r="A147" s="28" t="inlineStr">
        <is>
          <t>GOV-01</t>
        </is>
      </c>
      <c r="B147" s="28" t="inlineStr">
        <is>
          <t>Strategy &amp; governance</t>
        </is>
      </c>
      <c r="C147" s="28" t="inlineStr">
        <is>
          <t>OKRs</t>
        </is>
      </c>
      <c r="D147" s="28" t="inlineStr">
        <is>
          <t>Set objectives (company, team, personal)</t>
        </is>
      </c>
      <c r="E147" s="28" t="inlineStr">
        <is>
          <t>Aligns everyone to a few company goals per period.</t>
        </is>
      </c>
      <c r="F147" s="28" t="inlineStr">
        <is>
          <t>Quarter / half-year planning</t>
        </is>
      </c>
      <c r="G147" s="28" t="inlineStr">
        <is>
          <t>1. CEO sets company objectives
2. Managers set team objectives aligned to company ones; people set personal objectives aligned to company or team
3. Mark done or reopen at period end</t>
        </is>
      </c>
      <c r="H147" s="29" t="inlineStr"/>
      <c r="I147" s="29" t="inlineStr">
        <is>
          <t>R</t>
        </is>
      </c>
      <c r="J147" s="29" t="inlineStr">
        <is>
          <t>C</t>
        </is>
      </c>
      <c r="K147" s="29" t="inlineStr">
        <is>
          <t>C</t>
        </is>
      </c>
      <c r="L147" s="29" t="inlineStr">
        <is>
          <t>R</t>
        </is>
      </c>
      <c r="M147" s="29" t="inlineStr">
        <is>
          <t>R</t>
        </is>
      </c>
      <c r="N147" s="29" t="inlineStr">
        <is>
          <t>R</t>
        </is>
      </c>
      <c r="O147" s="29" t="inlineStr">
        <is>
          <t>R</t>
        </is>
      </c>
      <c r="P147" s="29" t="inlineStr">
        <is>
          <t>R</t>
        </is>
      </c>
      <c r="Q147" s="29" t="inlineStr">
        <is>
          <t>C</t>
        </is>
      </c>
      <c r="R147" s="29" t="inlineStr"/>
      <c r="S147" s="29" t="inlineStr"/>
      <c r="T147" s="28" t="inlineStr">
        <is>
          <t>Title 3-160; level company/team/personal; OKR_PARENT (alignment rules, same period); OKR_HAS_CHILDREN (cannot delete with aligned children); only CEO sets company objectives; managers set team objectives for their own team.</t>
        </is>
      </c>
      <c r="U147" s="28" t="inlineStr">
        <is>
          <t>objectives (title, level, owner_id, period, parent_id, status)</t>
        </is>
      </c>
      <c r="V147" s="28" t="inlineStr">
        <is>
          <t>Objective progress</t>
        </is>
      </c>
      <c r="W147" s="28" t="inlineStr">
        <is>
          <t>Goals &amp; OKRs; Reports / Ask AI (okr_key_results)</t>
        </is>
      </c>
      <c r="X147" s="28" t="inlineStr">
        <is>
          <t>-</t>
        </is>
      </c>
      <c r="Y147" s="28" t="inlineStr">
        <is>
          <t>/okrs</t>
        </is>
      </c>
      <c r="Z147" s="28" t="inlineStr">
        <is>
          <t>R: (none); A: okrs.manage</t>
        </is>
      </c>
      <c r="AA147" s="29" t="inlineStr">
        <is>
          <t>New in v3</t>
        </is>
      </c>
      <c r="AB147" s="28" t="inlineStr">
        <is>
          <t>-</t>
        </is>
      </c>
    </row>
    <row r="148" ht="69" customHeight="1">
      <c r="A148" s="28" t="inlineStr">
        <is>
          <t>GOV-02</t>
        </is>
      </c>
      <c r="B148" s="28" t="inlineStr">
        <is>
          <t>Strategy &amp; governance</t>
        </is>
      </c>
      <c r="C148" s="28" t="inlineStr">
        <is>
          <t>OKRs</t>
        </is>
      </c>
      <c r="D148" s="28" t="inlineStr">
        <is>
          <t>Key results with automatic measures and check-ins</t>
        </is>
      </c>
      <c r="E148" s="28" t="inlineStr">
        <is>
          <t>Key results update themselves from live data where possible; manual ones need a dated note.</t>
        </is>
      </c>
      <c r="F148" s="28" t="inlineStr">
        <is>
          <t>Objective created / weekly check-in</t>
        </is>
      </c>
      <c r="G148" s="28" t="inlineStr">
        <is>
          <t>1. Add up to six key results: manual, or auto (revenue billed/collected, value of deals won, on-time task %, timesheet compliance, net margin, headcount, revenue leakage)
2. Auto KRs update from the system
3. Manual KRs: owner checks in with value and note</t>
        </is>
      </c>
      <c r="H148" s="29" t="inlineStr"/>
      <c r="I148" s="30" t="inlineStr">
        <is>
          <t>A</t>
        </is>
      </c>
      <c r="J148" s="29" t="inlineStr">
        <is>
          <t>C</t>
        </is>
      </c>
      <c r="K148" s="29" t="inlineStr">
        <is>
          <t>C</t>
        </is>
      </c>
      <c r="L148" s="29" t="inlineStr">
        <is>
          <t>R</t>
        </is>
      </c>
      <c r="M148" s="29" t="inlineStr">
        <is>
          <t>R</t>
        </is>
      </c>
      <c r="N148" s="29" t="inlineStr">
        <is>
          <t>R</t>
        </is>
      </c>
      <c r="O148" s="29" t="inlineStr">
        <is>
          <t>R</t>
        </is>
      </c>
      <c r="P148" s="29" t="inlineStr">
        <is>
          <t>R</t>
        </is>
      </c>
      <c r="Q148" s="29" t="inlineStr">
        <is>
          <t>C</t>
        </is>
      </c>
      <c r="R148" s="29" t="inlineStr"/>
      <c r="S148" s="29" t="inlineStr"/>
      <c r="T148" s="28" t="inlineStr">
        <is>
          <t>Metric required; target must differ from start; % between 0 and 100; OKR_TOO_MANY (max 6); OKR_AUTO (no manual check-in on auto KRs); check-in note min 5; finance metrics hidden from roles without finance access (sales/PM may see deals won).</t>
        </is>
      </c>
      <c r="U148" s="28" t="inlineStr">
        <is>
          <t>key_results (objective_id, title, metric, start_value, target, current, unit, owner_id); activity_log check-ins</t>
        </is>
      </c>
      <c r="V148" s="28" t="inlineStr">
        <is>
          <t>KR progress %</t>
        </is>
      </c>
      <c r="W148" s="28" t="inlineStr">
        <is>
          <t>Goals &amp; OKRs; Reports / Ask AI (okr_key_results)</t>
        </is>
      </c>
      <c r="X148" s="28" t="inlineStr">
        <is>
          <t>-</t>
        </is>
      </c>
      <c r="Y148" s="28" t="inlineStr">
        <is>
          <t>/okrs</t>
        </is>
      </c>
      <c r="Z148" s="28" t="inlineStr">
        <is>
          <t>R: (none); A: okrs.manage</t>
        </is>
      </c>
      <c r="AA148" s="29" t="inlineStr">
        <is>
          <t>New in v3</t>
        </is>
      </c>
      <c r="AB148" s="28" t="inlineStr">
        <is>
          <t>-</t>
        </is>
      </c>
    </row>
    <row r="149" ht="95" customHeight="1">
      <c r="A149" s="28" t="inlineStr">
        <is>
          <t>GOV-03</t>
        </is>
      </c>
      <c r="B149" s="28" t="inlineStr">
        <is>
          <t>Strategy &amp; governance</t>
        </is>
      </c>
      <c r="C149" s="28" t="inlineStr">
        <is>
          <t>Approvals</t>
        </is>
      </c>
      <c r="D149" s="28" t="inlineStr">
        <is>
          <t>Approvals inbox</t>
        </is>
      </c>
      <c r="E149" s="28" t="inlineStr">
        <is>
          <t>One place for every decision waiting on you, oldest and overdue first.</t>
        </is>
      </c>
      <c r="F149" s="28" t="inlineStr">
        <is>
          <t>Anything submitted for decision</t>
        </is>
      </c>
      <c r="G149" s="28" t="inlineStr">
        <is>
          <t>1. Open the inbox: timesheets, unlocks, task reviews, leave, expenses (approve / pay), POs, vendor bills (approve / pay), appraisals, change requests, must-read documents
2. Act inline (approve, reject with reason, send back, pay) or open the record
3. Overdue badge after the SLA; "My requests" shows what you are waiting on</t>
        </is>
      </c>
      <c r="H149" s="29" t="inlineStr">
        <is>
          <t>R</t>
        </is>
      </c>
      <c r="I149" s="29" t="inlineStr">
        <is>
          <t>R</t>
        </is>
      </c>
      <c r="J149" s="29" t="inlineStr">
        <is>
          <t>R</t>
        </is>
      </c>
      <c r="K149" s="29" t="inlineStr">
        <is>
          <t>R</t>
        </is>
      </c>
      <c r="L149" s="29" t="inlineStr">
        <is>
          <t>R</t>
        </is>
      </c>
      <c r="M149" s="29" t="inlineStr">
        <is>
          <t>R</t>
        </is>
      </c>
      <c r="N149" s="29" t="inlineStr">
        <is>
          <t>R</t>
        </is>
      </c>
      <c r="O149" s="29" t="inlineStr">
        <is>
          <t>R</t>
        </is>
      </c>
      <c r="P149" s="29" t="inlineStr">
        <is>
          <t>R</t>
        </is>
      </c>
      <c r="Q149" s="29" t="inlineStr">
        <is>
          <t>R</t>
        </is>
      </c>
      <c r="R149" s="29" t="inlineStr"/>
      <c r="S149" s="29" t="inlineStr"/>
      <c r="T149" s="28" t="inlineStr">
        <is>
          <t>Each item obeys its own rules (see Approvals &amp; SLAs sheet); overdue after approval.sla_working_days (company setting, default 2) for every kind, except appraisals (cycle due dates) and bill payment (due date); delegates see their delegator's items; bulk approve only where allowed.</t>
        </is>
      </c>
      <c r="U149" s="28" t="inlineStr">
        <is>
          <t>computed from all queues</t>
        </is>
      </c>
      <c r="V149" s="28" t="inlineStr">
        <is>
          <t>Pending, overdue</t>
        </is>
      </c>
      <c r="W149" s="28" t="inlineStr">
        <is>
          <t>Approvals inbox (badge in navigation), Home</t>
        </is>
      </c>
      <c r="X149" s="28" t="inlineStr">
        <is>
          <t>NTF-04 (new item)</t>
        </is>
      </c>
      <c r="Y149" s="28" t="inlineStr">
        <is>
          <t>/inbox</t>
        </is>
      </c>
      <c r="Z149" s="28" t="inlineStr">
        <is>
          <t>approvals.act</t>
        </is>
      </c>
      <c r="AA149" s="29" t="inlineStr">
        <is>
          <t>Extended</t>
        </is>
      </c>
      <c r="AB149" s="28" t="inlineStr">
        <is>
          <t>New in v3. v4: inbox shows "Step n of m" and step due dates for workflow chains; maker-checker changes have their own Changes screen (/changes).</t>
        </is>
      </c>
    </row>
    <row r="150" ht="56" customHeight="1">
      <c r="A150" s="28" t="inlineStr">
        <is>
          <t>GOV-04</t>
        </is>
      </c>
      <c r="B150" s="28" t="inlineStr">
        <is>
          <t>Strategy &amp; governance</t>
        </is>
      </c>
      <c r="C150" s="28" t="inlineStr">
        <is>
          <t>Audit</t>
        </is>
      </c>
      <c r="D150" s="28" t="inlineStr">
        <is>
          <t>Audit trail</t>
        </is>
      </c>
      <c r="E150" s="28" t="inlineStr">
        <is>
          <t>Shows who did what and when across the company, for disputes, ISO and investor diligence.</t>
        </is>
      </c>
      <c r="F150" s="28" t="inlineStr">
        <is>
          <t>Investigation or audit</t>
        </is>
      </c>
      <c r="G150" s="28" t="inlineStr">
        <is>
          <t>1. CEO opens the audit trail
2. Filter by entity (task, timesheet, leave, expense, PO, appraisal, settings...), person and date
3. Every decision and change is listed</t>
        </is>
      </c>
      <c r="H150" s="29" t="inlineStr">
        <is>
          <t>R</t>
        </is>
      </c>
      <c r="I150" s="29" t="inlineStr">
        <is>
          <t>I</t>
        </is>
      </c>
      <c r="J150" s="29" t="inlineStr"/>
      <c r="K150" s="29" t="inlineStr"/>
      <c r="L150" s="29" t="inlineStr"/>
      <c r="M150" s="29" t="inlineStr"/>
      <c r="N150" s="29" t="inlineStr"/>
      <c r="O150" s="29" t="inlineStr"/>
      <c r="P150" s="29" t="inlineStr"/>
      <c r="Q150" s="29" t="inlineStr"/>
      <c r="R150" s="29" t="inlineStr"/>
      <c r="S150" s="29" t="inlineStr"/>
      <c r="T150" s="28" t="inlineStr">
        <is>
          <t>Admin only (audit.view); history is append-only.</t>
        </is>
      </c>
      <c r="U150" s="28" t="inlineStr">
        <is>
          <t>activity_log (entity, entity_id, action, summary, actor_id, at)</t>
        </is>
      </c>
      <c r="V150" s="28" t="inlineStr">
        <is>
          <t>-</t>
        </is>
      </c>
      <c r="W150" s="28" t="inlineStr">
        <is>
          <t>Audit trail, project activity tab</t>
        </is>
      </c>
      <c r="X150" s="28" t="inlineStr">
        <is>
          <t>-</t>
        </is>
      </c>
      <c r="Y150" s="28" t="inlineStr">
        <is>
          <t>/audit</t>
        </is>
      </c>
      <c r="Z150" s="28" t="inlineStr">
        <is>
          <t>audit.view</t>
        </is>
      </c>
      <c r="AA150" s="29" t="inlineStr">
        <is>
          <t>Extended</t>
        </is>
      </c>
      <c r="AB150" s="28" t="inlineStr">
        <is>
          <t>New in v3. v4: records maker and checker of every maker-checked change.</t>
        </is>
      </c>
    </row>
    <row r="151" ht="43" customHeight="1">
      <c r="A151" s="28" t="inlineStr">
        <is>
          <t>GOV-05</t>
        </is>
      </c>
      <c r="B151" s="28" t="inlineStr">
        <is>
          <t>Strategy &amp; governance</t>
        </is>
      </c>
      <c r="C151" s="28" t="inlineStr">
        <is>
          <t>Notifications</t>
        </is>
      </c>
      <c r="D151" s="28" t="inlineStr">
        <is>
          <t>Notifications centre</t>
        </is>
      </c>
      <c r="E151" s="28" t="inlineStr">
        <is>
          <t>People learn instantly what needs them, without email noise.</t>
        </is>
      </c>
      <c r="F151" s="28" t="inlineStr">
        <is>
          <t>Any notifiable event</t>
        </is>
      </c>
      <c r="G151" s="28" t="inlineStr">
        <is>
          <t>1. Bell shows unread count (refreshed every 30 seconds)
2. Open the list; jump to the record
3. Mark one or all as read</t>
        </is>
      </c>
      <c r="H151" s="29" t="inlineStr">
        <is>
          <t>R</t>
        </is>
      </c>
      <c r="I151" s="29" t="inlineStr">
        <is>
          <t>R</t>
        </is>
      </c>
      <c r="J151" s="29" t="inlineStr">
        <is>
          <t>R</t>
        </is>
      </c>
      <c r="K151" s="29" t="inlineStr">
        <is>
          <t>R</t>
        </is>
      </c>
      <c r="L151" s="29" t="inlineStr">
        <is>
          <t>R</t>
        </is>
      </c>
      <c r="M151" s="29" t="inlineStr">
        <is>
          <t>R</t>
        </is>
      </c>
      <c r="N151" s="29" t="inlineStr">
        <is>
          <t>R</t>
        </is>
      </c>
      <c r="O151" s="29" t="inlineStr">
        <is>
          <t>R</t>
        </is>
      </c>
      <c r="P151" s="29" t="inlineStr">
        <is>
          <t>R</t>
        </is>
      </c>
      <c r="Q151" s="29" t="inlineStr">
        <is>
          <t>R</t>
        </is>
      </c>
      <c r="R151" s="29" t="inlineStr"/>
      <c r="S151" s="29" t="inlineStr"/>
      <c r="T151" s="28" t="inlineStr">
        <is>
          <t>Notification codes NTF-01..17.</t>
        </is>
      </c>
      <c r="U151" s="28" t="inlineStr">
        <is>
          <t>notifications (user_id, type, title, body, link, read_at)</t>
        </is>
      </c>
      <c r="V151" s="28" t="inlineStr">
        <is>
          <t>Unread</t>
        </is>
      </c>
      <c r="W151" s="28" t="inlineStr">
        <is>
          <t>Bell, /notifications</t>
        </is>
      </c>
      <c r="X151" s="28" t="inlineStr">
        <is>
          <t>All</t>
        </is>
      </c>
      <c r="Y151" s="28" t="inlineStr">
        <is>
          <t>/notifications</t>
        </is>
      </c>
      <c r="Z151" s="28" t="inlineStr">
        <is>
          <t>-</t>
        </is>
      </c>
      <c r="AA151" s="29" t="inlineStr">
        <is>
          <t>Live</t>
        </is>
      </c>
      <c r="AB151" s="28" t="inlineStr">
        <is>
          <t>-</t>
        </is>
      </c>
    </row>
    <row r="152" ht="82" customHeight="1">
      <c r="A152" s="28" t="inlineStr">
        <is>
          <t>GOV-06</t>
        </is>
      </c>
      <c r="B152" s="28" t="inlineStr">
        <is>
          <t>Strategy &amp; governance</t>
        </is>
      </c>
      <c r="C152" s="28" t="inlineStr">
        <is>
          <t>Discipline</t>
        </is>
      </c>
      <c r="D152" s="28" t="inlineStr">
        <is>
          <t>Weekly scorecard</t>
        </is>
      </c>
      <c r="E152" s="28" t="inlineStr">
        <is>
          <t>Rates each person 0-100 every week on the habits that make delivery predictable.</t>
        </is>
      </c>
      <c r="F152" s="28" t="inlineStr">
        <is>
          <t>Weekly (Monday review)</t>
        </is>
      </c>
      <c r="G152" s="28" t="inlineStr">
        <is>
          <t>1. Open Scorecard for a week
2. Each person scored on: delivery (due tasks done on time) and Friday demo (delivery roles), activities/follow-ups/new leads (sales), ops on time (HR &amp; ops), plus daily updates, timesheet hours and, for managers, approvals on time
3. Green 90+, amber 75-89, red below 75; team trend</t>
        </is>
      </c>
      <c r="H152" s="29" t="inlineStr"/>
      <c r="I152" s="30" t="inlineStr">
        <is>
          <t>A</t>
        </is>
      </c>
      <c r="J152" s="29" t="inlineStr">
        <is>
          <t>R</t>
        </is>
      </c>
      <c r="K152" s="29" t="inlineStr">
        <is>
          <t>R</t>
        </is>
      </c>
      <c r="L152" s="29" t="inlineStr">
        <is>
          <t>C</t>
        </is>
      </c>
      <c r="M152" s="29" t="inlineStr">
        <is>
          <t>I</t>
        </is>
      </c>
      <c r="N152" s="29" t="inlineStr">
        <is>
          <t>I</t>
        </is>
      </c>
      <c r="O152" s="29" t="inlineStr">
        <is>
          <t>I</t>
        </is>
      </c>
      <c r="P152" s="29" t="inlineStr">
        <is>
          <t>I</t>
        </is>
      </c>
      <c r="Q152" s="29" t="inlineStr">
        <is>
          <t>R</t>
        </is>
      </c>
      <c r="R152" s="29" t="inlineStr"/>
      <c r="S152" s="29" t="inlineStr"/>
      <c r="T152" s="28" t="inlineStr">
        <is>
          <t>Visible to Admin, PM, Sales and HR &amp; operations (insights.view).</t>
        </is>
      </c>
      <c r="U152" s="28" t="inlineStr">
        <is>
          <t>computed (daily_updates, timesheet entries, tasks, deal activities, ops items, timesheet weeks)</t>
        </is>
      </c>
      <c r="V152" s="28" t="inlineStr">
        <is>
          <t>Score per person, team score</t>
        </is>
      </c>
      <c r="W152" s="28" t="inlineStr">
        <is>
          <t>Scorecard</t>
        </is>
      </c>
      <c r="X152" s="28" t="inlineStr">
        <is>
          <t>-</t>
        </is>
      </c>
      <c r="Y152" s="28" t="inlineStr">
        <is>
          <t>/scorecard</t>
        </is>
      </c>
      <c r="Z152" s="28" t="inlineStr">
        <is>
          <t>R: (none); A: insights.view</t>
        </is>
      </c>
      <c r="AA152" s="29" t="inlineStr">
        <is>
          <t>Live</t>
        </is>
      </c>
      <c r="AB152" s="28" t="inlineStr">
        <is>
          <t>-</t>
        </is>
      </c>
    </row>
    <row r="153" ht="56" customHeight="1">
      <c r="A153" s="28" t="inlineStr">
        <is>
          <t>GOV-07</t>
        </is>
      </c>
      <c r="B153" s="28" t="inlineStr">
        <is>
          <t>Strategy &amp; governance</t>
        </is>
      </c>
      <c r="C153" s="28" t="inlineStr">
        <is>
          <t>Board</t>
        </is>
      </c>
      <c r="D153" s="28" t="inlineStr">
        <is>
          <t>Board and investor reporting pack</t>
        </is>
      </c>
      <c r="E153" s="28" t="inlineStr">
        <is>
          <t>Produces a monthly/quarterly pack (revenue, margin, cash, pipeline, people, risks) in one click.</t>
        </is>
      </c>
      <c r="F153" s="28" t="inlineStr">
        <is>
          <t>Month / quarter end</t>
        </is>
      </c>
      <c r="G153" s="28" t="inlineStr">
        <is>
          <t>1. Select period; pack assembles KPIs and charts from live data
2. CEO adds commentary
3. Export PDF and share</t>
        </is>
      </c>
      <c r="H153" s="29" t="inlineStr"/>
      <c r="I153" s="29" t="inlineStr">
        <is>
          <t>R</t>
        </is>
      </c>
      <c r="J153" s="29" t="inlineStr"/>
      <c r="K153" s="29" t="inlineStr"/>
      <c r="L153" s="29" t="inlineStr">
        <is>
          <t>C</t>
        </is>
      </c>
      <c r="M153" s="29" t="inlineStr">
        <is>
          <t>I</t>
        </is>
      </c>
      <c r="N153" s="29" t="inlineStr"/>
      <c r="O153" s="29" t="inlineStr"/>
      <c r="P153" s="29" t="inlineStr"/>
      <c r="Q153" s="29" t="inlineStr"/>
      <c r="R153" s="29" t="inlineStr"/>
      <c r="S153" s="29" t="inlineStr"/>
      <c r="T153" s="28" t="inlineStr">
        <is>
          <t>-</t>
        </is>
      </c>
      <c r="U153" s="28" t="inlineStr">
        <is>
          <t>-</t>
        </is>
      </c>
      <c r="V153" s="28" t="inlineStr">
        <is>
          <t>-</t>
        </is>
      </c>
      <c r="W153" s="28" t="inlineStr">
        <is>
          <t>-</t>
        </is>
      </c>
      <c r="X153" s="28" t="inlineStr">
        <is>
          <t>-</t>
        </is>
      </c>
      <c r="Y153" s="28" t="inlineStr">
        <is>
          <t>-</t>
        </is>
      </c>
      <c r="Z153" s="28" t="inlineStr">
        <is>
          <t>- (planned)</t>
        </is>
      </c>
      <c r="AA153" s="29" t="inlineStr">
        <is>
          <t>Planned</t>
        </is>
      </c>
      <c r="AB153" s="28" t="inlineStr">
        <is>
          <t>Recommendation: reuse CEO Home panels and the AI narrative; add a fixed template.</t>
        </is>
      </c>
    </row>
    <row r="154" ht="95" customHeight="1">
      <c r="A154" s="28" t="inlineStr">
        <is>
          <t>ANA-01</t>
        </is>
      </c>
      <c r="B154" s="28" t="inlineStr">
        <is>
          <t>Analytics &amp; AI</t>
        </is>
      </c>
      <c r="C154" s="28" t="inlineStr">
        <is>
          <t>Dashboards</t>
        </is>
      </c>
      <c r="D154" s="28" t="inlineStr">
        <is>
          <t>CEO / Admin dashboard</t>
        </is>
      </c>
      <c r="E154" s="28" t="inlineStr">
        <is>
          <t>The CEO sees the whole company on one screen: money, delivery, people and spend.</t>
        </is>
      </c>
      <c r="F154" s="28" t="inlineStr">
        <is>
          <t>Daily</t>
        </is>
      </c>
      <c r="G154" s="28" t="inlineStr">
        <is>
          <t>1. Revenue month/quarter/FY with change; billed vs collected 12 months; revenue by stream; revenue ahead; cash runway
2. Project health strip; task delivery (company, 90 days); milestones due in 30 days
3. People panel (headcount, hiring, appraisals, leave, on-time delivery); Spend panel; approvals by manager; stale deals</t>
        </is>
      </c>
      <c r="H154" s="29" t="inlineStr"/>
      <c r="I154" s="29" t="inlineStr">
        <is>
          <t>R</t>
        </is>
      </c>
      <c r="J154" s="29" t="inlineStr"/>
      <c r="K154" s="29" t="inlineStr"/>
      <c r="L154" s="29" t="inlineStr"/>
      <c r="M154" s="29" t="inlineStr"/>
      <c r="N154" s="29" t="inlineStr"/>
      <c r="O154" s="29" t="inlineStr"/>
      <c r="P154" s="29" t="inlineStr"/>
      <c r="Q154" s="29" t="inlineStr"/>
      <c r="R154" s="29" t="inlineStr"/>
      <c r="S154" s="29" t="inlineStr"/>
      <c r="T154" s="28" t="inlineStr">
        <is>
          <t>Money tiles need finance access.</t>
        </is>
      </c>
      <c r="U154" s="28" t="inlineStr">
        <is>
          <t>computed</t>
        </is>
      </c>
      <c r="V154" s="28" t="inlineStr">
        <is>
          <t>See KPI dictionary</t>
        </is>
      </c>
      <c r="W154" s="28" t="inlineStr">
        <is>
          <t>Home</t>
        </is>
      </c>
      <c r="X154" s="28" t="inlineStr">
        <is>
          <t>-</t>
        </is>
      </c>
      <c r="Y154" s="28" t="inlineStr">
        <is>
          <t>/home</t>
        </is>
      </c>
      <c r="Z154" s="28" t="inlineStr">
        <is>
          <t>finance.view</t>
        </is>
      </c>
      <c r="AA154" s="29" t="inlineStr">
        <is>
          <t>Extended</t>
        </is>
      </c>
      <c r="AB154" s="28" t="inlineStr">
        <is>
          <t>v3 added Task delivery, People and Spend panels. v4: the home dashboard is chosen by the role's persona; panels and numbers follow permissions (e.g. finance.view).</t>
        </is>
      </c>
    </row>
    <row r="155" ht="82" customHeight="1">
      <c r="A155" s="28" t="inlineStr">
        <is>
          <t>ANA-02</t>
        </is>
      </c>
      <c r="B155" s="28" t="inlineStr">
        <is>
          <t>Analytics &amp; AI</t>
        </is>
      </c>
      <c r="C155" s="28" t="inlineStr">
        <is>
          <t>Dashboards</t>
        </is>
      </c>
      <c r="D155" s="28" t="inlineStr">
        <is>
          <t>Project manager dashboard</t>
        </is>
      </c>
      <c r="E155" s="28" t="inlineStr">
        <is>
          <t>PMs control delivery: health, risks, load and approvals.</t>
        </is>
      </c>
      <c r="F155" s="28" t="inlineStr">
        <is>
          <t>Daily</t>
        </is>
      </c>
      <c r="G155" s="28" t="inlineStr">
        <is>
          <t>1. Delivery control (my projects by health, progress, next milestone)
2. Task delivery (my team), tasks at risk, blocked
3. Resource load next 10 working days, approvals for me, change requests, team timesheet compliance, upcoming milestones</t>
        </is>
      </c>
      <c r="H155" s="29" t="inlineStr"/>
      <c r="I155" s="29" t="inlineStr"/>
      <c r="J155" s="29" t="inlineStr">
        <is>
          <t>R</t>
        </is>
      </c>
      <c r="K155" s="29" t="inlineStr">
        <is>
          <t>R</t>
        </is>
      </c>
      <c r="L155" s="29" t="inlineStr"/>
      <c r="M155" s="29" t="inlineStr"/>
      <c r="N155" s="29" t="inlineStr"/>
      <c r="O155" s="29" t="inlineStr"/>
      <c r="P155" s="29" t="inlineStr"/>
      <c r="Q155" s="29" t="inlineStr"/>
      <c r="R155" s="29" t="inlineStr"/>
      <c r="S155" s="29" t="inlineStr"/>
      <c r="T155" s="28" t="inlineStr">
        <is>
          <t>-</t>
        </is>
      </c>
      <c r="U155" s="28" t="inlineStr">
        <is>
          <t>computed</t>
        </is>
      </c>
      <c r="V155" s="28" t="inlineStr">
        <is>
          <t>SPI, effort ratio, on-time %, compliance</t>
        </is>
      </c>
      <c r="W155" s="28" t="inlineStr">
        <is>
          <t>Home</t>
        </is>
      </c>
      <c r="X155" s="28" t="inlineStr">
        <is>
          <t>-</t>
        </is>
      </c>
      <c r="Y155" s="28" t="inlineStr">
        <is>
          <t>/home</t>
        </is>
      </c>
      <c r="Z155" s="28" t="inlineStr">
        <is>
          <t>-</t>
        </is>
      </c>
      <c r="AA155" s="29" t="inlineStr">
        <is>
          <t>Extended</t>
        </is>
      </c>
      <c r="AB155" s="28" t="inlineStr">
        <is>
          <t>-</t>
        </is>
      </c>
    </row>
    <row r="156" ht="69" customHeight="1">
      <c r="A156" s="28" t="inlineStr">
        <is>
          <t>ANA-03</t>
        </is>
      </c>
      <c r="B156" s="28" t="inlineStr">
        <is>
          <t>Analytics &amp; AI</t>
        </is>
      </c>
      <c r="C156" s="28" t="inlineStr">
        <is>
          <t>Dashboards</t>
        </is>
      </c>
      <c r="D156" s="28" t="inlineStr">
        <is>
          <t>Sales dashboard</t>
        </is>
      </c>
      <c r="E156" s="28" t="inlineStr">
        <is>
          <t>Sellers see target, deals needing action and activity.</t>
        </is>
      </c>
      <c r="F156" s="28" t="inlineStr">
        <is>
          <t>Daily</t>
        </is>
      </c>
      <c r="G156" s="28" t="inlineStr">
        <is>
          <t>1. My (or team) target this month vs achieved and variable at stake
2. Deals needing action (past close date, stale, overdue next step, closing this month)
3. Pipeline by stage; recent activity</t>
        </is>
      </c>
      <c r="H156" s="29" t="inlineStr"/>
      <c r="I156" s="29" t="inlineStr"/>
      <c r="J156" s="29" t="inlineStr"/>
      <c r="K156" s="29" t="inlineStr"/>
      <c r="L156" s="29" t="inlineStr"/>
      <c r="M156" s="29" t="inlineStr"/>
      <c r="N156" s="29" t="inlineStr">
        <is>
          <t>R</t>
        </is>
      </c>
      <c r="O156" s="29" t="inlineStr">
        <is>
          <t>R</t>
        </is>
      </c>
      <c r="P156" s="29" t="inlineStr"/>
      <c r="Q156" s="29" t="inlineStr"/>
      <c r="R156" s="29" t="inlineStr"/>
      <c r="S156" s="29" t="inlineStr"/>
      <c r="T156" s="28" t="inlineStr">
        <is>
          <t>-</t>
        </is>
      </c>
      <c r="U156" s="28" t="inlineStr">
        <is>
          <t>computed</t>
        </is>
      </c>
      <c r="V156" s="28" t="inlineStr">
        <is>
          <t>Achievement %, weighted pipeline</t>
        </is>
      </c>
      <c r="W156" s="28" t="inlineStr">
        <is>
          <t>Home</t>
        </is>
      </c>
      <c r="X156" s="28" t="inlineStr">
        <is>
          <t>-</t>
        </is>
      </c>
      <c r="Y156" s="28" t="inlineStr">
        <is>
          <t>/home</t>
        </is>
      </c>
      <c r="Z156" s="28" t="inlineStr">
        <is>
          <t>-</t>
        </is>
      </c>
      <c r="AA156" s="29" t="inlineStr">
        <is>
          <t>Live</t>
        </is>
      </c>
      <c r="AB156" s="28" t="inlineStr">
        <is>
          <t>-</t>
        </is>
      </c>
    </row>
    <row r="157" ht="108" customHeight="1">
      <c r="A157" s="28" t="inlineStr">
        <is>
          <t>ANA-04</t>
        </is>
      </c>
      <c r="B157" s="28" t="inlineStr">
        <is>
          <t>Analytics &amp; AI</t>
        </is>
      </c>
      <c r="C157" s="28" t="inlineStr">
        <is>
          <t>Dashboards</t>
        </is>
      </c>
      <c r="D157" s="28" t="inlineStr">
        <is>
          <t>HR &amp; operations dashboard</t>
        </is>
      </c>
      <c r="E157" s="28" t="inlineStr">
        <is>
          <t>HR sees compliance duties, people movements and approvals needing action.</t>
        </is>
      </c>
      <c r="F157" s="28" t="inlineStr">
        <is>
          <t>Daily</t>
        </is>
      </c>
      <c r="G157" s="28" t="inlineStr">
        <is>
          <t>1. Overdue / due ops items, open positions, on leave today, timesheets missing last week
2. Ops register, payroll status, compliance calendar (60 days), openings
3. Task delivery (company, 90 days): on-time / early / late, slip, first-pass, delay reasons
4. Leave to approve, onboarding &amp; exits due, appraisal cycle, hiring pipeline, assets due back</t>
        </is>
      </c>
      <c r="H157" s="29" t="inlineStr"/>
      <c r="I157" s="29" t="inlineStr"/>
      <c r="J157" s="29" t="inlineStr"/>
      <c r="K157" s="29" t="inlineStr"/>
      <c r="L157" s="29" t="inlineStr">
        <is>
          <t>R</t>
        </is>
      </c>
      <c r="M157" s="29" t="inlineStr">
        <is>
          <t>I</t>
        </is>
      </c>
      <c r="N157" s="29" t="inlineStr"/>
      <c r="O157" s="29" t="inlineStr"/>
      <c r="P157" s="29" t="inlineStr"/>
      <c r="Q157" s="29" t="inlineStr"/>
      <c r="R157" s="29" t="inlineStr"/>
      <c r="S157" s="29" t="inlineStr"/>
      <c r="T157" s="28" t="inlineStr">
        <is>
          <t>-</t>
        </is>
      </c>
      <c r="U157" s="28" t="inlineStr">
        <is>
          <t>computed</t>
        </is>
      </c>
      <c r="V157" s="28" t="inlineStr">
        <is>
          <t>Timesheets missing, overdue ops items, company on-time %</t>
        </is>
      </c>
      <c r="W157" s="28" t="inlineStr">
        <is>
          <t>Home</t>
        </is>
      </c>
      <c r="X157" s="28" t="inlineStr">
        <is>
          <t>-</t>
        </is>
      </c>
      <c r="Y157" s="28" t="inlineStr">
        <is>
          <t>/home</t>
        </is>
      </c>
      <c r="Z157" s="28" t="inlineStr">
        <is>
          <t>-</t>
        </is>
      </c>
      <c r="AA157" s="29" t="inlineStr">
        <is>
          <t>Extended</t>
        </is>
      </c>
      <c r="AB157" s="28" t="inlineStr">
        <is>
          <t>v3 added HR panels and the company Task delivery panel.</t>
        </is>
      </c>
    </row>
    <row r="158" ht="43" customHeight="1">
      <c r="A158" s="28" t="inlineStr">
        <is>
          <t>ANA-05</t>
        </is>
      </c>
      <c r="B158" s="28" t="inlineStr">
        <is>
          <t>Analytics &amp; AI</t>
        </is>
      </c>
      <c r="C158" s="28" t="inlineStr">
        <is>
          <t>Dashboards</t>
        </is>
      </c>
      <c r="D158" s="28" t="inlineStr">
        <is>
          <t>Employee dashboard</t>
        </is>
      </c>
      <c r="E158" s="28" t="inlineStr">
        <is>
          <t>Each person sees what to do today and how they are delivering.</t>
        </is>
      </c>
      <c r="F158" s="28" t="inlineStr">
        <is>
          <t>Daily</t>
        </is>
      </c>
      <c r="G158" s="28" t="inlineStr">
        <is>
          <t>1. My delivery (approved tasks vs due, 90 days)
2. Today (overdue first), this week, my timesheet this week
3. Blockers; others waiting on me</t>
        </is>
      </c>
      <c r="H158" s="29" t="inlineStr"/>
      <c r="I158" s="29" t="inlineStr"/>
      <c r="J158" s="29" t="inlineStr"/>
      <c r="K158" s="29" t="inlineStr"/>
      <c r="L158" s="29" t="inlineStr"/>
      <c r="M158" s="29" t="inlineStr"/>
      <c r="N158" s="29" t="inlineStr"/>
      <c r="O158" s="29" t="inlineStr"/>
      <c r="P158" s="29" t="inlineStr">
        <is>
          <t>R</t>
        </is>
      </c>
      <c r="Q158" s="29" t="inlineStr"/>
      <c r="R158" s="29" t="inlineStr"/>
      <c r="S158" s="29" t="inlineStr"/>
      <c r="T158" s="28" t="inlineStr">
        <is>
          <t>-</t>
        </is>
      </c>
      <c r="U158" s="28" t="inlineStr">
        <is>
          <t>computed</t>
        </is>
      </c>
      <c r="V158" s="28" t="inlineStr">
        <is>
          <t>My on-time %</t>
        </is>
      </c>
      <c r="W158" s="28" t="inlineStr">
        <is>
          <t>Home</t>
        </is>
      </c>
      <c r="X158" s="28" t="inlineStr">
        <is>
          <t>-</t>
        </is>
      </c>
      <c r="Y158" s="28" t="inlineStr">
        <is>
          <t>/home</t>
        </is>
      </c>
      <c r="Z158" s="28" t="inlineStr">
        <is>
          <t>-</t>
        </is>
      </c>
      <c r="AA158" s="29" t="inlineStr">
        <is>
          <t>Extended</t>
        </is>
      </c>
      <c r="AB158" s="28" t="inlineStr">
        <is>
          <t>-</t>
        </is>
      </c>
    </row>
    <row r="159" ht="69" customHeight="1">
      <c r="A159" s="28" t="inlineStr">
        <is>
          <t>ANA-06</t>
        </is>
      </c>
      <c r="B159" s="28" t="inlineStr">
        <is>
          <t>Analytics &amp; AI</t>
        </is>
      </c>
      <c r="C159" s="28" t="inlineStr">
        <is>
          <t>Insights</t>
        </is>
      </c>
      <c r="D159" s="28" t="inlineStr">
        <is>
          <t>Insights views</t>
        </is>
      </c>
      <c r="E159" s="28" t="inlineStr">
        <is>
          <t>Ready-made exception lists that tell managers where to act.</t>
        </is>
      </c>
      <c r="F159" s="28" t="inlineStr">
        <is>
          <t>Weekly review</t>
        </is>
      </c>
      <c r="G159" s="28" t="inlineStr">
        <is>
          <t>1. Tasks at risk, blocked, overdue milestones, effort overruns, allocation outliers, timesheet compliance, approval KPI, stale deals, delivery predictions (P50/P80), estimation accuracy
2. Each view explains itself and offers an Ask AI question</t>
        </is>
      </c>
      <c r="H159" s="29" t="inlineStr"/>
      <c r="I159" s="29" t="inlineStr">
        <is>
          <t>R</t>
        </is>
      </c>
      <c r="J159" s="29" t="inlineStr">
        <is>
          <t>R</t>
        </is>
      </c>
      <c r="K159" s="29" t="inlineStr">
        <is>
          <t>R</t>
        </is>
      </c>
      <c r="L159" s="29" t="inlineStr">
        <is>
          <t>R</t>
        </is>
      </c>
      <c r="M159" s="29" t="inlineStr">
        <is>
          <t>I</t>
        </is>
      </c>
      <c r="N159" s="29" t="inlineStr">
        <is>
          <t>R</t>
        </is>
      </c>
      <c r="O159" s="29" t="inlineStr">
        <is>
          <t>R</t>
        </is>
      </c>
      <c r="P159" s="29" t="inlineStr"/>
      <c r="Q159" s="29" t="inlineStr"/>
      <c r="R159" s="29" t="inlineStr"/>
      <c r="S159" s="29" t="inlineStr"/>
      <c r="T159" s="28" t="inlineStr">
        <is>
          <t>Views by role: Admin all 10; PM 9 (not stale deals); Sales stale deals; HR &amp; ops compliance, approval KPI, allocation.</t>
        </is>
      </c>
      <c r="U159" s="28" t="inlineStr">
        <is>
          <t>computed</t>
        </is>
      </c>
      <c r="V159" s="28" t="inlineStr">
        <is>
          <t>See KPI dictionary</t>
        </is>
      </c>
      <c r="W159" s="28" t="inlineStr">
        <is>
          <t>Insights</t>
        </is>
      </c>
      <c r="X159" s="28" t="inlineStr">
        <is>
          <t>-</t>
        </is>
      </c>
      <c r="Y159" s="28" t="inlineStr">
        <is>
          <t>/insights, /insights/:view</t>
        </is>
      </c>
      <c r="Z159" s="28" t="inlineStr">
        <is>
          <t>insights.view</t>
        </is>
      </c>
      <c r="AA159" s="29" t="inlineStr">
        <is>
          <t>Live</t>
        </is>
      </c>
      <c r="AB159" s="28" t="inlineStr">
        <is>
          <t>-</t>
        </is>
      </c>
    </row>
    <row r="160" ht="108" customHeight="1">
      <c r="A160" s="28" t="inlineStr">
        <is>
          <t>ANA-07</t>
        </is>
      </c>
      <c r="B160" s="28" t="inlineStr">
        <is>
          <t>Analytics &amp; AI</t>
        </is>
      </c>
      <c r="C160" s="28" t="inlineStr">
        <is>
          <t>Reports</t>
        </is>
      </c>
      <c r="D160" s="28" t="inlineStr">
        <is>
          <t>Custom report builder and exports</t>
        </is>
      </c>
      <c r="E160" s="28" t="inlineStr">
        <is>
          <t>Anyone with access builds, saves, pins and shares their own reports, and exports PDF/Excel.</t>
        </is>
      </c>
      <c r="F160" s="28" t="inlineStr">
        <is>
          <t>Ad-hoc question or recurring report</t>
        </is>
      </c>
      <c r="G160" s="28" t="inlineStr">
        <is>
          <t>1. Pick a dataset: projects, milestones, tasks (incl. timeliness, delay reason, quality), hours, allocations, invoices, ledger, deals, sales activities, payroll, people, operations register; v3: task reviews, leave requests, expenses, purchase orders, vendor bills, budget vs actual, revenue leakage, appraisals, candidates, documents, OKR key results
2. Choose columns, filters, grouping, chart
3. Save, pin, share, duplicate; export to PDF or Excel</t>
        </is>
      </c>
      <c r="H160" s="29" t="inlineStr"/>
      <c r="I160" s="29" t="inlineStr">
        <is>
          <t>R</t>
        </is>
      </c>
      <c r="J160" s="29" t="inlineStr">
        <is>
          <t>R</t>
        </is>
      </c>
      <c r="K160" s="29" t="inlineStr">
        <is>
          <t>R</t>
        </is>
      </c>
      <c r="L160" s="29" t="inlineStr">
        <is>
          <t>R</t>
        </is>
      </c>
      <c r="M160" s="29" t="inlineStr">
        <is>
          <t>I</t>
        </is>
      </c>
      <c r="N160" s="29" t="inlineStr">
        <is>
          <t>R</t>
        </is>
      </c>
      <c r="O160" s="29" t="inlineStr">
        <is>
          <t>R</t>
        </is>
      </c>
      <c r="P160" s="29" t="inlineStr">
        <is>
          <t>C</t>
        </is>
      </c>
      <c r="Q160" s="29" t="inlineStr"/>
      <c r="R160" s="29" t="inlineStr"/>
      <c r="S160" s="29" t="inlineStr"/>
      <c r="T160" s="28" t="inlineStr">
        <is>
          <t>VAL_REPORT (dataset and name 2-120 characters); datasets limited by role (e.g. invoices, payroll, budget vs actual and revenue leakage Admin only; purchases and vendor bills Admin and HR &amp; ops; appraisals and candidates Admin, HR &amp; ops, PM; leave, expenses, documents, OKRs all roles, rows scoped to what the viewer may see).</t>
        </is>
      </c>
      <c r="U160" s="28" t="inlineStr">
        <is>
          <t>saved_reports (name, spec, owner_id, shared, pinned)</t>
        </is>
      </c>
      <c r="V160" s="28" t="inlineStr">
        <is>
          <t>Any</t>
        </is>
      </c>
      <c r="W160" s="28" t="inlineStr">
        <is>
          <t>Reports</t>
        </is>
      </c>
      <c r="X160" s="28" t="inlineStr">
        <is>
          <t>-</t>
        </is>
      </c>
      <c r="Y160" s="28" t="inlineStr">
        <is>
          <t>/reports, /reports/new, /reports/:id</t>
        </is>
      </c>
      <c r="Z160" s="28" t="inlineStr">
        <is>
          <t>reports.view</t>
        </is>
      </c>
      <c r="AA160" s="29" t="inlineStr">
        <is>
          <t>Extended</t>
        </is>
      </c>
      <c r="AB160" s="28" t="inlineStr">
        <is>
          <t>v3 added 11 datasets and timeliness / delay / quality fields on tasks.</t>
        </is>
      </c>
    </row>
    <row r="161" ht="69" customHeight="1">
      <c r="A161" s="28" t="inlineStr">
        <is>
          <t>ANA-08</t>
        </is>
      </c>
      <c r="B161" s="28" t="inlineStr">
        <is>
          <t>Analytics &amp; AI</t>
        </is>
      </c>
      <c r="C161" s="28" t="inlineStr">
        <is>
          <t>AI</t>
        </is>
      </c>
      <c r="D161" s="28" t="inlineStr">
        <is>
          <t>Ask AI and AI report planning</t>
        </is>
      </c>
      <c r="E161" s="28" t="inlineStr">
        <is>
          <t>Ask a business question in plain English and get an answer, chart or saved report.</t>
        </is>
      </c>
      <c r="F161" s="28" t="inlineStr">
        <is>
          <t>Any question</t>
        </is>
      </c>
      <c r="G161" s="28" t="inlineStr">
        <is>
          <t>1. Type a question (e.g. "Which projects are below 25% margin?")
2. AI plans a report from the allowed datasets for your role and answers with numbers
3. Save it as a report</t>
        </is>
      </c>
      <c r="H161" s="29" t="inlineStr"/>
      <c r="I161" s="29" t="inlineStr">
        <is>
          <t>R</t>
        </is>
      </c>
      <c r="J161" s="29" t="inlineStr">
        <is>
          <t>R</t>
        </is>
      </c>
      <c r="K161" s="29" t="inlineStr">
        <is>
          <t>R</t>
        </is>
      </c>
      <c r="L161" s="29" t="inlineStr">
        <is>
          <t>R</t>
        </is>
      </c>
      <c r="M161" s="29" t="inlineStr">
        <is>
          <t>R</t>
        </is>
      </c>
      <c r="N161" s="29" t="inlineStr">
        <is>
          <t>R</t>
        </is>
      </c>
      <c r="O161" s="29" t="inlineStr">
        <is>
          <t>R</t>
        </is>
      </c>
      <c r="P161" s="29" t="inlineStr">
        <is>
          <t>R</t>
        </is>
      </c>
      <c r="Q161" s="29" t="inlineStr"/>
      <c r="R161" s="29" t="inlineStr"/>
      <c r="S161" s="29" t="inlineStr"/>
      <c r="T161" s="28" t="inlineStr">
        <is>
          <t>VAL_AI (a few words, under 600 characters); AI_DISABLED when ai.enabled is off; answers respect role permissions.</t>
        </is>
      </c>
      <c r="U161" s="28" t="inlineStr">
        <is>
          <t>saved_reports (source ai)</t>
        </is>
      </c>
      <c r="V161" s="28" t="inlineStr">
        <is>
          <t>-</t>
        </is>
      </c>
      <c r="W161" s="28" t="inlineStr">
        <is>
          <t>Ask AI, Home ask bar</t>
        </is>
      </c>
      <c r="X161" s="28" t="inlineStr">
        <is>
          <t>-</t>
        </is>
      </c>
      <c r="Y161" s="28" t="inlineStr">
        <is>
          <t>/ai</t>
        </is>
      </c>
      <c r="Z161" s="28" t="inlineStr">
        <is>
          <t>ai.use</t>
        </is>
      </c>
      <c r="AA161" s="29" t="inlineStr">
        <is>
          <t>Extended</t>
        </is>
      </c>
      <c r="AB161" s="28" t="inlineStr">
        <is>
          <t>v3: the AI planner can use all v3 datasets (e.g. "late tasks by delay reason", "unbudgeted spend this FY", "leave taken by team").</t>
        </is>
      </c>
    </row>
    <row r="162" ht="43" customHeight="1">
      <c r="A162" s="28" t="inlineStr">
        <is>
          <t>ANA-09</t>
        </is>
      </c>
      <c r="B162" s="28" t="inlineStr">
        <is>
          <t>Analytics &amp; AI</t>
        </is>
      </c>
      <c r="C162" s="28" t="inlineStr">
        <is>
          <t>Reports</t>
        </is>
      </c>
      <c r="D162" s="28" t="inlineStr">
        <is>
          <t>Scheduled email reports</t>
        </is>
      </c>
      <c r="E162" s="28" t="inlineStr">
        <is>
          <t>Sends key reports (weekly scorecard, cash, pipeline) by email on a schedule.</t>
        </is>
      </c>
      <c r="F162" s="28" t="inlineStr">
        <is>
          <t>Weekly / monthly</t>
        </is>
      </c>
      <c r="G162" s="28" t="inlineStr">
        <is>
          <t>1. Choose a saved report and schedule
2. Recipients receive PDF/Excel by email
3. Delivery log kept</t>
        </is>
      </c>
      <c r="H162" s="29" t="inlineStr"/>
      <c r="I162" s="29" t="inlineStr">
        <is>
          <t>R</t>
        </is>
      </c>
      <c r="J162" s="29" t="inlineStr">
        <is>
          <t>R</t>
        </is>
      </c>
      <c r="K162" s="29" t="inlineStr">
        <is>
          <t>R</t>
        </is>
      </c>
      <c r="L162" s="29" t="inlineStr">
        <is>
          <t>R</t>
        </is>
      </c>
      <c r="M162" s="29" t="inlineStr">
        <is>
          <t>I</t>
        </is>
      </c>
      <c r="N162" s="29" t="inlineStr">
        <is>
          <t>R</t>
        </is>
      </c>
      <c r="O162" s="29" t="inlineStr">
        <is>
          <t>R</t>
        </is>
      </c>
      <c r="P162" s="29" t="inlineStr"/>
      <c r="Q162" s="29" t="inlineStr"/>
      <c r="R162" s="29" t="inlineStr"/>
      <c r="S162" s="29" t="inlineStr"/>
      <c r="T162" s="28" t="inlineStr">
        <is>
          <t>-</t>
        </is>
      </c>
      <c r="U162" s="28" t="inlineStr">
        <is>
          <t>-</t>
        </is>
      </c>
      <c r="V162" s="28" t="inlineStr">
        <is>
          <t>-</t>
        </is>
      </c>
      <c r="W162" s="28" t="inlineStr">
        <is>
          <t>-</t>
        </is>
      </c>
      <c r="X162" s="28" t="inlineStr">
        <is>
          <t>-</t>
        </is>
      </c>
      <c r="Y162" s="28" t="inlineStr">
        <is>
          <t>-</t>
        </is>
      </c>
      <c r="Z162" s="28" t="inlineStr">
        <is>
          <t>- (planned)</t>
        </is>
      </c>
      <c r="AA162" s="29" t="inlineStr">
        <is>
          <t>Planned</t>
        </is>
      </c>
      <c r="AB162" s="28" t="inlineStr">
        <is>
          <t>Recommendation: the saved report already has a schedule field; add the sender (spec future scope).</t>
        </is>
      </c>
    </row>
    <row r="163" ht="82" customHeight="1">
      <c r="A163" s="28" t="inlineStr">
        <is>
          <t>ANA-10</t>
        </is>
      </c>
      <c r="B163" s="28" t="inlineStr">
        <is>
          <t>Analytics &amp; AI</t>
        </is>
      </c>
      <c r="C163" s="28" t="inlineStr">
        <is>
          <t>Reports</t>
        </is>
      </c>
      <c r="D163" s="28" t="inlineStr">
        <is>
          <t>Report datasets for v3 processes</t>
        </is>
      </c>
      <c r="E163" s="28" t="inlineStr">
        <is>
          <t>Lets managers build their own reports on task timeliness, leave, spend, budgets, lost revenue and appraisals.</t>
        </is>
      </c>
      <c r="F163" s="28" t="inlineStr">
        <is>
          <t>Need for ad-hoc analysis</t>
        </is>
      </c>
      <c r="G163" s="28" t="inlineStr">
        <is>
          <t>1. Datasets: task_reviews, leave_requests, expenses, purchases, vendor_bills, budget_vs_actual, revenue_leakage, appraisals, candidates, documents, okr_key_results; tasks gained timeliness, variance, delay reason and quality fields
2. Each dataset is limited by role and row scope
3. Usable in the report builder, exports and Ask AI</t>
        </is>
      </c>
      <c r="H163" s="29" t="inlineStr"/>
      <c r="I163" s="29" t="inlineStr">
        <is>
          <t>R</t>
        </is>
      </c>
      <c r="J163" s="29" t="inlineStr">
        <is>
          <t>R</t>
        </is>
      </c>
      <c r="K163" s="29" t="inlineStr">
        <is>
          <t>R</t>
        </is>
      </c>
      <c r="L163" s="29" t="inlineStr">
        <is>
          <t>R</t>
        </is>
      </c>
      <c r="M163" s="29" t="inlineStr">
        <is>
          <t>I</t>
        </is>
      </c>
      <c r="N163" s="29" t="inlineStr">
        <is>
          <t>C</t>
        </is>
      </c>
      <c r="O163" s="29" t="inlineStr">
        <is>
          <t>C</t>
        </is>
      </c>
      <c r="P163" s="29" t="inlineStr">
        <is>
          <t>C</t>
        </is>
      </c>
      <c r="Q163" s="29" t="inlineStr"/>
      <c r="R163" s="29" t="inlineStr"/>
      <c r="S163" s="29" t="inlineStr"/>
      <c r="T163" s="28" t="inlineStr">
        <is>
          <t>Role limits per dataset (see ANA-07).</t>
        </is>
      </c>
      <c r="U163" s="28" t="inlineStr">
        <is>
          <t>v3 tables</t>
        </is>
      </c>
      <c r="V163" s="28" t="inlineStr">
        <is>
          <t>Any v3 KPI</t>
        </is>
      </c>
      <c r="W163" s="28" t="inlineStr">
        <is>
          <t>Reports, Ask AI</t>
        </is>
      </c>
      <c r="X163" s="28" t="inlineStr">
        <is>
          <t>-</t>
        </is>
      </c>
      <c r="Y163" s="28" t="inlineStr">
        <is>
          <t>/reports/new, /ai</t>
        </is>
      </c>
      <c r="Z163" s="28" t="inlineStr">
        <is>
          <t>reports.build</t>
        </is>
      </c>
      <c r="AA163" s="29" t="inlineStr">
        <is>
          <t>New in v3</t>
        </is>
      </c>
      <c r="AB163" s="28" t="inlineStr">
        <is>
          <t>-</t>
        </is>
      </c>
    </row>
    <row r="164" ht="134" customHeight="1">
      <c r="A164" s="28" t="inlineStr">
        <is>
          <t>SET-01</t>
        </is>
      </c>
      <c r="B164" s="28" t="inlineStr">
        <is>
          <t>Access, master data &amp; controls</t>
        </is>
      </c>
      <c r="C164" s="28" t="inlineStr">
        <is>
          <t>Setup</t>
        </is>
      </c>
      <c r="D164" s="28" t="inlineStr">
        <is>
          <t>Guided setup checklist (org data &gt; roles &gt; people)</t>
        </is>
      </c>
      <c r="E164" s="28" t="inlineStr">
        <is>
          <t>Takes a new workspace from empty to running in a fixed order, so people are only created once the structure, roles and approvals they depend on exist.</t>
        </is>
      </c>
      <c r="F164" s="28" t="inlineStr">
        <is>
          <t>First sign-in of the Administrator after sign-up, or any time setup is incomplete</t>
        </is>
      </c>
      <c r="G164" s="28" t="inlineStr">
        <is>
          <t>1. Administrator opens Setup (/setup): seven steps with progress and links
2. 1 Organisation profile, 2 Locations &amp; shifts, 3 Departments, designations &amp; grades, 4 Review roles &amp; permissions, 5 Approval workflows &amp; maker-checker, 6 Create employees, 7 Email templates
3. Each step ticks itself from the data (e.g. org done = legal name + GSTIN or PAN + an address)
4. Links are shown only for the screens the viewer has permission to open</t>
        </is>
      </c>
      <c r="H164" s="29" t="inlineStr">
        <is>
          <t>R</t>
        </is>
      </c>
      <c r="I164" s="30" t="inlineStr">
        <is>
          <t>A</t>
        </is>
      </c>
      <c r="J164" s="29" t="inlineStr"/>
      <c r="K164" s="29" t="inlineStr"/>
      <c r="L164" s="29" t="inlineStr">
        <is>
          <t>C</t>
        </is>
      </c>
      <c r="M164" s="29" t="inlineStr"/>
      <c r="N164" s="29" t="inlineStr"/>
      <c r="O164" s="29" t="inlineStr"/>
      <c r="P164" s="29" t="inlineStr"/>
      <c r="Q164" s="29" t="inlineStr"/>
      <c r="R164" s="29" t="inlineStr"/>
      <c r="S164" s="29" t="inlineStr"/>
      <c r="T164" s="28" t="inlineStr">
        <is>
          <t>Done rules: org = legal name, GSTIN or PAN, and an address; places = &gt;= 1 active location and shift; structure = &gt;= 1 department, designation and grade; roles = any role edited, custom role added or role change proposed; controls = maker-checker on or a workflow edited; people = &gt;= 3 active people; emails = template edited or an email sent. Needs any of master.view, roles.view, employees.create, workflows.manage, makerchecker.configure, emails.view.</t>
        </is>
      </c>
      <c r="U164" s="28" t="inlineStr">
        <is>
          <t>Computed from master tables, roles, change_sets, approval_workflows, email_templates, email_outbox</t>
        </is>
      </c>
      <c r="V164" s="28" t="inlineStr">
        <is>
          <t>Setup completion (steps done / total)</t>
        </is>
      </c>
      <c r="W164" s="28" t="inlineStr">
        <is>
          <t>Setup checklist; Home onboarding card</t>
        </is>
      </c>
      <c r="X164" s="28" t="inlineStr">
        <is>
          <t>-</t>
        </is>
      </c>
      <c r="Y164" s="28" t="inlineStr">
        <is>
          <t>/setup</t>
        </is>
      </c>
      <c r="Z164" s="28" t="inlineStr">
        <is>
          <t>master.view</t>
        </is>
      </c>
      <c r="AA164" s="29" t="inlineStr">
        <is>
          <t>New in v4</t>
        </is>
      </c>
      <c r="AB164" s="28" t="inlineStr">
        <is>
          <t>Replaces the v1-v3 onboarding checklist (WS-02) for v4 workspaces.</t>
        </is>
      </c>
    </row>
    <row r="165" ht="108" customHeight="1">
      <c r="A165" s="28" t="inlineStr">
        <is>
          <t>ADM-01</t>
        </is>
      </c>
      <c r="B165" s="28" t="inlineStr">
        <is>
          <t>Access, master data &amp; controls</t>
        </is>
      </c>
      <c r="C165" s="28" t="inlineStr">
        <is>
          <t>Master data</t>
        </is>
      </c>
      <c r="D165" s="28" t="inlineStr">
        <is>
          <t>Organisation profile</t>
        </is>
      </c>
      <c r="E165" s="28" t="inlineStr">
        <is>
          <t>One legal identity for the company: legal and brand name, tax IDs, addresses, bank and the employee code format used for every new joiner.</t>
        </is>
      </c>
      <c r="F165" s="28" t="inlineStr">
        <is>
          <t>Workspace set-up, or a change of address, bank or tax registration</t>
        </is>
      </c>
      <c r="G165" s="28" t="inlineStr">
        <is>
          <t>1. Open Setup &gt; Organisation profile
2. Enter legal name, brand name, CIN, GSTIN, PAN, TAN, registered and corporate address, contact, incorporation date, bank (account masked) and employee code prefix / next number
3. Save: with maker-checker on, the change goes to a checker and applies on approval</t>
        </is>
      </c>
      <c r="H165" s="29" t="inlineStr">
        <is>
          <t>R</t>
        </is>
      </c>
      <c r="I165" s="30" t="inlineStr">
        <is>
          <t>A</t>
        </is>
      </c>
      <c r="J165" s="29" t="inlineStr">
        <is>
          <t>I</t>
        </is>
      </c>
      <c r="K165" s="29" t="inlineStr"/>
      <c r="L165" s="29" t="inlineStr">
        <is>
          <t>C</t>
        </is>
      </c>
      <c r="M165" s="29" t="inlineStr">
        <is>
          <t>I</t>
        </is>
      </c>
      <c r="N165" s="29" t="inlineStr"/>
      <c r="O165" s="29" t="inlineStr"/>
      <c r="P165" s="29" t="inlineStr"/>
      <c r="Q165" s="29" t="inlineStr"/>
      <c r="R165" s="29" t="inlineStr"/>
      <c r="S165" s="29" t="inlineStr"/>
      <c r="T165" s="28" t="inlineStr">
        <is>
          <t>Legal and brand name required; CIN 21 chars; PAN AAAAA9999A; TAN AAAA99999A; GSTIN 15 chars with state code 01-38 and chars 3-12 = PAN (GSTIN_PAN_MISMATCH); pincode 6 digits; IFSC 11 chars; bank account 9-18 digits (stored masked); incorporation date in the past; code prefix 1-6 chars; next number must be above codes in use (EMPLOYEE_CODE_TAKEN); STALE if changed meanwhile. Maker-checked (org_profile) in Seereon.</t>
        </is>
      </c>
      <c r="U165" s="28" t="inlineStr">
        <is>
          <t>tenant.org (OrgProfile)</t>
        </is>
      </c>
      <c r="V165" s="28" t="inlineStr">
        <is>
          <t>Setup completion</t>
        </is>
      </c>
      <c r="W165" s="28" t="inlineStr">
        <is>
          <t>Setup checklist; welcome emails ({{company}})</t>
        </is>
      </c>
      <c r="X165" s="28" t="inlineStr">
        <is>
          <t>NTF-04 to checkers</t>
        </is>
      </c>
      <c r="Y165" s="28" t="inlineStr">
        <is>
          <t>/setup/org</t>
        </is>
      </c>
      <c r="Z165" s="28" t="inlineStr">
        <is>
          <t>master.edit</t>
        </is>
      </c>
      <c r="AA165" s="29" t="inlineStr">
        <is>
          <t>New in v4</t>
        </is>
      </c>
      <c r="AB165" s="28" t="inlineStr">
        <is>
          <t>-</t>
        </is>
      </c>
    </row>
    <row r="166" ht="69" customHeight="1">
      <c r="A166" s="28" t="inlineStr">
        <is>
          <t>ADM-02</t>
        </is>
      </c>
      <c r="B166" s="28" t="inlineStr">
        <is>
          <t>Access, master data &amp; controls</t>
        </is>
      </c>
      <c r="C166" s="28" t="inlineStr">
        <is>
          <t>Master data</t>
        </is>
      </c>
      <c r="D166" s="28" t="inlineStr">
        <is>
          <t>Locations</t>
        </is>
      </c>
      <c r="E166" s="28" t="inlineStr">
        <is>
          <t>Where people work (offices, client sites) with time zone and holiday calendar, so attendance and reporting can be split by place.</t>
        </is>
      </c>
      <c r="F166" s="28" t="inlineStr">
        <is>
          <t>New office or client site</t>
        </is>
      </c>
      <c r="G166" s="28" t="inlineStr">
        <is>
          <t>1. Add a location: name, code, address, city, state, time zone, holiday calendar
2. Mark exactly one location as head office
3. Deactivate instead of deleting when the location is in use</t>
        </is>
      </c>
      <c r="H166" s="29" t="inlineStr">
        <is>
          <t>R</t>
        </is>
      </c>
      <c r="I166" s="29" t="inlineStr">
        <is>
          <t>I</t>
        </is>
      </c>
      <c r="J166" s="29" t="inlineStr"/>
      <c r="K166" s="29" t="inlineStr"/>
      <c r="L166" s="30" t="inlineStr">
        <is>
          <t>A</t>
        </is>
      </c>
      <c r="M166" s="29" t="inlineStr">
        <is>
          <t>I</t>
        </is>
      </c>
      <c r="N166" s="29" t="inlineStr"/>
      <c r="O166" s="29" t="inlineStr"/>
      <c r="P166" s="29" t="inlineStr">
        <is>
          <t>I</t>
        </is>
      </c>
      <c r="Q166" s="29" t="inlineStr"/>
      <c r="R166" s="29" t="inlineStr"/>
      <c r="S166" s="29" t="inlineStr"/>
      <c r="T166" s="28" t="inlineStr">
        <is>
          <t>Name and code required; code letters/digits/-/_ ; DUPLICATE code; HEAD_OFFICE_REQUIRED (one head office, cannot delete or deactivate it); IN_USE (cannot delete a location people are assigned to; deactivate instead); STALE.</t>
        </is>
      </c>
      <c r="U166" s="28" t="inlineStr">
        <is>
          <t>locations</t>
        </is>
      </c>
      <c r="V166" s="28" t="inlineStr">
        <is>
          <t>People per location</t>
        </is>
      </c>
      <c r="W166" s="28" t="inlineStr">
        <is>
          <t>People, Create employee</t>
        </is>
      </c>
      <c r="X166" s="28" t="inlineStr">
        <is>
          <t>-</t>
        </is>
      </c>
      <c r="Y166" s="28" t="inlineStr">
        <is>
          <t>/setup/locations</t>
        </is>
      </c>
      <c r="Z166" s="28" t="inlineStr">
        <is>
          <t>master.edit</t>
        </is>
      </c>
      <c r="AA166" s="29" t="inlineStr">
        <is>
          <t>New in v4</t>
        </is>
      </c>
      <c r="AB166" s="28" t="inlineStr">
        <is>
          <t>-</t>
        </is>
      </c>
    </row>
    <row r="167" ht="69" customHeight="1">
      <c r="A167" s="28" t="inlineStr">
        <is>
          <t>ADM-03</t>
        </is>
      </c>
      <c r="B167" s="28" t="inlineStr">
        <is>
          <t>Access, master data &amp; controls</t>
        </is>
      </c>
      <c r="C167" s="28" t="inlineStr">
        <is>
          <t>Master data</t>
        </is>
      </c>
      <c r="D167" s="28" t="inlineStr">
        <is>
          <t>Departments and cost centres</t>
        </is>
      </c>
      <c r="E167" s="28" t="inlineStr">
        <is>
          <t>The organisation structure: departments with a head, parent and cost centre, so approvals (department head), cost and reporting follow the real structure.</t>
        </is>
      </c>
      <c r="F167" s="28" t="inlineStr">
        <is>
          <t>Set-up or re-organisation</t>
        </is>
      </c>
      <c r="G167" s="28" t="inlineStr">
        <is>
          <t>1. Add cost centres (code, name, owner)
2. Add departments: name, code, head, parent department, cost centre, kind (management, delivery, sales, operations)
3. Re-parent or deactivate departments; new employees default to the department's cost centre</t>
        </is>
      </c>
      <c r="H167" s="29" t="inlineStr">
        <is>
          <t>R</t>
        </is>
      </c>
      <c r="I167" s="29" t="inlineStr">
        <is>
          <t>C</t>
        </is>
      </c>
      <c r="J167" s="29" t="inlineStr">
        <is>
          <t>C</t>
        </is>
      </c>
      <c r="K167" s="29" t="inlineStr"/>
      <c r="L167" s="30" t="inlineStr">
        <is>
          <t>A</t>
        </is>
      </c>
      <c r="M167" s="29" t="inlineStr">
        <is>
          <t>I</t>
        </is>
      </c>
      <c r="N167" s="29" t="inlineStr"/>
      <c r="O167" s="29" t="inlineStr"/>
      <c r="P167" s="29" t="inlineStr"/>
      <c r="Q167" s="29" t="inlineStr">
        <is>
          <t>I</t>
        </is>
      </c>
      <c r="R167" s="29" t="inlineStr"/>
      <c r="S167" s="29" t="inlineStr"/>
      <c r="T167" s="28" t="inlineStr">
        <is>
          <t>Code format and uniqueness (DUPLICATE); head must be an active person; DEPARTMENT_CYCLE (a department cannot sit under itself or its own child); inactive cost centre cannot be chosen; IN_USE on delete; master_record changes are maker-checkable.</t>
        </is>
      </c>
      <c r="U167" s="28" t="inlineStr">
        <is>
          <t>departments (name, code, head_id, parent_id, cost_centre_id, kind), cost_centres (code, name, owner_id)</t>
        </is>
      </c>
      <c r="V167" s="28" t="inlineStr">
        <is>
          <t>Headcount and cost by department</t>
        </is>
      </c>
      <c r="W167" s="28" t="inlineStr">
        <is>
          <t>People, analytics by department, workflow approver "Head of department"</t>
        </is>
      </c>
      <c r="X167" s="28" t="inlineStr">
        <is>
          <t>-</t>
        </is>
      </c>
      <c r="Y167" s="28" t="inlineStr">
        <is>
          <t>/setup/departments, /setup/cost-centres</t>
        </is>
      </c>
      <c r="Z167" s="28" t="inlineStr">
        <is>
          <t>master.edit</t>
        </is>
      </c>
      <c r="AA167" s="29" t="inlineStr">
        <is>
          <t>New in v4</t>
        </is>
      </c>
      <c r="AB167" s="28" t="inlineStr">
        <is>
          <t>-</t>
        </is>
      </c>
    </row>
    <row r="168" ht="69" customHeight="1">
      <c r="A168" s="28" t="inlineStr">
        <is>
          <t>ADM-04</t>
        </is>
      </c>
      <c r="B168" s="28" t="inlineStr">
        <is>
          <t>Access, master data &amp; controls</t>
        </is>
      </c>
      <c r="C168" s="28" t="inlineStr">
        <is>
          <t>Master data</t>
        </is>
      </c>
      <c r="D168" s="28" t="inlineStr">
        <is>
          <t>Designations, grades and CTC bands</t>
        </is>
      </c>
      <c r="E168" s="28" t="inlineStr">
        <is>
          <t>Standard job titles and levels with salary bands, so offers, appraisals and cost rates stay inside agreed ranges.</t>
        </is>
      </c>
      <c r="F168" s="28" t="inlineStr">
        <is>
          <t>Set-up, new role in the company, or annual band review</t>
        </is>
      </c>
      <c r="G168" s="28" t="inlineStr">
        <is>
          <t>1. Add grades (L1..Ln) with min / max monthly CTC and leave multiplier
2. Add designations linked to a department, grade and default role
3. Create employee uses the designation to suggest the role</t>
        </is>
      </c>
      <c r="H168" s="29" t="inlineStr">
        <is>
          <t>R</t>
        </is>
      </c>
      <c r="I168" s="29" t="inlineStr">
        <is>
          <t>C</t>
        </is>
      </c>
      <c r="J168" s="29" t="inlineStr"/>
      <c r="K168" s="29" t="inlineStr"/>
      <c r="L168" s="30" t="inlineStr">
        <is>
          <t>A</t>
        </is>
      </c>
      <c r="M168" s="29" t="inlineStr">
        <is>
          <t>I</t>
        </is>
      </c>
      <c r="N168" s="29" t="inlineStr"/>
      <c r="O168" s="29" t="inlineStr"/>
      <c r="P168" s="29" t="inlineStr"/>
      <c r="Q168" s="29" t="inlineStr"/>
      <c r="R168" s="29" t="inlineStr"/>
      <c r="S168" s="29" t="inlineStr"/>
      <c r="T168" s="28" t="inlineStr">
        <is>
          <t>Grade: GRADE_BAND (min CTC above max refused); leave multiplier 0.5-3; designation: valid department / grade / active default role; DUPLICATE names; IN_USE on delete.</t>
        </is>
      </c>
      <c r="U168" s="28" t="inlineStr">
        <is>
          <t>grades (code, name, min_ctc_paise, max_ctc_paise, leave_multiplier), designations (name, department_id, grade_id, default_role_id)</t>
        </is>
      </c>
      <c r="V168" s="28" t="inlineStr">
        <is>
          <t>People by grade, CTC vs band</t>
        </is>
      </c>
      <c r="W168" s="28" t="inlineStr">
        <is>
          <t>Create employee, People</t>
        </is>
      </c>
      <c r="X168" s="28" t="inlineStr">
        <is>
          <t>-</t>
        </is>
      </c>
      <c r="Y168" s="28" t="inlineStr">
        <is>
          <t>/setup/designations, /setup/grades</t>
        </is>
      </c>
      <c r="Z168" s="28" t="inlineStr">
        <is>
          <t>master.edit</t>
        </is>
      </c>
      <c r="AA168" s="29" t="inlineStr">
        <is>
          <t>New in v4</t>
        </is>
      </c>
      <c r="AB168" s="28" t="inlineStr">
        <is>
          <t>-</t>
        </is>
      </c>
    </row>
    <row r="169" ht="69" customHeight="1">
      <c r="A169" s="28" t="inlineStr">
        <is>
          <t>ADM-05</t>
        </is>
      </c>
      <c r="B169" s="28" t="inlineStr">
        <is>
          <t>Access, master data &amp; controls</t>
        </is>
      </c>
      <c r="C169" s="28" t="inlineStr">
        <is>
          <t>Master data</t>
        </is>
      </c>
      <c r="D169" s="28" t="inlineStr">
        <is>
          <t>Shifts and shift assignment</t>
        </is>
      </c>
      <c r="E169" s="28" t="inlineStr">
        <is>
          <t>Defines working hours, breaks and grace per shift and who works which shift, so timesheet minimum hours and attendance match reality.</t>
        </is>
      </c>
      <c r="F169" s="28" t="inlineStr">
        <is>
          <t>Set-up, new shift pattern, or people moving shift</t>
        </is>
      </c>
      <c r="G169" s="28" t="inlineStr">
        <is>
          <t>1. Create a shift: name, code, start / end time, break, grace, working days, night shift, minimum hours
2. Mark one shift as the default for new joiners
3. Assign people to a shift (bulk); with maker-checker on for shifts the move is sent for approval</t>
        </is>
      </c>
      <c r="H169" s="29" t="inlineStr">
        <is>
          <t>R</t>
        </is>
      </c>
      <c r="I169" s="29" t="inlineStr">
        <is>
          <t>I</t>
        </is>
      </c>
      <c r="J169" s="29" t="inlineStr"/>
      <c r="K169" s="29" t="inlineStr"/>
      <c r="L169" s="30" t="inlineStr">
        <is>
          <t>A</t>
        </is>
      </c>
      <c r="M169" s="29" t="inlineStr">
        <is>
          <t>I</t>
        </is>
      </c>
      <c r="N169" s="29" t="inlineStr"/>
      <c r="O169" s="29" t="inlineStr"/>
      <c r="P169" s="29" t="inlineStr">
        <is>
          <t>I</t>
        </is>
      </c>
      <c r="Q169" s="29" t="inlineStr">
        <is>
          <t>C</t>
        </is>
      </c>
      <c r="R169" s="29" t="inlineStr"/>
      <c r="S169" s="29" t="inlineStr"/>
      <c r="T169" s="28" t="inlineStr">
        <is>
          <t>HH:MM times; start &lt;&gt; end; SHIFT_BREAK (break shorter than the shift); at least one working day; SHIFT_MIN_HOURS (min hours &lt;= shift length after break); DEFAULT_SHIFT_REQUIRED; inactive shift cannot be assigned (INACTIVE); deactivated people cannot be assigned.</t>
        </is>
      </c>
      <c r="U169" s="28" t="inlineStr">
        <is>
          <t>shifts (start_time, end_time, break_minutes, grace_minutes, working_days, night_shift, min_hours, is_default); users.shift_id</t>
        </is>
      </c>
      <c r="V169" s="28" t="inlineStr">
        <is>
          <t>People per shift</t>
        </is>
      </c>
      <c r="W169" s="28" t="inlineStr">
        <is>
          <t>People, Create employee</t>
        </is>
      </c>
      <c r="X169" s="28" t="inlineStr">
        <is>
          <t>NTF-04 to checkers (if checked)</t>
        </is>
      </c>
      <c r="Y169" s="28" t="inlineStr">
        <is>
          <t>/setup/shifts</t>
        </is>
      </c>
      <c r="Z169" s="28" t="inlineStr">
        <is>
          <t>shifts.manage</t>
        </is>
      </c>
      <c r="AA169" s="29" t="inlineStr">
        <is>
          <t>New in v4</t>
        </is>
      </c>
      <c r="AB169" s="28" t="inlineStr">
        <is>
          <t>-</t>
        </is>
      </c>
    </row>
    <row r="170" ht="82" customHeight="1">
      <c r="A170" s="28" t="inlineStr">
        <is>
          <t>ADM-06</t>
        </is>
      </c>
      <c r="B170" s="28" t="inlineStr">
        <is>
          <t>Access, master data &amp; controls</t>
        </is>
      </c>
      <c r="C170" s="28" t="inlineStr">
        <is>
          <t>Master data</t>
        </is>
      </c>
      <c r="D170" s="28" t="inlineStr">
        <is>
          <t>Email templates and sent log</t>
        </is>
      </c>
      <c r="E170" s="28" t="inlineStr">
        <is>
          <t>Controls exactly what the system emails people (welcome with login details, password reset, leave / expense decisions, task assigned, appraisal completed) and keeps a log of every email sent.</t>
        </is>
      </c>
      <c r="F170" s="28" t="inlineStr">
        <is>
          <t>Set-up, or a change in wording</t>
        </is>
      </c>
      <c r="G170" s="28" t="inlineStr">
        <is>
          <t>1. Open Setup &gt; Emails &gt; Templates; edit subject and body using placeholder chips; live preview with sample values
2. Reset a system template to the default
3. Open Sent to see every email the system produced (recipient, subject, rendered body, status)</t>
        </is>
      </c>
      <c r="H170" s="29" t="inlineStr">
        <is>
          <t>R</t>
        </is>
      </c>
      <c r="I170" s="29" t="inlineStr"/>
      <c r="J170" s="29" t="inlineStr"/>
      <c r="K170" s="29" t="inlineStr"/>
      <c r="L170" s="30" t="inlineStr">
        <is>
          <t>A</t>
        </is>
      </c>
      <c r="M170" s="29" t="inlineStr">
        <is>
          <t>R</t>
        </is>
      </c>
      <c r="N170" s="29" t="inlineStr"/>
      <c r="O170" s="29" t="inlineStr"/>
      <c r="P170" s="29" t="inlineStr">
        <is>
          <t>I</t>
        </is>
      </c>
      <c r="Q170" s="29" t="inlineStr"/>
      <c r="R170" s="29" t="inlineStr"/>
      <c r="S170" s="29" t="inlineStr"/>
      <c r="T170" s="28" t="inlineStr">
        <is>
          <t>Subject 1-200 chars; body 1-10,000 chars; UNKNOWN_PLACEHOLDER (only the placeholders listed for that template); REQUIRED_PLACEHOLDER: welcome and password-reset must contain {{username}}, {{temp_password}}, {{login_url}}; TEMPLATE_REQUIRED (those two cannot be switched off); NO_DEFAULT on reset of a custom template.</t>
        </is>
      </c>
      <c r="U170" s="28" t="inlineStr">
        <is>
          <t>email_templates (key, subject, body, active), email_outbox (to, subject, body, template_key, related entity, status, sent_at)</t>
        </is>
      </c>
      <c r="V170" s="28" t="inlineStr">
        <is>
          <t>Emails sent</t>
        </is>
      </c>
      <c r="W170" s="28" t="inlineStr">
        <is>
          <t>Setup &gt; Emails &gt; Sent</t>
        </is>
      </c>
      <c r="X170" s="28" t="inlineStr">
        <is>
          <t>The emails themselves</t>
        </is>
      </c>
      <c r="Y170" s="28" t="inlineStr">
        <is>
          <t>/setup/emails, /setup/emails?tab=sent</t>
        </is>
      </c>
      <c r="Z170" s="28" t="inlineStr">
        <is>
          <t>emails.view</t>
        </is>
      </c>
      <c r="AA170" s="29" t="inlineStr">
        <is>
          <t>New in v4</t>
        </is>
      </c>
      <c r="AB170" s="28" t="inlineStr">
        <is>
          <t>Email delivery is simulated in this build: messages are written to the outbox (Sent tab), not sent to a mail server.</t>
        </is>
      </c>
    </row>
    <row r="171" ht="121" customHeight="1">
      <c r="A171" s="28" t="inlineStr">
        <is>
          <t>ACC-01</t>
        </is>
      </c>
      <c r="B171" s="28" t="inlineStr">
        <is>
          <t>Access, master data &amp; controls</t>
        </is>
      </c>
      <c r="C171" s="28" t="inlineStr">
        <is>
          <t>Roles &amp; access</t>
        </is>
      </c>
      <c r="D171" s="28" t="inlineStr">
        <is>
          <t>Define roles and the permission matrix</t>
        </is>
      </c>
      <c r="E171" s="28" t="inlineStr">
        <is>
          <t>Roles are data, not code: each role bundles granular permissions (72 keys in 9 modules), and the role decides which screens and actions a person gets.</t>
        </is>
      </c>
      <c r="F171" s="28" t="inlineStr">
        <is>
          <t>Set-up review, new job function, or a control finding</t>
        </is>
      </c>
      <c r="G171" s="28" t="inlineStr">
        <is>
          <t>1. Open Setup &gt; Roles &amp; permissions; nine default roles are ready
2. Open a role: tick / untick permissions in the matrix (grouped by module; sensitive ones carry a lock); dependent permissions are added automatically
3. Set the role's home dashboard (persona) and description; create a new role or deactivate an unused one
4. Save: with maker-checker on, the change is proposed and applies when a checker approves</t>
        </is>
      </c>
      <c r="H171" s="29" t="inlineStr">
        <is>
          <t>R</t>
        </is>
      </c>
      <c r="I171" s="30" t="inlineStr">
        <is>
          <t>A</t>
        </is>
      </c>
      <c r="J171" s="29" t="inlineStr">
        <is>
          <t>I</t>
        </is>
      </c>
      <c r="K171" s="29" t="inlineStr"/>
      <c r="L171" s="29" t="inlineStr">
        <is>
          <t>I</t>
        </is>
      </c>
      <c r="M171" s="29" t="inlineStr"/>
      <c r="N171" s="29" t="inlineStr"/>
      <c r="O171" s="29" t="inlineStr"/>
      <c r="P171" s="29" t="inlineStr"/>
      <c r="Q171" s="29" t="inlineStr"/>
      <c r="R171" s="29" t="inlineStr"/>
      <c r="S171" s="29" t="inlineStr"/>
      <c r="T171" s="28" t="inlineStr">
        <is>
          <t>Name 2-60 chars, unique (ROLE_NAME_TAKEN); PERMISSION_UNKNOWN; PERMISSIONS_ADDED warning (requires auto-added); ROLE_LOCKED (Administrator always keeps roles.view, roles.manage, users.view, users.manage and the leadership home); ROLE_SYSTEM (built-in roles cannot be deleted or deactivated); ROLE_IN_USE (cannot deactivate / delete while people hold it); LOCKOUT (at least one active person keeps roles.manage + users.manage); STALE.</t>
        </is>
      </c>
      <c r="U171" s="28" t="inlineStr">
        <is>
          <t>roles (key, name, description, persona, permissions[], is_system, active); change_sets</t>
        </is>
      </c>
      <c r="V171" s="28" t="inlineStr">
        <is>
          <t>Roles, permissions per role</t>
        </is>
      </c>
      <c r="W171" s="28" t="inlineStr">
        <is>
          <t>Roles &amp; permissions sheet; Setup &gt; Roles</t>
        </is>
      </c>
      <c r="X171" s="28" t="inlineStr">
        <is>
          <t>NTF-04 to checkers; NTF-05 to maker</t>
        </is>
      </c>
      <c r="Y171" s="28" t="inlineStr">
        <is>
          <t>/setup/roles, /setup/roles/:key</t>
        </is>
      </c>
      <c r="Z171" s="28" t="inlineStr">
        <is>
          <t>roles.manage</t>
        </is>
      </c>
      <c r="AA171" s="29" t="inlineStr">
        <is>
          <t>New in v4</t>
        </is>
      </c>
      <c r="AB171" s="28" t="inlineStr">
        <is>
          <t>-</t>
        </is>
      </c>
    </row>
    <row r="172" ht="69" customHeight="1">
      <c r="A172" s="28" t="inlineStr">
        <is>
          <t>ACC-02</t>
        </is>
      </c>
      <c r="B172" s="28" t="inlineStr">
        <is>
          <t>Access, master data &amp; controls</t>
        </is>
      </c>
      <c r="C172" s="28" t="inlineStr">
        <is>
          <t>Roles &amp; access</t>
        </is>
      </c>
      <c r="D172" s="28" t="inlineStr">
        <is>
          <t>Clone and compare roles</t>
        </is>
      </c>
      <c r="E172" s="28" t="inlineStr">
        <is>
          <t>Builds a new role from the closest existing one and shows roles side by side, so differences are deliberate.</t>
        </is>
      </c>
      <c r="F172" s="28" t="inlineStr">
        <is>
          <t>New role needed, or an access review</t>
        </is>
      </c>
      <c r="G172" s="28" t="inlineStr">
        <is>
          <t>1. Duplicate a role from the Roles list (copy of its permissions, new name)
2. Compare roles tab: roles as columns, permissions as rows
3. Adjust the copy and save (maker-checked like any role change)</t>
        </is>
      </c>
      <c r="H172" s="29" t="inlineStr">
        <is>
          <t>R</t>
        </is>
      </c>
      <c r="I172" s="29" t="inlineStr">
        <is>
          <t>C</t>
        </is>
      </c>
      <c r="J172" s="29" t="inlineStr">
        <is>
          <t>I</t>
        </is>
      </c>
      <c r="K172" s="29" t="inlineStr"/>
      <c r="L172" s="29" t="inlineStr">
        <is>
          <t>I</t>
        </is>
      </c>
      <c r="M172" s="29" t="inlineStr"/>
      <c r="N172" s="29" t="inlineStr"/>
      <c r="O172" s="29" t="inlineStr"/>
      <c r="P172" s="29" t="inlineStr"/>
      <c r="Q172" s="29" t="inlineStr"/>
      <c r="R172" s="29" t="inlineStr"/>
      <c r="S172" s="29" t="inlineStr"/>
      <c r="T172" s="28" t="inlineStr">
        <is>
          <t>Same rules as ACC-01; a clone is a role create (maker-checked).</t>
        </is>
      </c>
      <c r="U172" s="28" t="inlineStr">
        <is>
          <t>roles</t>
        </is>
      </c>
      <c r="V172" s="28" t="inlineStr">
        <is>
          <t>-</t>
        </is>
      </c>
      <c r="W172" s="28" t="inlineStr">
        <is>
          <t>Setup &gt; Roles (Compare roles tab)</t>
        </is>
      </c>
      <c r="X172" s="28" t="inlineStr">
        <is>
          <t>-</t>
        </is>
      </c>
      <c r="Y172" s="28" t="inlineStr">
        <is>
          <t>/setup/roles?tab=compare</t>
        </is>
      </c>
      <c r="Z172" s="28" t="inlineStr">
        <is>
          <t>R: roles.view; A: roles.manage</t>
        </is>
      </c>
      <c r="AA172" s="29" t="inlineStr">
        <is>
          <t>New in v4</t>
        </is>
      </c>
      <c r="AB172" s="28" t="inlineStr">
        <is>
          <t>-</t>
        </is>
      </c>
    </row>
    <row r="173" ht="82" customHeight="1">
      <c r="A173" s="28" t="inlineStr">
        <is>
          <t>ACC-03</t>
        </is>
      </c>
      <c r="B173" s="28" t="inlineStr">
        <is>
          <t>Access, master data &amp; controls</t>
        </is>
      </c>
      <c r="C173" s="28" t="inlineStr">
        <is>
          <t>Roles &amp; access</t>
        </is>
      </c>
      <c r="D173" s="28" t="inlineStr">
        <is>
          <t>Change a person's role, extra and revoked permissions</t>
        </is>
      </c>
      <c r="E173" s="28" t="inlineStr">
        <is>
          <t>Gives one person a little more (or less) than their role without creating a new role, with the change visible and approved.</t>
        </is>
      </c>
      <c r="F173" s="28" t="inlineStr">
        <is>
          <t>Promotion, temporary responsibility, or least-privilege review</t>
        </is>
      </c>
      <c r="G173" s="28" t="inlineStr">
        <is>
          <t>1. Open People &gt; person &gt; Access
2. Change role, add extra permissions on top of the role, or remove (revoke) role permissions for this person
3. Save: proposed as a user-access change; applies on checker approval; effective permissions = role + extra - revoked</t>
        </is>
      </c>
      <c r="H173" s="29" t="inlineStr">
        <is>
          <t>R</t>
        </is>
      </c>
      <c r="I173" s="30" t="inlineStr">
        <is>
          <t>A</t>
        </is>
      </c>
      <c r="J173" s="29" t="inlineStr"/>
      <c r="K173" s="29" t="inlineStr"/>
      <c r="L173" s="29" t="inlineStr">
        <is>
          <t>C</t>
        </is>
      </c>
      <c r="M173" s="29" t="inlineStr"/>
      <c r="N173" s="29" t="inlineStr"/>
      <c r="O173" s="29" t="inlineStr"/>
      <c r="P173" s="29" t="inlineStr">
        <is>
          <t>I</t>
        </is>
      </c>
      <c r="Q173" s="29" t="inlineStr">
        <is>
          <t>C</t>
        </is>
      </c>
      <c r="R173" s="29" t="inlineStr"/>
      <c r="S173" s="29" t="inlineStr"/>
      <c r="T173" s="28" t="inlineStr">
        <is>
          <t>Needs users.manage; PERMISSION_ESCALATION (you can only grant permissions you hold; only users.manage holders can give a role that manages roles or users); LOCKOUT; role must be active; reporting manager required for non-leadership roles; CHANGE_PENDING (one pending change per person); STALE if their access changed meanwhile.</t>
        </is>
      </c>
      <c r="U173" s="28" t="inlineStr">
        <is>
          <t>users.role_key, extra_permissions, revoked_permissions; change_sets (entity user_access)</t>
        </is>
      </c>
      <c r="V173" s="28" t="inlineStr">
        <is>
          <t>People with extra / revoked permissions</t>
        </is>
      </c>
      <c r="W173" s="28" t="inlineStr">
        <is>
          <t>People, Role detail (members with +extra / -removed)</t>
        </is>
      </c>
      <c r="X173" s="28" t="inlineStr">
        <is>
          <t>NTF-04 / NTF-05</t>
        </is>
      </c>
      <c r="Y173" s="28" t="inlineStr">
        <is>
          <t>/people</t>
        </is>
      </c>
      <c r="Z173" s="28" t="inlineStr">
        <is>
          <t>users.manage</t>
        </is>
      </c>
      <c r="AA173" s="29" t="inlineStr">
        <is>
          <t>New in v4</t>
        </is>
      </c>
      <c r="AB173" s="28" t="inlineStr">
        <is>
          <t>-</t>
        </is>
      </c>
    </row>
    <row r="174" ht="147" customHeight="1">
      <c r="A174" s="28" t="inlineStr">
        <is>
          <t>ACC-04</t>
        </is>
      </c>
      <c r="B174" s="28" t="inlineStr">
        <is>
          <t>Access, master data &amp; controls</t>
        </is>
      </c>
      <c r="C174" s="28" t="inlineStr">
        <is>
          <t>Roles &amp; access</t>
        </is>
      </c>
      <c r="D174" s="28" t="inlineStr">
        <is>
          <t>Create employee and send the welcome email</t>
        </is>
      </c>
      <c r="E174" s="28" t="inlineStr">
        <is>
          <t>One step that creates the person with their job, role and reporting manager, issues a temporary password and emails the login details.</t>
        </is>
      </c>
      <c r="F174" s="28" t="inlineStr">
        <is>
          <t>New joiner (offer accepted)</t>
        </is>
      </c>
      <c r="G174" s="28" t="inlineStr">
        <is>
          <t>1. HR or Administrator opens People &gt; Create employee
2. Personal: name, work email (login), personal email, phone
3. Job: department, designation (suggests role), grade, location, shift, cost centre, joining date, employment type, reporting manager
4. Access: role (+ extra permissions if you hold users.manage); Pay: monthly CTC (needs cost_rates.edit)
5. Create: employee code assigned, temporary password generated, welcome email written to the outbox; manager gets NTF-14</t>
        </is>
      </c>
      <c r="H174" s="29" t="inlineStr">
        <is>
          <t>R</t>
        </is>
      </c>
      <c r="I174" s="29" t="inlineStr">
        <is>
          <t>I</t>
        </is>
      </c>
      <c r="J174" s="29" t="inlineStr"/>
      <c r="K174" s="29" t="inlineStr"/>
      <c r="L174" s="30" t="inlineStr">
        <is>
          <t>A</t>
        </is>
      </c>
      <c r="M174" s="29" t="inlineStr">
        <is>
          <t>R</t>
        </is>
      </c>
      <c r="N174" s="29" t="inlineStr"/>
      <c r="O174" s="29" t="inlineStr"/>
      <c r="P174" s="29" t="inlineStr">
        <is>
          <t>I</t>
        </is>
      </c>
      <c r="Q174" s="29" t="inlineStr">
        <is>
          <t>I</t>
        </is>
      </c>
      <c r="R174" s="29" t="inlineStr"/>
      <c r="S174" s="29" t="inlineStr"/>
      <c r="T174" s="28" t="inlineStr">
        <is>
          <t>Name &gt;= 2; valid unique work email (USER_EMAIL_TAKEN); personal email valid and different; phone format; joining date not &gt; 1 year back (DATE_RANGE); department / designation required when defined; reporting manager required unless a leadership role; SEATS_FULL; extra permissions need users.manage; CTC Rs 100 - Rs 1 crore and needs cost_rates.edit; CTC_NEEDS_APPROVAL warning when salaries are maker-checked; EMAIL_TEMPLATE_OFF warning. Maker-checked when "Employee creation &amp; deactivation" is on (off in Seereon).</t>
        </is>
      </c>
      <c r="U174" s="28" t="inlineStr">
        <is>
          <t>users (employee_code, role_key, reports_to_id, department_id, designation_id, grade_id, location_id, shift_id, cost_centre_id, employment_type, must_change_password), passwords, email_outbox, cost_rates</t>
        </is>
      </c>
      <c r="V174" s="28" t="inlineStr">
        <is>
          <t>Headcount, joiners</t>
        </is>
      </c>
      <c r="W174" s="28" t="inlineStr">
        <is>
          <t>People; Setup checklist (people step); Emails &gt; Sent</t>
        </is>
      </c>
      <c r="X174" s="28" t="inlineStr">
        <is>
          <t>Welcome email; NTF-14 to the manager</t>
        </is>
      </c>
      <c r="Y174" s="28" t="inlineStr">
        <is>
          <t>/people/new</t>
        </is>
      </c>
      <c r="Z174" s="28" t="inlineStr">
        <is>
          <t>employees.create</t>
        </is>
      </c>
      <c r="AA174" s="29" t="inlineStr">
        <is>
          <t>New in v4</t>
        </is>
      </c>
      <c r="AB174" s="28" t="inlineStr">
        <is>
          <t>Supersedes WS-04 invitations for single hires. Hiring a candidate in Recruitment (HR-05) still creates an invitation, not a Create-employee record.</t>
        </is>
      </c>
    </row>
    <row r="175" ht="82" customHeight="1">
      <c r="A175" s="28" t="inlineStr">
        <is>
          <t>ACC-05</t>
        </is>
      </c>
      <c r="B175" s="28" t="inlineStr">
        <is>
          <t>Access, master data &amp; controls</t>
        </is>
      </c>
      <c r="C175" s="28" t="inlineStr">
        <is>
          <t>Roles &amp; access</t>
        </is>
      </c>
      <c r="D175" s="28" t="inlineStr">
        <is>
          <t>First sign-in: forced password change</t>
        </is>
      </c>
      <c r="E175" s="28" t="inlineStr">
        <is>
          <t>Temporary passwords are used once: a new or reset person must set their own password before they can do anything else.</t>
        </is>
      </c>
      <c r="F175" s="28" t="inlineStr">
        <is>
          <t>First sign-in with a temporary password (after ACC-04 or ACC-06)</t>
        </is>
      </c>
      <c r="G175" s="28" t="inlineStr">
        <is>
          <t>1. Sign in with the work email and the temporary password from the email
2. App opens Set your password (/welcome/password)
3. Enter the temporary password, a new password (strength meter) and confirm
4. Land on the home dashboard of their role</t>
        </is>
      </c>
      <c r="H175" s="29" t="inlineStr">
        <is>
          <t>R</t>
        </is>
      </c>
      <c r="I175" s="29" t="inlineStr">
        <is>
          <t>R</t>
        </is>
      </c>
      <c r="J175" s="29" t="inlineStr">
        <is>
          <t>R</t>
        </is>
      </c>
      <c r="K175" s="29" t="inlineStr">
        <is>
          <t>R</t>
        </is>
      </c>
      <c r="L175" s="29" t="inlineStr">
        <is>
          <t>R</t>
        </is>
      </c>
      <c r="M175" s="29" t="inlineStr">
        <is>
          <t>R</t>
        </is>
      </c>
      <c r="N175" s="29" t="inlineStr">
        <is>
          <t>R</t>
        </is>
      </c>
      <c r="O175" s="29" t="inlineStr">
        <is>
          <t>R</t>
        </is>
      </c>
      <c r="P175" s="29" t="inlineStr">
        <is>
          <t>R</t>
        </is>
      </c>
      <c r="Q175" s="29" t="inlineStr"/>
      <c r="R175" s="29" t="inlineStr"/>
      <c r="S175" s="29" t="inlineStr"/>
      <c r="T175" s="28" t="inlineStr">
        <is>
          <t>Any write other than /me/password, logout and preferences returns PASSWORD_CHANGE_REQUIRED until done; PASSWORD_WRONG; PASSWORD_WEAK (security.password_min_length, default 10) plus a client strength check; PASSWORD_REUSED (must differ from the temporary one).</t>
        </is>
      </c>
      <c r="U175" s="28" t="inlineStr">
        <is>
          <t>users.must_change_password, passwords</t>
        </is>
      </c>
      <c r="V175" s="28" t="inlineStr">
        <is>
          <t>-</t>
        </is>
      </c>
      <c r="W175" s="28" t="inlineStr">
        <is>
          <t>-</t>
        </is>
      </c>
      <c r="X175" s="28" t="inlineStr">
        <is>
          <t>-</t>
        </is>
      </c>
      <c r="Y175" s="28" t="inlineStr">
        <is>
          <t>/welcome/password</t>
        </is>
      </c>
      <c r="Z175" s="28" t="inlineStr">
        <is>
          <t>-</t>
        </is>
      </c>
      <c r="AA175" s="29" t="inlineStr">
        <is>
          <t>New in v4</t>
        </is>
      </c>
      <c r="AB175" s="28" t="inlineStr">
        <is>
          <t>-</t>
        </is>
      </c>
    </row>
    <row r="176" ht="56" customHeight="1">
      <c r="A176" s="28" t="inlineStr">
        <is>
          <t>ACC-06</t>
        </is>
      </c>
      <c r="B176" s="28" t="inlineStr">
        <is>
          <t>Access, master data &amp; controls</t>
        </is>
      </c>
      <c r="C176" s="28" t="inlineStr">
        <is>
          <t>Roles &amp; access</t>
        </is>
      </c>
      <c r="D176" s="28" t="inlineStr">
        <is>
          <t>Administrator password reset</t>
        </is>
      </c>
      <c r="E176" s="28" t="inlineStr">
        <is>
          <t>Gets a locked-out person back in without sharing passwords by chat.</t>
        </is>
      </c>
      <c r="F176" s="28" t="inlineStr">
        <is>
          <t>Person cannot sign in and self-service reset is not possible</t>
        </is>
      </c>
      <c r="G176" s="28" t="inlineStr">
        <is>
          <t>1. Administrator opens People &gt; person &gt; Reset password
2. System generates a temporary password, ends the person's sessions and emails the password-reset template
3. Person signs in and must set a new password (ACC-05)</t>
        </is>
      </c>
      <c r="H176" s="29" t="inlineStr">
        <is>
          <t>R</t>
        </is>
      </c>
      <c r="I176" s="29" t="inlineStr"/>
      <c r="J176" s="29" t="inlineStr"/>
      <c r="K176" s="29" t="inlineStr"/>
      <c r="L176" s="29" t="inlineStr">
        <is>
          <t>C</t>
        </is>
      </c>
      <c r="M176" s="29" t="inlineStr"/>
      <c r="N176" s="29" t="inlineStr"/>
      <c r="O176" s="29" t="inlineStr"/>
      <c r="P176" s="29" t="inlineStr">
        <is>
          <t>I</t>
        </is>
      </c>
      <c r="Q176" s="29" t="inlineStr"/>
      <c r="R176" s="29" t="inlineStr"/>
      <c r="S176" s="29" t="inlineStr"/>
      <c r="T176" s="28" t="inlineStr">
        <is>
          <t>Needs users.manage; not for deactivated people (USER_DEACTIVATED); not for yourself (use Settings &gt; Security).</t>
        </is>
      </c>
      <c r="U176" s="28" t="inlineStr">
        <is>
          <t>passwords, sessions, users.must_change_password, email_outbox</t>
        </is>
      </c>
      <c r="V176" s="28" t="inlineStr">
        <is>
          <t>-</t>
        </is>
      </c>
      <c r="W176" s="28" t="inlineStr">
        <is>
          <t>Emails &gt; Sent</t>
        </is>
      </c>
      <c r="X176" s="28" t="inlineStr">
        <is>
          <t>Password reset email</t>
        </is>
      </c>
      <c r="Y176" s="28" t="inlineStr">
        <is>
          <t>/people</t>
        </is>
      </c>
      <c r="Z176" s="28" t="inlineStr">
        <is>
          <t>users.manage</t>
        </is>
      </c>
      <c r="AA176" s="29" t="inlineStr">
        <is>
          <t>New in v4</t>
        </is>
      </c>
      <c r="AB176" s="28" t="inlineStr">
        <is>
          <t>-</t>
        </is>
      </c>
    </row>
    <row r="177" ht="69" customHeight="1">
      <c r="A177" s="28" t="inlineStr">
        <is>
          <t>ACC-07</t>
        </is>
      </c>
      <c r="B177" s="28" t="inlineStr">
        <is>
          <t>Access, master data &amp; controls</t>
        </is>
      </c>
      <c r="C177" s="28" t="inlineStr">
        <is>
          <t>Roles &amp; access</t>
        </is>
      </c>
      <c r="D177" s="28" t="inlineStr">
        <is>
          <t>Deactivate or reactivate an employee</t>
        </is>
      </c>
      <c r="E177" s="28" t="inlineStr">
        <is>
          <t>Turns off access on exit, keeping history, while protecting against removing the last access administrator.</t>
        </is>
      </c>
      <c r="F177" s="28" t="inlineStr">
        <is>
          <t>Exit completed, or a re-join</t>
        </is>
      </c>
      <c r="G177" s="28" t="inlineStr">
        <is>
          <t>1. HR Manager or Administrator deactivates the person (maker-checked when Employee creation &amp; deactivation is on)
2. Reports are flagged for re-assignment
3. Reactivate if they return; warns if their manager is inactive</t>
        </is>
      </c>
      <c r="H177" s="29" t="inlineStr">
        <is>
          <t>R</t>
        </is>
      </c>
      <c r="I177" s="29" t="inlineStr">
        <is>
          <t>I</t>
        </is>
      </c>
      <c r="J177" s="29" t="inlineStr"/>
      <c r="K177" s="29" t="inlineStr"/>
      <c r="L177" s="30" t="inlineStr">
        <is>
          <t>A</t>
        </is>
      </c>
      <c r="M177" s="29" t="inlineStr">
        <is>
          <t>C</t>
        </is>
      </c>
      <c r="N177" s="29" t="inlineStr"/>
      <c r="O177" s="29" t="inlineStr"/>
      <c r="P177" s="29" t="inlineStr"/>
      <c r="Q177" s="29" t="inlineStr">
        <is>
          <t>I</t>
        </is>
      </c>
      <c r="R177" s="29" t="inlineStr"/>
      <c r="S177" s="29" t="inlineStr"/>
      <c r="T177" s="28" t="inlineStr">
        <is>
          <t>Needs employees.deactivate; cannot deactivate yourself; PERMISSION_ESCALATION (only users.manage holders can deactivate an access administrator); LOCKOUT; REPORTS_ORPHANED and MANAGER_INACTIVE warnings.</t>
        </is>
      </c>
      <c r="U177" s="28" t="inlineStr">
        <is>
          <t>users.status; change_sets (entity employee)</t>
        </is>
      </c>
      <c r="V177" s="28" t="inlineStr">
        <is>
          <t>Headcount, attrition</t>
        </is>
      </c>
      <c r="W177" s="28" t="inlineStr">
        <is>
          <t>People, HR dashboard</t>
        </is>
      </c>
      <c r="X177" s="28" t="inlineStr">
        <is>
          <t>-</t>
        </is>
      </c>
      <c r="Y177" s="28" t="inlineStr">
        <is>
          <t>/people</t>
        </is>
      </c>
      <c r="Z177" s="28" t="inlineStr">
        <is>
          <t>employees.deactivate</t>
        </is>
      </c>
      <c r="AA177" s="29" t="inlineStr">
        <is>
          <t>New in v4</t>
        </is>
      </c>
      <c r="AB177" s="28" t="inlineStr">
        <is>
          <t>-</t>
        </is>
      </c>
    </row>
    <row r="178" ht="56" customHeight="1">
      <c r="A178" s="28" t="inlineStr">
        <is>
          <t>ACC-08</t>
        </is>
      </c>
      <c r="B178" s="28" t="inlineStr">
        <is>
          <t>Access, master data &amp; controls</t>
        </is>
      </c>
      <c r="C178" s="28" t="inlineStr">
        <is>
          <t>Roles &amp; access</t>
        </is>
      </c>
      <c r="D178" s="28" t="inlineStr">
        <is>
          <t>View as a role (read-only preview)</t>
        </is>
      </c>
      <c r="E178" s="28" t="inlineStr">
        <is>
          <t>Lets leadership check exactly what any role (including custom roles) sees before rolling it out.</t>
        </is>
      </c>
      <c r="F178" s="28" t="inlineStr">
        <is>
          <t>Role change or new role</t>
        </is>
      </c>
      <c r="G178" s="28" t="inlineStr">
        <is>
          <t>1. Pick View as &gt; role in the top bar
2. App shows that role's screens and data with a read-only banner
3. Exit view-as</t>
        </is>
      </c>
      <c r="H178" s="29" t="inlineStr">
        <is>
          <t>R</t>
        </is>
      </c>
      <c r="I178" s="29" t="inlineStr">
        <is>
          <t>R</t>
        </is>
      </c>
      <c r="J178" s="29" t="inlineStr"/>
      <c r="K178" s="29" t="inlineStr"/>
      <c r="L178" s="29" t="inlineStr"/>
      <c r="M178" s="29" t="inlineStr"/>
      <c r="N178" s="29" t="inlineStr"/>
      <c r="O178" s="29" t="inlineStr"/>
      <c r="P178" s="29" t="inlineStr"/>
      <c r="Q178" s="29" t="inlineStr"/>
      <c r="R178" s="29" t="inlineStr"/>
      <c r="S178" s="29" t="inlineStr"/>
      <c r="T178" s="28" t="inlineStr">
        <is>
          <t>Needs view_as (Administrator and CEO by default); any write returns VIEW_AS_READ_ONLY; changes cannot be checked while viewing as.</t>
        </is>
      </c>
      <c r="U178" s="28" t="inlineStr">
        <is>
          <t>session viewAs</t>
        </is>
      </c>
      <c r="V178" s="28" t="inlineStr">
        <is>
          <t>-</t>
        </is>
      </c>
      <c r="W178" s="28" t="inlineStr">
        <is>
          <t>-</t>
        </is>
      </c>
      <c r="X178" s="28" t="inlineStr">
        <is>
          <t>-</t>
        </is>
      </c>
      <c r="Y178" s="28" t="inlineStr">
        <is>
          <t>Top bar</t>
        </is>
      </c>
      <c r="Z178" s="28" t="inlineStr">
        <is>
          <t>view_as</t>
        </is>
      </c>
      <c r="AA178" s="29" t="inlineStr">
        <is>
          <t>New in v4</t>
        </is>
      </c>
      <c r="AB178" s="28" t="inlineStr">
        <is>
          <t>-</t>
        </is>
      </c>
    </row>
    <row r="179" ht="82" customHeight="1">
      <c r="A179" s="28" t="inlineStr">
        <is>
          <t>ACC-09</t>
        </is>
      </c>
      <c r="B179" s="28" t="inlineStr">
        <is>
          <t>Access, master data &amp; controls</t>
        </is>
      </c>
      <c r="C179" s="28" t="inlineStr">
        <is>
          <t>Roles &amp; access</t>
        </is>
      </c>
      <c r="D179" s="28" t="inlineStr">
        <is>
          <t>One login: screens, actions and data scope by permission</t>
        </is>
      </c>
      <c r="E179" s="28" t="inlineStr">
        <is>
          <t>Everyone signs in at the same place; what they see is decided by their effective permissions, never by a hard-coded role.</t>
        </is>
      </c>
      <c r="F179" s="28" t="inlineStr">
        <is>
          <t>Every sign-in and every request</t>
        </is>
      </c>
      <c r="G179" s="28" t="inlineStr">
        <is>
          <t>1. Sign in once (/login); the session carries the role name and effective permissions
2. Navigation shows only items the person has permission for; buttons hide actions they cannot take
3. The server checks the same permission on every request; data scope follows *_view_all permissions, else own / team</t>
        </is>
      </c>
      <c r="H179" s="30" t="inlineStr">
        <is>
          <t>A</t>
        </is>
      </c>
      <c r="I179" s="29" t="inlineStr">
        <is>
          <t>I</t>
        </is>
      </c>
      <c r="J179" s="29" t="inlineStr">
        <is>
          <t>I</t>
        </is>
      </c>
      <c r="K179" s="29" t="inlineStr">
        <is>
          <t>I</t>
        </is>
      </c>
      <c r="L179" s="29" t="inlineStr">
        <is>
          <t>I</t>
        </is>
      </c>
      <c r="M179" s="29" t="inlineStr">
        <is>
          <t>I</t>
        </is>
      </c>
      <c r="N179" s="29" t="inlineStr">
        <is>
          <t>I</t>
        </is>
      </c>
      <c r="O179" s="29" t="inlineStr">
        <is>
          <t>I</t>
        </is>
      </c>
      <c r="P179" s="29" t="inlineStr">
        <is>
          <t>I</t>
        </is>
      </c>
      <c r="Q179" s="29" t="inlineStr"/>
      <c r="R179" s="29" t="inlineStr"/>
      <c r="S179" s="29" t="inlineStr"/>
      <c r="T179" s="28" t="inlineStr">
        <is>
          <t>Effective permissions = role + extra - revoked; persona only picks the home dashboard; FORBIDDEN (403) for actions without the permission.</t>
        </is>
      </c>
      <c r="U179" s="28" t="inlineStr">
        <is>
          <t>session (permissions, role_name)</t>
        </is>
      </c>
      <c r="V179" s="28" t="inlineStr">
        <is>
          <t>-</t>
        </is>
      </c>
      <c r="W179" s="28" t="inlineStr">
        <is>
          <t>All</t>
        </is>
      </c>
      <c r="X179" s="28" t="inlineStr">
        <is>
          <t>-</t>
        </is>
      </c>
      <c r="Y179" s="28" t="inlineStr">
        <is>
          <t>All screens</t>
        </is>
      </c>
      <c r="Z179" s="28" t="inlineStr">
        <is>
          <t>-</t>
        </is>
      </c>
      <c r="AA179" s="29" t="inlineStr">
        <is>
          <t>New in v4</t>
        </is>
      </c>
      <c r="AB179" s="28" t="inlineStr">
        <is>
          <t>-</t>
        </is>
      </c>
    </row>
    <row r="180" ht="82" customHeight="1">
      <c r="A180" s="28" t="inlineStr">
        <is>
          <t>MC-01</t>
        </is>
      </c>
      <c r="B180" s="28" t="inlineStr">
        <is>
          <t>Access, master data &amp; controls</t>
        </is>
      </c>
      <c r="C180" s="28" t="inlineStr">
        <is>
          <t>Maker-checker</t>
        </is>
      </c>
      <c r="D180" s="28" t="inlineStr">
        <is>
          <t>Propose a sensitive change (maker)</t>
        </is>
      </c>
      <c r="E180" s="28" t="inlineStr">
        <is>
          <t>A sensitive change (roles, access, salaries, payroll finalisation, vendor bank / tax, workflows, org profile...) is captured as a proposal with before / after, instead of being applied by one person.</t>
        </is>
      </c>
      <c r="F180" s="28" t="inlineStr">
        <is>
          <t>Someone saves a change of an entity that is maker-checked in their workspace</t>
        </is>
      </c>
      <c r="G180" s="28" t="inlineStr">
        <is>
          <t>1. Maker edits as usual and saves
2. System validates, then stores a change set (summary, before, after, required permission, base version) and tells the maker who can approve ("Sent to ... for approval")
3. Eligible checkers get NTF-04 linking to Changes; the record shows "waiting for approval"</t>
        </is>
      </c>
      <c r="H180" s="29" t="inlineStr">
        <is>
          <t>R</t>
        </is>
      </c>
      <c r="I180" s="29" t="inlineStr">
        <is>
          <t>R</t>
        </is>
      </c>
      <c r="J180" s="29" t="inlineStr"/>
      <c r="K180" s="29" t="inlineStr"/>
      <c r="L180" s="29" t="inlineStr">
        <is>
          <t>R</t>
        </is>
      </c>
      <c r="M180" s="29" t="inlineStr"/>
      <c r="N180" s="29" t="inlineStr"/>
      <c r="O180" s="29" t="inlineStr"/>
      <c r="P180" s="29" t="inlineStr"/>
      <c r="Q180" s="29" t="inlineStr"/>
      <c r="R180" s="29" t="inlineStr"/>
      <c r="S180" s="29" t="inlineStr"/>
      <c r="T180" s="28" t="inlineStr">
        <is>
          <t>CHANGE_PENDING (one pending change per record); NO_CHECKER (refused when nobody else holds Check changes + the change's permission; never self-approved).</t>
        </is>
      </c>
      <c r="U180" s="28" t="inlineStr">
        <is>
          <t>change_sets (entity, entity_id, action, summary, before, after, payload, maker_id, required_permission, base_version, status)</t>
        </is>
      </c>
      <c r="V180" s="28" t="inlineStr">
        <is>
          <t>Changes waiting</t>
        </is>
      </c>
      <c r="W180" s="28" t="inlineStr">
        <is>
          <t>Changes (My changes)</t>
        </is>
      </c>
      <c r="X180" s="28" t="inlineStr">
        <is>
          <t>NTF-04 to eligible checkers</t>
        </is>
      </c>
      <c r="Y180" s="28" t="inlineStr">
        <is>
          <t>/changes</t>
        </is>
      </c>
      <c r="Z180" s="28" t="inlineStr">
        <is>
          <t>-</t>
        </is>
      </c>
      <c r="AA180" s="29" t="inlineStr">
        <is>
          <t>New in v4</t>
        </is>
      </c>
      <c r="AB180" s="28" t="inlineStr">
        <is>
          <t>Makers are whoever holds the permission for that change; in Seereon that is mainly the Administrator, CEO and HR Manager.</t>
        </is>
      </c>
    </row>
    <row r="181" ht="95" customHeight="1">
      <c r="A181" s="28" t="inlineStr">
        <is>
          <t>MC-02</t>
        </is>
      </c>
      <c r="B181" s="28" t="inlineStr">
        <is>
          <t>Access, master data &amp; controls</t>
        </is>
      </c>
      <c r="C181" s="28" t="inlineStr">
        <is>
          <t>Maker-checker</t>
        </is>
      </c>
      <c r="D181" s="28" t="inlineStr">
        <is>
          <t>Check a change: approve or reject (checker)</t>
        </is>
      </c>
      <c r="E181" s="28" t="inlineStr">
        <is>
          <t>A second person reviews the before / after and approves (the change applies) or rejects with a reason.</t>
        </is>
      </c>
      <c r="F181" s="28" t="inlineStr">
        <is>
          <t>Change waiting in Changes &gt; To check</t>
        </is>
      </c>
      <c r="G181" s="28" t="inlineStr">
        <is>
          <t>1. Checker opens Changes &gt; To check (overdue after the maker-checker SLA)
2. Reviews summary, before / after and who proposed it
3. Approve (optional note): the change is applied now; or Reject with a reason (&gt;= 10 characters)
4. Maker is notified (NTF-05); the audit trail records maker and checker</t>
        </is>
      </c>
      <c r="H181" s="29" t="inlineStr">
        <is>
          <t>R</t>
        </is>
      </c>
      <c r="I181" s="30" t="inlineStr">
        <is>
          <t>A</t>
        </is>
      </c>
      <c r="J181" s="29" t="inlineStr">
        <is>
          <t>I</t>
        </is>
      </c>
      <c r="K181" s="29" t="inlineStr"/>
      <c r="L181" s="29" t="inlineStr">
        <is>
          <t>R</t>
        </is>
      </c>
      <c r="M181" s="29" t="inlineStr"/>
      <c r="N181" s="29" t="inlineStr"/>
      <c r="O181" s="29" t="inlineStr"/>
      <c r="P181" s="29" t="inlineStr"/>
      <c r="Q181" s="29" t="inlineStr"/>
      <c r="R181" s="29" t="inlineStr"/>
      <c r="S181" s="29" t="inlineStr"/>
      <c r="T181" s="28" t="inlineStr">
        <is>
          <t>MAKER_CANNOT_CHECK (409); checker needs makerchecker.check AND the change's required permission (FORBIDDEN); REASON_REQUIRED (reject reason &gt;= 10); STALE: if the record changed after the proposal, approval fails and the change is marked failed; INVALID_STATE (already decided); not while viewing as.</t>
        </is>
      </c>
      <c r="U181" s="28" t="inlineStr">
        <is>
          <t>change_sets (checker_id, decided_at, reason, applied_at, result_id, error, status approved / rejected / failed)</t>
        </is>
      </c>
      <c r="V181" s="28" t="inlineStr">
        <is>
          <t>Changes decided, overdue changes</t>
        </is>
      </c>
      <c r="W181" s="28" t="inlineStr">
        <is>
          <t>Changes (To check, History); Audit trail</t>
        </is>
      </c>
      <c r="X181" s="28" t="inlineStr">
        <is>
          <t>NTF-05 to the maker</t>
        </is>
      </c>
      <c r="Y181" s="28" t="inlineStr">
        <is>
          <t>/changes</t>
        </is>
      </c>
      <c r="Z181" s="28" t="inlineStr">
        <is>
          <t>makerchecker.check</t>
        </is>
      </c>
      <c r="AA181" s="29" t="inlineStr">
        <is>
          <t>New in v4</t>
        </is>
      </c>
      <c r="AB181" s="28" t="inlineStr">
        <is>
          <t>By default the CTO holds makerchecker.check but none of the required permissions, so the CTO cannot check any change type until a role edit adds them.</t>
        </is>
      </c>
    </row>
    <row r="182" ht="56" customHeight="1">
      <c r="A182" s="28" t="inlineStr">
        <is>
          <t>MC-03</t>
        </is>
      </c>
      <c r="B182" s="28" t="inlineStr">
        <is>
          <t>Access, master data &amp; controls</t>
        </is>
      </c>
      <c r="C182" s="28" t="inlineStr">
        <is>
          <t>Maker-checker</t>
        </is>
      </c>
      <c r="D182" s="28" t="inlineStr">
        <is>
          <t>Withdraw a pending change</t>
        </is>
      </c>
      <c r="E182" s="28" t="inlineStr">
        <is>
          <t>Lets the maker pull back a proposal that is wrong or no longer needed, which also frees the record for a new proposal.</t>
        </is>
      </c>
      <c r="F182" s="28" t="inlineStr">
        <is>
          <t>Maker spots a mistake or the need has gone</t>
        </is>
      </c>
      <c r="G182" s="28" t="inlineStr">
        <is>
          <t>1. Maker opens Changes &gt; My changes
2. Withdraw the pending change
3. Record is free for a new proposal</t>
        </is>
      </c>
      <c r="H182" s="29" t="inlineStr">
        <is>
          <t>R</t>
        </is>
      </c>
      <c r="I182" s="29" t="inlineStr">
        <is>
          <t>R</t>
        </is>
      </c>
      <c r="J182" s="29" t="inlineStr"/>
      <c r="K182" s="29" t="inlineStr"/>
      <c r="L182" s="29" t="inlineStr">
        <is>
          <t>R</t>
        </is>
      </c>
      <c r="M182" s="29" t="inlineStr"/>
      <c r="N182" s="29" t="inlineStr"/>
      <c r="O182" s="29" t="inlineStr"/>
      <c r="P182" s="29" t="inlineStr"/>
      <c r="Q182" s="29" t="inlineStr"/>
      <c r="R182" s="29" t="inlineStr"/>
      <c r="S182" s="29" t="inlineStr"/>
      <c r="T182" s="28" t="inlineStr">
        <is>
          <t>Only the maker can withdraw (FORBIDDEN otherwise); only pending changes (INVALID_STATE).</t>
        </is>
      </c>
      <c r="U182" s="28" t="inlineStr">
        <is>
          <t>change_sets.status = withdrawn</t>
        </is>
      </c>
      <c r="V182" s="28" t="inlineStr">
        <is>
          <t>-</t>
        </is>
      </c>
      <c r="W182" s="28" t="inlineStr">
        <is>
          <t>Changes (My changes)</t>
        </is>
      </c>
      <c r="X182" s="28" t="inlineStr">
        <is>
          <t>-</t>
        </is>
      </c>
      <c r="Y182" s="28" t="inlineStr">
        <is>
          <t>/changes</t>
        </is>
      </c>
      <c r="Z182" s="28" t="inlineStr">
        <is>
          <t>-</t>
        </is>
      </c>
      <c r="AA182" s="29" t="inlineStr">
        <is>
          <t>New in v4</t>
        </is>
      </c>
      <c r="AB182" s="28" t="inlineStr">
        <is>
          <t>-</t>
        </is>
      </c>
    </row>
    <row r="183" ht="108" customHeight="1">
      <c r="A183" s="28" t="inlineStr">
        <is>
          <t>MC-04</t>
        </is>
      </c>
      <c r="B183" s="28" t="inlineStr">
        <is>
          <t>Access, master data &amp; controls</t>
        </is>
      </c>
      <c r="C183" s="28" t="inlineStr">
        <is>
          <t>Maker-checker</t>
        </is>
      </c>
      <c r="D183" s="28" t="inlineStr">
        <is>
          <t>Configure maker-checker</t>
        </is>
      </c>
      <c r="E183" s="28" t="inlineStr">
        <is>
          <t>Chooses which kinds of change need a second person and the checking deadline; the settings change itself is maker-checked.</t>
        </is>
      </c>
      <c r="F183" s="28" t="inlineStr">
        <is>
          <t>Set-up, or a control review</t>
        </is>
      </c>
      <c r="G183" s="28" t="inlineStr">
        <is>
          <t>1. Open Setup &gt; Maker-checker
2. Turn maker-checker on, tick the change types (Access, Money, Configuration groups) and set the SLA (1-10 working days)
3. See who can check each change type; warning for types nobody else can check
4. Save: proposed and approved like any other change while maker-checker is on</t>
        </is>
      </c>
      <c r="H183" s="29" t="inlineStr">
        <is>
          <t>R</t>
        </is>
      </c>
      <c r="I183" s="30" t="inlineStr">
        <is>
          <t>A</t>
        </is>
      </c>
      <c r="J183" s="29" t="inlineStr"/>
      <c r="K183" s="29" t="inlineStr"/>
      <c r="L183" s="29" t="inlineStr"/>
      <c r="M183" s="29" t="inlineStr"/>
      <c r="N183" s="29" t="inlineStr"/>
      <c r="O183" s="29" t="inlineStr"/>
      <c r="P183" s="29" t="inlineStr"/>
      <c r="Q183" s="29" t="inlineStr"/>
      <c r="R183" s="29" t="inlineStr"/>
      <c r="S183" s="29" t="inlineStr"/>
      <c r="T183" s="28" t="inlineStr">
        <is>
          <t>Needs makerchecker.configure; SLA 1-10 working days; NO_CHECKER (cannot turn on without another person holding Check changes); NO_CHECKER_FOR warning per type; NO_CHANGE; Maker-checker settings are always checked while maker-checker is on.</t>
        </is>
      </c>
      <c r="U183" s="28" t="inlineStr">
        <is>
          <t>tenant.maker_checker (enabled, entities[], sla_days)</t>
        </is>
      </c>
      <c r="V183" s="28" t="inlineStr">
        <is>
          <t>Change types under control</t>
        </is>
      </c>
      <c r="W183" s="28" t="inlineStr">
        <is>
          <t>Maker-checker sheet; Setup &gt; Maker-checker</t>
        </is>
      </c>
      <c r="X183" s="28" t="inlineStr">
        <is>
          <t>NTF-04 / NTF-05</t>
        </is>
      </c>
      <c r="Y183" s="28" t="inlineStr">
        <is>
          <t>/setup/maker-checker</t>
        </is>
      </c>
      <c r="Z183" s="28" t="inlineStr">
        <is>
          <t>makerchecker.configure</t>
        </is>
      </c>
      <c r="AA183" s="29" t="inlineStr">
        <is>
          <t>New in v4</t>
        </is>
      </c>
      <c r="AB183" s="28" t="inlineStr">
        <is>
          <t>-</t>
        </is>
      </c>
    </row>
    <row r="184" ht="121" customHeight="1">
      <c r="A184" s="28" t="inlineStr">
        <is>
          <t>WF-01</t>
        </is>
      </c>
      <c r="B184" s="28" t="inlineStr">
        <is>
          <t>Access, master data &amp; controls</t>
        </is>
      </c>
      <c r="C184" s="28" t="inlineStr">
        <is>
          <t>Approval workflows</t>
        </is>
      </c>
      <c r="D184" s="28" t="inlineStr">
        <is>
          <t>Configure an approval workflow</t>
        </is>
      </c>
      <c r="E184" s="28" t="inlineStr">
        <is>
          <t>Lets the company decide who approves leave, expenses, purchase orders, vendor bills, timesheets and task reviews, in which order, above which amount and how fast.</t>
        </is>
      </c>
      <c r="F184" s="28" t="inlineStr">
        <is>
          <t>Set-up, policy change, new approval limit</t>
        </is>
      </c>
      <c r="G184" s="28" t="inlineStr">
        <is>
          <t>1. Open Setup &gt; Approval workflows and pick the process
2. Edit steps: name, approver type (reporting manager, manager's manager, role, person, project PM, PM else manager, department head, task reviewer), amount threshold, SLA, escalation, allow self
3. Save (maker-checked in Seereon), or Reset to the default steps
4. Requests already waiting keep their approvers; new submissions use the new chain</t>
        </is>
      </c>
      <c r="H184" s="29" t="inlineStr">
        <is>
          <t>R</t>
        </is>
      </c>
      <c r="I184" s="30" t="inlineStr">
        <is>
          <t>A</t>
        </is>
      </c>
      <c r="J184" s="29" t="inlineStr">
        <is>
          <t>C</t>
        </is>
      </c>
      <c r="K184" s="29" t="inlineStr"/>
      <c r="L184" s="29" t="inlineStr">
        <is>
          <t>C</t>
        </is>
      </c>
      <c r="M184" s="29" t="inlineStr"/>
      <c r="N184" s="29" t="inlineStr"/>
      <c r="O184" s="29" t="inlineStr"/>
      <c r="P184" s="29" t="inlineStr"/>
      <c r="Q184" s="29" t="inlineStr">
        <is>
          <t>I</t>
        </is>
      </c>
      <c r="R184" s="29" t="inlineStr"/>
      <c r="S184" s="29" t="inlineStr"/>
      <c r="T184" s="28" t="inlineStr">
        <is>
          <t>WF_STEPS (1-5 steps); WF_APPROVER (task reviewer only for task reviews; project approvers only where requests carry a project); WF_ROLE / WF_USER (active only); WF_NAME 2-60; WF_AMOUNT (only for expense / PO / vendor bill; &gt;= 0) and WF_AMOUNT_ORDER (thresholds must rise); WF_SLA 1-15 working days; WF_ESCALATION (not to the same approver); WF_NO_BASE_STEP (every step has a threshold) unless acknowledged; workflow name 3-80; NO_CHANGE; STALE.</t>
        </is>
      </c>
      <c r="U184" s="28" t="inlineStr">
        <is>
          <t>approval_workflows (process, name, steps[], require_reason_on_reject, notify_requester)</t>
        </is>
      </c>
      <c r="V184" s="28" t="inlineStr">
        <is>
          <t>Approval SLA %, escalations</t>
        </is>
      </c>
      <c r="W184" s="28" t="inlineStr">
        <is>
          <t>Approval workflows sheet; Setup &gt; Approval workflows</t>
        </is>
      </c>
      <c r="X184" s="28" t="inlineStr">
        <is>
          <t>NTF-04 / NTF-05 (maker-checker)</t>
        </is>
      </c>
      <c r="Y184" s="28" t="inlineStr">
        <is>
          <t>/setup/workflows</t>
        </is>
      </c>
      <c r="Z184" s="28" t="inlineStr">
        <is>
          <t>workflows.manage</t>
        </is>
      </c>
      <c r="AA184" s="29" t="inlineStr">
        <is>
          <t>New in v4</t>
        </is>
      </c>
      <c r="AB184" s="28" t="inlineStr">
        <is>
          <t>-</t>
        </is>
      </c>
    </row>
    <row r="185" ht="69" customHeight="1">
      <c r="A185" s="28" t="inlineStr">
        <is>
          <t>WF-02</t>
        </is>
      </c>
      <c r="B185" s="28" t="inlineStr">
        <is>
          <t>Access, master data &amp; controls</t>
        </is>
      </c>
      <c r="C185" s="28" t="inlineStr">
        <is>
          <t>Approval workflows</t>
        </is>
      </c>
      <c r="D185" s="28" t="inlineStr">
        <is>
          <t>Test (simulate) a workflow</t>
        </is>
      </c>
      <c r="E185" s="28" t="inlineStr">
        <is>
          <t>Shows who would approve a sample request before the workflow is saved, including skipped steps and why.</t>
        </is>
      </c>
      <c r="F185" s="28" t="inlineStr">
        <is>
          <t>Before saving a workflow change</t>
        </is>
      </c>
      <c r="G185" s="28" t="inlineStr">
        <is>
          <t>1. In the workflow editor open "Test this workflow"
2. Pick a requester, amount and project
3. See the resolved chain (approver, SLA, escalation) and skipped steps (below threshold, nobody matches, self, same as previous)</t>
        </is>
      </c>
      <c r="H185" s="29" t="inlineStr">
        <is>
          <t>R</t>
        </is>
      </c>
      <c r="I185" s="29" t="inlineStr">
        <is>
          <t>I</t>
        </is>
      </c>
      <c r="J185" s="29" t="inlineStr">
        <is>
          <t>I</t>
        </is>
      </c>
      <c r="K185" s="29" t="inlineStr"/>
      <c r="L185" s="29" t="inlineStr">
        <is>
          <t>R</t>
        </is>
      </c>
      <c r="M185" s="29" t="inlineStr"/>
      <c r="N185" s="29" t="inlineStr"/>
      <c r="O185" s="29" t="inlineStr"/>
      <c r="P185" s="29" t="inlineStr"/>
      <c r="Q185" s="29" t="inlineStr"/>
      <c r="R185" s="29" t="inlineStr"/>
      <c r="S185" s="29" t="inlineStr"/>
      <c r="T185" s="28" t="inlineStr">
        <is>
          <t>Needs workflows.manage or master.view; VAL_AMOUNT (&gt;= 0); top person's own leave / timesheet is auto-approved; if nobody can approve, the CEO (top approver) is the fallback.</t>
        </is>
      </c>
      <c r="U185" s="28" t="inlineStr">
        <is>
          <t>-</t>
        </is>
      </c>
      <c r="V185" s="28" t="inlineStr">
        <is>
          <t>-</t>
        </is>
      </c>
      <c r="W185" s="28" t="inlineStr">
        <is>
          <t>Setup &gt; Approval workflows</t>
        </is>
      </c>
      <c r="X185" s="28" t="inlineStr">
        <is>
          <t>-</t>
        </is>
      </c>
      <c r="Y185" s="28" t="inlineStr">
        <is>
          <t>/setup/workflows</t>
        </is>
      </c>
      <c r="Z185" s="28" t="inlineStr">
        <is>
          <t>workflows.manage|master.view</t>
        </is>
      </c>
      <c r="AA185" s="29" t="inlineStr">
        <is>
          <t>New in v4</t>
        </is>
      </c>
      <c r="AB185" s="28" t="inlineStr">
        <is>
          <t>-</t>
        </is>
      </c>
    </row>
    <row r="186" ht="121" customHeight="1">
      <c r="A186" s="28" t="inlineStr">
        <is>
          <t>WF-03</t>
        </is>
      </c>
      <c r="B186" s="28" t="inlineStr">
        <is>
          <t>Access, master data &amp; controls</t>
        </is>
      </c>
      <c r="C186" s="28" t="inlineStr">
        <is>
          <t>Approval workflows</t>
        </is>
      </c>
      <c r="D186" s="28" t="inlineStr">
        <is>
          <t>Multi-step routing, SLA and escalation at run time</t>
        </is>
      </c>
      <c r="E186" s="28" t="inlineStr">
        <is>
          <t>Every request follows the chain frozen at submission: step by step, with an SLA per step and escalation when a step overruns.</t>
        </is>
      </c>
      <c r="F186" s="28" t="inlineStr">
        <is>
          <t>Request submitted (leave, expense, PO, vendor bill, timesheet, task review)</t>
        </is>
      </c>
      <c r="G186" s="28" t="inlineStr">
        <is>
          <t>1. On submit the chain is resolved and stored on the request (steps below their threshold, self-approval and duplicates are skipped)
2. Inbox shows "Step n of m" and the step's due date
3. Approver approves: next step starts (consecutive steps of the same person are approved in one act); rejection ends the request
4. Past the step SLA, the item escalates to the step's escalation target and both are notified</t>
        </is>
      </c>
      <c r="H186" s="30" t="inlineStr">
        <is>
          <t>A</t>
        </is>
      </c>
      <c r="I186" s="29" t="inlineStr">
        <is>
          <t>R</t>
        </is>
      </c>
      <c r="J186" s="29" t="inlineStr">
        <is>
          <t>R</t>
        </is>
      </c>
      <c r="K186" s="29" t="inlineStr">
        <is>
          <t>R</t>
        </is>
      </c>
      <c r="L186" s="29" t="inlineStr">
        <is>
          <t>I</t>
        </is>
      </c>
      <c r="M186" s="29" t="inlineStr"/>
      <c r="N186" s="29" t="inlineStr">
        <is>
          <t>R</t>
        </is>
      </c>
      <c r="O186" s="29" t="inlineStr"/>
      <c r="P186" s="29" t="inlineStr">
        <is>
          <t>I</t>
        </is>
      </c>
      <c r="Q186" s="29" t="inlineStr">
        <is>
          <t>R</t>
        </is>
      </c>
      <c r="R186" s="29" t="inlineStr"/>
      <c r="S186" s="29" t="inlineStr"/>
      <c r="T186" s="28" t="inlineStr">
        <is>
          <t>No self-approval unless the step allows it; empty chain -&gt; top approver (CEO); top person's own leave and timesheets auto-approved; editing a workflow never re-routes waiting requests.</t>
        </is>
      </c>
      <c r="U186" s="28" t="inlineStr">
        <is>
          <t>wf_process, wf_chain, wf_step, wf_step_at on leave_requests, expense_claims, purchase_orders, vendor_bills, timesheet_weeks, tasks</t>
        </is>
      </c>
      <c r="V186" s="28" t="inlineStr">
        <is>
          <t>Approval SLA %, Approval KPI, escalations</t>
        </is>
      </c>
      <c r="W186" s="28" t="inlineStr">
        <is>
          <t>Approvals inbox; Approvals &amp; SLAs sheet</t>
        </is>
      </c>
      <c r="X186" s="28" t="inlineStr">
        <is>
          <t>NTF-04 (to approver, and on escalation)</t>
        </is>
      </c>
      <c r="Y186" s="28" t="inlineStr">
        <is>
          <t>/inbox</t>
        </is>
      </c>
      <c r="Z186" s="28" t="inlineStr">
        <is>
          <t>approvals.act</t>
        </is>
      </c>
      <c r="AA186" s="29" t="inlineStr">
        <is>
          <t>New in v4</t>
        </is>
      </c>
      <c r="AB186" s="28" t="inlineStr">
        <is>
          <t>Escalation is evaluated when the inbox is read (lazy), not by a background job.</t>
        </is>
      </c>
    </row>
  </sheetData>
  <autoFilter ref="A1:AB186"/>
  <conditionalFormatting sqref="AA2:AA186">
    <cfRule type="expression" priority="1" dxfId="0">
      <formula>$AA2="Live"</formula>
    </cfRule>
    <cfRule type="expression" priority="2" dxfId="1">
      <formula>$AA2="Extended"</formula>
    </cfRule>
    <cfRule type="expression" priority="3" dxfId="2">
      <formula>$AA2="New in v3"</formula>
    </cfRule>
    <cfRule type="expression" priority="4" dxfId="3">
      <formula>$AA2="New in v4"</formula>
    </cfRule>
    <cfRule type="expression" priority="5" dxfId="4">
      <formula>$AA2="Planned"</formula>
    </cfRule>
  </conditionalFormatting>
  <printOptions gridLines="0"/>
  <pageMargins left="0.4" right="0.4" top="1" bottom="1" header="0.5" footer="0.5"/>
  <pageSetup orientation="landscape" paperSize="9" fitToHeight="0" fitToWidth="1"/>
  <headerFooter>
    <oddHeader/>
    <oddFooter>&amp;C&amp;8SeereonOS Business Process Catalogue v4 - page &amp;P of &amp;N</oddFooter>
    <evenHeader/>
    <evenFooter/>
    <firstHeader/>
    <firstFooter/>
  </headerFooter>
</worksheet>
</file>

<file path=xl/worksheets/sheet3.xml><?xml version="1.0" encoding="utf-8"?>
<worksheet xmlns="http://schemas.openxmlformats.org/spreadsheetml/2006/main">
  <sheetPr>
    <tabColor rgb="000C6B4E"/>
    <outlinePr summaryBelow="1" summaryRight="1"/>
    <pageSetUpPr fitToPage="1"/>
  </sheetPr>
  <dimension ref="A1:H95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10" customWidth="1" min="2" max="2"/>
    <col width="22" customWidth="1" min="3" max="3"/>
    <col width="34" customWidth="1" min="4" max="4"/>
    <col width="7" customWidth="1" min="5" max="5"/>
    <col width="64" customWidth="1" min="6" max="6"/>
    <col width="26" customWidth="1" min="7" max="7"/>
    <col width="11" customWidth="1" min="8" max="8"/>
  </cols>
  <sheetData>
    <row r="1" ht="30" customHeight="1">
      <c r="A1" s="25" t="inlineStr">
        <is>
          <t>Role</t>
        </is>
      </c>
      <c r="B1" s="25" t="inlineStr">
        <is>
          <t>Process ID</t>
        </is>
      </c>
      <c r="C1" s="25" t="inlineStr">
        <is>
          <t>Domain</t>
        </is>
      </c>
      <c r="D1" s="25" t="inlineStr">
        <is>
          <t>Process</t>
        </is>
      </c>
      <c r="E1" s="27" t="inlineStr">
        <is>
          <t>RACI</t>
        </is>
      </c>
      <c r="F1" s="25" t="inlineStr">
        <is>
          <t>What they actually do / see</t>
        </is>
      </c>
      <c r="G1" s="25" t="inlineStr">
        <is>
          <t>Screen / route</t>
        </is>
      </c>
      <c r="H1" s="27" t="inlineStr">
        <is>
          <t>Status</t>
        </is>
      </c>
    </row>
    <row r="2" ht="17" customHeight="1">
      <c r="A2" s="28" t="inlineStr">
        <is>
          <t>Administrator</t>
        </is>
      </c>
      <c r="B2" s="28" t="inlineStr">
        <is>
          <t>WS-01</t>
        </is>
      </c>
      <c r="C2" s="28" t="inlineStr">
        <is>
          <t>Workspace &amp; access</t>
        </is>
      </c>
      <c r="D2" s="28" t="inlineStr">
        <is>
          <t>Company sign-up and 14-day trial</t>
        </is>
      </c>
      <c r="E2" s="29" t="inlineStr">
        <is>
          <t>R</t>
        </is>
      </c>
      <c r="F2" s="28" t="inlineStr">
        <is>
          <t>Does it: carries out "Company sign-up and 14-day trial" in /signup.</t>
        </is>
      </c>
      <c r="G2" s="28" t="inlineStr">
        <is>
          <t>/signup</t>
        </is>
      </c>
      <c r="H2" s="29" t="inlineStr">
        <is>
          <t>Extended</t>
        </is>
      </c>
    </row>
    <row r="3" ht="30" customHeight="1">
      <c r="A3" s="28" t="inlineStr">
        <is>
          <t>Administrator</t>
        </is>
      </c>
      <c r="B3" s="28" t="inlineStr">
        <is>
          <t>WS-02</t>
        </is>
      </c>
      <c r="C3" s="28" t="inlineStr">
        <is>
          <t>Workspace &amp; access</t>
        </is>
      </c>
      <c r="D3" s="28" t="inlineStr">
        <is>
          <t>Onboarding checklist and sample data</t>
        </is>
      </c>
      <c r="E3" s="29" t="inlineStr">
        <is>
          <t>R</t>
        </is>
      </c>
      <c r="F3" s="28" t="inlineStr">
        <is>
          <t>Does it: carries out "Onboarding checklist and sample data" in /home, /onboarding.</t>
        </is>
      </c>
      <c r="G3" s="28" t="inlineStr">
        <is>
          <t>/home, /onboarding</t>
        </is>
      </c>
      <c r="H3" s="29" t="inlineStr">
        <is>
          <t>Extended</t>
        </is>
      </c>
    </row>
    <row r="4" ht="30" customHeight="1">
      <c r="A4" s="28" t="inlineStr">
        <is>
          <t>Administrator</t>
        </is>
      </c>
      <c r="B4" s="28" t="inlineStr">
        <is>
          <t>WS-03</t>
        </is>
      </c>
      <c r="C4" s="28" t="inlineStr">
        <is>
          <t>Workspace &amp; access</t>
        </is>
      </c>
      <c r="D4" s="28" t="inlineStr">
        <is>
          <t>Sign in, lockout and password reset</t>
        </is>
      </c>
      <c r="E4" s="29" t="inlineStr">
        <is>
          <t>R</t>
        </is>
      </c>
      <c r="F4" s="28" t="inlineStr">
        <is>
          <t>Does it: carries out "Sign in, lockout and password reset" in /login, /reset-password.</t>
        </is>
      </c>
      <c r="G4" s="28" t="inlineStr">
        <is>
          <t>/login, /reset-password</t>
        </is>
      </c>
      <c r="H4" s="29" t="inlineStr">
        <is>
          <t>Extended</t>
        </is>
      </c>
    </row>
    <row r="5" ht="30" customHeight="1">
      <c r="A5" s="28" t="inlineStr">
        <is>
          <t>Administrator</t>
        </is>
      </c>
      <c r="B5" s="28" t="inlineStr">
        <is>
          <t>WS-04</t>
        </is>
      </c>
      <c r="C5" s="28" t="inlineStr">
        <is>
          <t>Workspace &amp; access</t>
        </is>
      </c>
      <c r="D5" s="28" t="inlineStr">
        <is>
          <t>Invite people (single or bulk CSV) and accept invitation</t>
        </is>
      </c>
      <c r="E5" s="29" t="inlineStr">
        <is>
          <t>R</t>
        </is>
      </c>
      <c r="F5" s="28" t="inlineStr">
        <is>
          <t>Does it: carries out "Invite people (single or bulk CSV) and accept invitation" in /people, /invite/:token.</t>
        </is>
      </c>
      <c r="G5" s="28" t="inlineStr">
        <is>
          <t>/people, /invite/:token</t>
        </is>
      </c>
      <c r="H5" s="29" t="inlineStr">
        <is>
          <t>Extended</t>
        </is>
      </c>
    </row>
    <row r="6" ht="30" customHeight="1">
      <c r="A6" s="28" t="inlineStr">
        <is>
          <t>Administrator</t>
        </is>
      </c>
      <c r="B6" s="28" t="inlineStr">
        <is>
          <t>WS-05</t>
        </is>
      </c>
      <c r="C6" s="28" t="inlineStr">
        <is>
          <t>Workspace &amp; access</t>
        </is>
      </c>
      <c r="D6" s="28" t="inlineStr">
        <is>
          <t>Roles, reporting lines and access grants</t>
        </is>
      </c>
      <c r="E6" s="29" t="inlineStr">
        <is>
          <t>R</t>
        </is>
      </c>
      <c r="F6" s="28" t="inlineStr">
        <is>
          <t>Does it: carries out "Roles, reporting lines and access grants" in /people.</t>
        </is>
      </c>
      <c r="G6" s="28" t="inlineStr">
        <is>
          <t>/people</t>
        </is>
      </c>
      <c r="H6" s="29" t="inlineStr">
        <is>
          <t>Extended</t>
        </is>
      </c>
    </row>
    <row r="7" ht="17" customHeight="1">
      <c r="A7" s="28" t="inlineStr">
        <is>
          <t>Administrator</t>
        </is>
      </c>
      <c r="B7" s="28" t="inlineStr">
        <is>
          <t>WS-07</t>
        </is>
      </c>
      <c r="C7" s="28" t="inlineStr">
        <is>
          <t>Workspace &amp; access</t>
        </is>
      </c>
      <c r="D7" s="28" t="inlineStr">
        <is>
          <t>View as another role</t>
        </is>
      </c>
      <c r="E7" s="29" t="inlineStr">
        <is>
          <t>R</t>
        </is>
      </c>
      <c r="F7" s="28" t="inlineStr">
        <is>
          <t>Does it: carries out "View as another role" in Top bar (admin).</t>
        </is>
      </c>
      <c r="G7" s="28" t="inlineStr">
        <is>
          <t>Top bar (admin)</t>
        </is>
      </c>
      <c r="H7" s="29" t="inlineStr">
        <is>
          <t>Extended</t>
        </is>
      </c>
    </row>
    <row r="8" ht="43" customHeight="1">
      <c r="A8" s="28" t="inlineStr">
        <is>
          <t>Administrator</t>
        </is>
      </c>
      <c r="B8" s="28" t="inlineStr">
        <is>
          <t>WS-08</t>
        </is>
      </c>
      <c r="C8" s="28" t="inlineStr">
        <is>
          <t>Workspace &amp; access</t>
        </is>
      </c>
      <c r="D8" s="28" t="inlineStr">
        <is>
          <t>Security, two-step verification and personal settings</t>
        </is>
      </c>
      <c r="E8" s="29" t="inlineStr">
        <is>
          <t>R</t>
        </is>
      </c>
      <c r="F8" s="28" t="inlineStr">
        <is>
          <t>Does it: carries out "Security, two-step verification and personal settings" in /settings/security, /settings/profile, /settings/appearance.</t>
        </is>
      </c>
      <c r="G8" s="28" t="inlineStr">
        <is>
          <t>/settings/security, /settings/profile, /settings/appearance</t>
        </is>
      </c>
      <c r="H8" s="29" t="inlineStr">
        <is>
          <t>Live</t>
        </is>
      </c>
    </row>
    <row r="9" ht="17" customHeight="1">
      <c r="A9" s="28" t="inlineStr">
        <is>
          <t>Administrator</t>
        </is>
      </c>
      <c r="B9" s="28" t="inlineStr">
        <is>
          <t>WS-09</t>
        </is>
      </c>
      <c r="C9" s="28" t="inlineStr">
        <is>
          <t>Workspace &amp; access</t>
        </is>
      </c>
      <c r="D9" s="28" t="inlineStr">
        <is>
          <t>Deactivate or reactivate a person</t>
        </is>
      </c>
      <c r="E9" s="29" t="inlineStr">
        <is>
          <t>R</t>
        </is>
      </c>
      <c r="F9" s="28" t="inlineStr">
        <is>
          <t>Does it: carries out "Deactivate or reactivate a person" in /people.</t>
        </is>
      </c>
      <c r="G9" s="28" t="inlineStr">
        <is>
          <t>/people</t>
        </is>
      </c>
      <c r="H9" s="29" t="inlineStr">
        <is>
          <t>Extended</t>
        </is>
      </c>
    </row>
    <row r="10" ht="17" customHeight="1">
      <c r="A10" s="28" t="inlineStr">
        <is>
          <t>Administrator</t>
        </is>
      </c>
      <c r="B10" s="28" t="inlineStr">
        <is>
          <t>WS-10</t>
        </is>
      </c>
      <c r="C10" s="28" t="inlineStr">
        <is>
          <t>Workspace &amp; access</t>
        </is>
      </c>
      <c r="D10" s="28" t="inlineStr">
        <is>
          <t>Full data export</t>
        </is>
      </c>
      <c r="E10" s="29" t="inlineStr">
        <is>
          <t>R</t>
        </is>
      </c>
      <c r="F10" s="28" t="inlineStr">
        <is>
          <t>Does it: carries out "Full data export" in /settings/data.</t>
        </is>
      </c>
      <c r="G10" s="28" t="inlineStr">
        <is>
          <t>/settings/data</t>
        </is>
      </c>
      <c r="H10" s="29" t="inlineStr">
        <is>
          <t>Live</t>
        </is>
      </c>
    </row>
    <row r="11" ht="17" customHeight="1">
      <c r="A11" s="28" t="inlineStr">
        <is>
          <t>Administrator</t>
        </is>
      </c>
      <c r="B11" s="28" t="inlineStr">
        <is>
          <t>WS-11</t>
        </is>
      </c>
      <c r="C11" s="28" t="inlineStr">
        <is>
          <t>Workspace &amp; access</t>
        </is>
      </c>
      <c r="D11" s="28" t="inlineStr">
        <is>
          <t>Plan, seats and payment</t>
        </is>
      </c>
      <c r="E11" s="29" t="inlineStr">
        <is>
          <t>R</t>
        </is>
      </c>
      <c r="F11" s="28" t="inlineStr">
        <is>
          <t>Does it: carries out "Plan, seats and payment" in /billing.</t>
        </is>
      </c>
      <c r="G11" s="28" t="inlineStr">
        <is>
          <t>/billing</t>
        </is>
      </c>
      <c r="H11" s="29" t="inlineStr">
        <is>
          <t>Live</t>
        </is>
      </c>
    </row>
    <row r="12" ht="30" customHeight="1">
      <c r="A12" s="28" t="inlineStr">
        <is>
          <t>Administrator</t>
        </is>
      </c>
      <c r="B12" s="28" t="inlineStr">
        <is>
          <t>WS-13</t>
        </is>
      </c>
      <c r="C12" s="28" t="inlineStr">
        <is>
          <t>Workspace &amp; access</t>
        </is>
      </c>
      <c r="D12" s="28" t="inlineStr">
        <is>
          <t>Single sign-on and custom roles</t>
        </is>
      </c>
      <c r="E12" s="29" t="inlineStr">
        <is>
          <t>R</t>
        </is>
      </c>
      <c r="F12" s="28" t="inlineStr">
        <is>
          <t>Planned (not built yet). Does it: carries out "Single sign-on and custom roles".</t>
        </is>
      </c>
      <c r="G12" s="28" t="inlineStr">
        <is>
          <t>-</t>
        </is>
      </c>
      <c r="H12" s="29" t="inlineStr">
        <is>
          <t>Planned</t>
        </is>
      </c>
    </row>
    <row r="13" ht="30" customHeight="1">
      <c r="A13" s="28" t="inlineStr">
        <is>
          <t>Administrator</t>
        </is>
      </c>
      <c r="B13" s="28" t="inlineStr">
        <is>
          <t>ORG-01</t>
        </is>
      </c>
      <c r="C13" s="28" t="inlineStr">
        <is>
          <t>Organisation &amp; master data</t>
        </is>
      </c>
      <c r="D13" s="28" t="inlineStr">
        <is>
          <t>Company rules and settings</t>
        </is>
      </c>
      <c r="E13" s="29" t="inlineStr">
        <is>
          <t>R</t>
        </is>
      </c>
      <c r="F13" s="28" t="inlineStr">
        <is>
          <t>Does it: carries out "Company rules and settings" in /settings/company.</t>
        </is>
      </c>
      <c r="G13" s="28" t="inlineStr">
        <is>
          <t>/settings/company</t>
        </is>
      </c>
      <c r="H13" s="29" t="inlineStr">
        <is>
          <t>Extended</t>
        </is>
      </c>
    </row>
    <row r="14" ht="30" customHeight="1">
      <c r="A14" s="28" t="inlineStr">
        <is>
          <t>Administrator</t>
        </is>
      </c>
      <c r="B14" s="28" t="inlineStr">
        <is>
          <t>ORG-02</t>
        </is>
      </c>
      <c r="C14" s="28" t="inlineStr">
        <is>
          <t>Organisation &amp; master data</t>
        </is>
      </c>
      <c r="D14" s="28" t="inlineStr">
        <is>
          <t>Working calendar and holidays</t>
        </is>
      </c>
      <c r="E14" s="29" t="inlineStr">
        <is>
          <t>R</t>
        </is>
      </c>
      <c r="F14" s="28" t="inlineStr">
        <is>
          <t>Does it: carries out "Working calendar and holidays" in /settings/holidays.</t>
        </is>
      </c>
      <c r="G14" s="28" t="inlineStr">
        <is>
          <t>/settings/holidays</t>
        </is>
      </c>
      <c r="H14" s="29" t="inlineStr">
        <is>
          <t>Extended</t>
        </is>
      </c>
    </row>
    <row r="15" ht="30" customHeight="1">
      <c r="A15" s="28" t="inlineStr">
        <is>
          <t>Administrator</t>
        </is>
      </c>
      <c r="B15" s="28" t="inlineStr">
        <is>
          <t>ORG-03</t>
        </is>
      </c>
      <c r="C15" s="28" t="inlineStr">
        <is>
          <t>Organisation &amp; master data</t>
        </is>
      </c>
      <c r="D15" s="28" t="inlineStr">
        <is>
          <t>Cost rates (CTC history)</t>
        </is>
      </c>
      <c r="E15" s="29" t="inlineStr">
        <is>
          <t>C</t>
        </is>
      </c>
      <c r="F15" s="28" t="inlineStr">
        <is>
          <t>Consulted: gives input, data or a decision when asked.</t>
        </is>
      </c>
      <c r="G15" s="28" t="inlineStr">
        <is>
          <t>/settings/cost-rates</t>
        </is>
      </c>
      <c r="H15" s="29" t="inlineStr">
        <is>
          <t>Extended</t>
        </is>
      </c>
    </row>
    <row r="16" ht="30" customHeight="1">
      <c r="A16" s="28" t="inlineStr">
        <is>
          <t>Administrator</t>
        </is>
      </c>
      <c r="B16" s="28" t="inlineStr">
        <is>
          <t>ORG-05</t>
        </is>
      </c>
      <c r="C16" s="28" t="inlineStr">
        <is>
          <t>Organisation &amp; master data</t>
        </is>
      </c>
      <c r="D16" s="28" t="inlineStr">
        <is>
          <t>Product, category and service catalogue maintenance</t>
        </is>
      </c>
      <c r="E16" s="29" t="inlineStr">
        <is>
          <t>R</t>
        </is>
      </c>
      <c r="F16" s="28" t="inlineStr">
        <is>
          <t>Planned (not built yet). Does it: carries out "Product, category and service catalogue maintenance".</t>
        </is>
      </c>
      <c r="G16" s="28" t="inlineStr">
        <is>
          <t>-</t>
        </is>
      </c>
      <c r="H16" s="29" t="inlineStr">
        <is>
          <t>Planned</t>
        </is>
      </c>
    </row>
    <row r="17" ht="17" customHeight="1">
      <c r="A17" s="28" t="inlineStr">
        <is>
          <t>Administrator</t>
        </is>
      </c>
      <c r="B17" s="28" t="inlineStr">
        <is>
          <t>PAY-04</t>
        </is>
      </c>
      <c r="C17" s="28" t="inlineStr">
        <is>
          <t>Payroll &amp; compensation</t>
        </is>
      </c>
      <c r="D17" s="28" t="inlineStr">
        <is>
          <t>Recompute, finalise and export payroll</t>
        </is>
      </c>
      <c r="E17" s="29" t="inlineStr">
        <is>
          <t>C</t>
        </is>
      </c>
      <c r="F17" s="28" t="inlineStr">
        <is>
          <t>Consulted: gives input, data or a decision when asked.</t>
        </is>
      </c>
      <c r="G17" s="28" t="inlineStr">
        <is>
          <t>/payroll/:id</t>
        </is>
      </c>
      <c r="H17" s="29" t="inlineStr">
        <is>
          <t>Extended</t>
        </is>
      </c>
    </row>
    <row r="18" ht="17" customHeight="1">
      <c r="A18" s="28" t="inlineStr">
        <is>
          <t>Administrator</t>
        </is>
      </c>
      <c r="B18" s="28" t="inlineStr">
        <is>
          <t>GOV-03</t>
        </is>
      </c>
      <c r="C18" s="28" t="inlineStr">
        <is>
          <t>Strategy &amp; governance</t>
        </is>
      </c>
      <c r="D18" s="28" t="inlineStr">
        <is>
          <t>Approvals inbox</t>
        </is>
      </c>
      <c r="E18" s="29" t="inlineStr">
        <is>
          <t>R</t>
        </is>
      </c>
      <c r="F18" s="28" t="inlineStr">
        <is>
          <t>Does it: carries out "Approvals inbox" in /inbox.</t>
        </is>
      </c>
      <c r="G18" s="28" t="inlineStr">
        <is>
          <t>/inbox</t>
        </is>
      </c>
      <c r="H18" s="29" t="inlineStr">
        <is>
          <t>Extended</t>
        </is>
      </c>
    </row>
    <row r="19" ht="17" customHeight="1">
      <c r="A19" s="28" t="inlineStr">
        <is>
          <t>Administrator</t>
        </is>
      </c>
      <c r="B19" s="28" t="inlineStr">
        <is>
          <t>GOV-04</t>
        </is>
      </c>
      <c r="C19" s="28" t="inlineStr">
        <is>
          <t>Strategy &amp; governance</t>
        </is>
      </c>
      <c r="D19" s="28" t="inlineStr">
        <is>
          <t>Audit trail</t>
        </is>
      </c>
      <c r="E19" s="29" t="inlineStr">
        <is>
          <t>R</t>
        </is>
      </c>
      <c r="F19" s="28" t="inlineStr">
        <is>
          <t>Does it: carries out "Audit trail" in /audit.</t>
        </is>
      </c>
      <c r="G19" s="28" t="inlineStr">
        <is>
          <t>/audit</t>
        </is>
      </c>
      <c r="H19" s="29" t="inlineStr">
        <is>
          <t>Extended</t>
        </is>
      </c>
    </row>
    <row r="20" ht="17" customHeight="1">
      <c r="A20" s="28" t="inlineStr">
        <is>
          <t>Administrator</t>
        </is>
      </c>
      <c r="B20" s="28" t="inlineStr">
        <is>
          <t>GOV-05</t>
        </is>
      </c>
      <c r="C20" s="28" t="inlineStr">
        <is>
          <t>Strategy &amp; governance</t>
        </is>
      </c>
      <c r="D20" s="28" t="inlineStr">
        <is>
          <t>Notifications centre</t>
        </is>
      </c>
      <c r="E20" s="29" t="inlineStr">
        <is>
          <t>R</t>
        </is>
      </c>
      <c r="F20" s="28" t="inlineStr">
        <is>
          <t>Does it: carries out "Notifications centre" in /notifications.</t>
        </is>
      </c>
      <c r="G20" s="28" t="inlineStr">
        <is>
          <t>/notifications</t>
        </is>
      </c>
      <c r="H20" s="29" t="inlineStr">
        <is>
          <t>Live</t>
        </is>
      </c>
    </row>
    <row r="21" ht="30" customHeight="1">
      <c r="A21" s="28" t="inlineStr">
        <is>
          <t>Administrator</t>
        </is>
      </c>
      <c r="B21" s="28" t="inlineStr">
        <is>
          <t>SET-01</t>
        </is>
      </c>
      <c r="C21" s="28" t="inlineStr">
        <is>
          <t>Access, master data &amp; controls</t>
        </is>
      </c>
      <c r="D21" s="28" t="inlineStr">
        <is>
          <t>Guided setup checklist (org data &gt; roles &gt; people)</t>
        </is>
      </c>
      <c r="E21" s="29" t="inlineStr">
        <is>
          <t>R</t>
        </is>
      </c>
      <c r="F21" s="28" t="inlineStr">
        <is>
          <t>Works through the checklist top to bottom.</t>
        </is>
      </c>
      <c r="G21" s="28" t="inlineStr">
        <is>
          <t>/setup</t>
        </is>
      </c>
      <c r="H21" s="29" t="inlineStr">
        <is>
          <t>New in v4</t>
        </is>
      </c>
    </row>
    <row r="22" ht="30" customHeight="1">
      <c r="A22" s="28" t="inlineStr">
        <is>
          <t>Administrator</t>
        </is>
      </c>
      <c r="B22" s="28" t="inlineStr">
        <is>
          <t>ADM-01</t>
        </is>
      </c>
      <c r="C22" s="28" t="inlineStr">
        <is>
          <t>Access, master data &amp; controls</t>
        </is>
      </c>
      <c r="D22" s="28" t="inlineStr">
        <is>
          <t>Organisation profile</t>
        </is>
      </c>
      <c r="E22" s="29" t="inlineStr">
        <is>
          <t>R</t>
        </is>
      </c>
      <c r="F22" s="28" t="inlineStr">
        <is>
          <t>Does it: carries out "Organisation profile" in /setup/org.</t>
        </is>
      </c>
      <c r="G22" s="28" t="inlineStr">
        <is>
          <t>/setup/org</t>
        </is>
      </c>
      <c r="H22" s="29" t="inlineStr">
        <is>
          <t>New in v4</t>
        </is>
      </c>
    </row>
    <row r="23" ht="30" customHeight="1">
      <c r="A23" s="28" t="inlineStr">
        <is>
          <t>Administrator</t>
        </is>
      </c>
      <c r="B23" s="28" t="inlineStr">
        <is>
          <t>ADM-02</t>
        </is>
      </c>
      <c r="C23" s="28" t="inlineStr">
        <is>
          <t>Access, master data &amp; controls</t>
        </is>
      </c>
      <c r="D23" s="28" t="inlineStr">
        <is>
          <t>Locations</t>
        </is>
      </c>
      <c r="E23" s="29" t="inlineStr">
        <is>
          <t>R</t>
        </is>
      </c>
      <c r="F23" s="28" t="inlineStr">
        <is>
          <t>Does it: carries out "Locations" in /setup/locations.</t>
        </is>
      </c>
      <c r="G23" s="28" t="inlineStr">
        <is>
          <t>/setup/locations</t>
        </is>
      </c>
      <c r="H23" s="29" t="inlineStr">
        <is>
          <t>New in v4</t>
        </is>
      </c>
    </row>
    <row r="24" ht="30" customHeight="1">
      <c r="A24" s="28" t="inlineStr">
        <is>
          <t>Administrator</t>
        </is>
      </c>
      <c r="B24" s="28" t="inlineStr">
        <is>
          <t>ADM-03</t>
        </is>
      </c>
      <c r="C24" s="28" t="inlineStr">
        <is>
          <t>Access, master data &amp; controls</t>
        </is>
      </c>
      <c r="D24" s="28" t="inlineStr">
        <is>
          <t>Departments and cost centres</t>
        </is>
      </c>
      <c r="E24" s="29" t="inlineStr">
        <is>
          <t>R</t>
        </is>
      </c>
      <c r="F24" s="28" t="inlineStr">
        <is>
          <t>Does it: carries out "Departments and cost centres" in /setup/departments, /setup/cost-centres.</t>
        </is>
      </c>
      <c r="G24" s="28" t="inlineStr">
        <is>
          <t>/setup/departments, /setup/cost-centres</t>
        </is>
      </c>
      <c r="H24" s="29" t="inlineStr">
        <is>
          <t>New in v4</t>
        </is>
      </c>
    </row>
    <row r="25" ht="30" customHeight="1">
      <c r="A25" s="28" t="inlineStr">
        <is>
          <t>Administrator</t>
        </is>
      </c>
      <c r="B25" s="28" t="inlineStr">
        <is>
          <t>ADM-04</t>
        </is>
      </c>
      <c r="C25" s="28" t="inlineStr">
        <is>
          <t>Access, master data &amp; controls</t>
        </is>
      </c>
      <c r="D25" s="28" t="inlineStr">
        <is>
          <t>Designations, grades and CTC bands</t>
        </is>
      </c>
      <c r="E25" s="29" t="inlineStr">
        <is>
          <t>R</t>
        </is>
      </c>
      <c r="F25" s="28" t="inlineStr">
        <is>
          <t>Does it: carries out "Designations, grades and CTC bands" in /setup/designations, /setup/grades.</t>
        </is>
      </c>
      <c r="G25" s="28" t="inlineStr">
        <is>
          <t>/setup/designations, /setup/grades</t>
        </is>
      </c>
      <c r="H25" s="29" t="inlineStr">
        <is>
          <t>New in v4</t>
        </is>
      </c>
    </row>
    <row r="26" ht="30" customHeight="1">
      <c r="A26" s="28" t="inlineStr">
        <is>
          <t>Administrator</t>
        </is>
      </c>
      <c r="B26" s="28" t="inlineStr">
        <is>
          <t>ADM-05</t>
        </is>
      </c>
      <c r="C26" s="28" t="inlineStr">
        <is>
          <t>Access, master data &amp; controls</t>
        </is>
      </c>
      <c r="D26" s="28" t="inlineStr">
        <is>
          <t>Shifts and shift assignment</t>
        </is>
      </c>
      <c r="E26" s="29" t="inlineStr">
        <is>
          <t>R</t>
        </is>
      </c>
      <c r="F26" s="28" t="inlineStr">
        <is>
          <t>Does it: carries out "Shifts and shift assignment" in /setup/shifts.</t>
        </is>
      </c>
      <c r="G26" s="28" t="inlineStr">
        <is>
          <t>/setup/shifts</t>
        </is>
      </c>
      <c r="H26" s="29" t="inlineStr">
        <is>
          <t>New in v4</t>
        </is>
      </c>
    </row>
    <row r="27" ht="30" customHeight="1">
      <c r="A27" s="28" t="inlineStr">
        <is>
          <t>Administrator</t>
        </is>
      </c>
      <c r="B27" s="28" t="inlineStr">
        <is>
          <t>ADM-06</t>
        </is>
      </c>
      <c r="C27" s="28" t="inlineStr">
        <is>
          <t>Access, master data &amp; controls</t>
        </is>
      </c>
      <c r="D27" s="28" t="inlineStr">
        <is>
          <t>Email templates and sent log</t>
        </is>
      </c>
      <c r="E27" s="29" t="inlineStr">
        <is>
          <t>R</t>
        </is>
      </c>
      <c r="F27" s="28" t="inlineStr">
        <is>
          <t>Does it: carries out "Email templates and sent log" in /setup/emails, /setup/emails?tab=sent.</t>
        </is>
      </c>
      <c r="G27" s="28" t="inlineStr">
        <is>
          <t>/setup/emails, /setup/emails?tab=sent</t>
        </is>
      </c>
      <c r="H27" s="29" t="inlineStr">
        <is>
          <t>New in v4</t>
        </is>
      </c>
    </row>
    <row r="28" ht="30" customHeight="1">
      <c r="A28" s="28" t="inlineStr">
        <is>
          <t>Administrator</t>
        </is>
      </c>
      <c r="B28" s="28" t="inlineStr">
        <is>
          <t>ACC-01</t>
        </is>
      </c>
      <c r="C28" s="28" t="inlineStr">
        <is>
          <t>Access, master data &amp; controls</t>
        </is>
      </c>
      <c r="D28" s="28" t="inlineStr">
        <is>
          <t>Define roles and the permission matrix</t>
        </is>
      </c>
      <c r="E28" s="29" t="inlineStr">
        <is>
          <t>R</t>
        </is>
      </c>
      <c r="F28" s="28" t="inlineStr">
        <is>
          <t>Does it: carries out "Define roles and the permission matrix" in /setup/roles, /setup/roles/:key.</t>
        </is>
      </c>
      <c r="G28" s="28" t="inlineStr">
        <is>
          <t>/setup/roles, /setup/roles/:key</t>
        </is>
      </c>
      <c r="H28" s="29" t="inlineStr">
        <is>
          <t>New in v4</t>
        </is>
      </c>
    </row>
    <row r="29" ht="30" customHeight="1">
      <c r="A29" s="28" t="inlineStr">
        <is>
          <t>Administrator</t>
        </is>
      </c>
      <c r="B29" s="28" t="inlineStr">
        <is>
          <t>ACC-02</t>
        </is>
      </c>
      <c r="C29" s="28" t="inlineStr">
        <is>
          <t>Access, master data &amp; controls</t>
        </is>
      </c>
      <c r="D29" s="28" t="inlineStr">
        <is>
          <t>Clone and compare roles</t>
        </is>
      </c>
      <c r="E29" s="29" t="inlineStr">
        <is>
          <t>R</t>
        </is>
      </c>
      <c r="F29" s="28" t="inlineStr">
        <is>
          <t>Does it: carries out "Clone and compare roles" in /setup/roles?tab=compare.</t>
        </is>
      </c>
      <c r="G29" s="28" t="inlineStr">
        <is>
          <t>/setup/roles?tab=compare</t>
        </is>
      </c>
      <c r="H29" s="29" t="inlineStr">
        <is>
          <t>New in v4</t>
        </is>
      </c>
    </row>
    <row r="30" ht="30" customHeight="1">
      <c r="A30" s="28" t="inlineStr">
        <is>
          <t>Administrator</t>
        </is>
      </c>
      <c r="B30" s="28" t="inlineStr">
        <is>
          <t>ACC-03</t>
        </is>
      </c>
      <c r="C30" s="28" t="inlineStr">
        <is>
          <t>Access, master data &amp; controls</t>
        </is>
      </c>
      <c r="D30" s="28" t="inlineStr">
        <is>
          <t>Change a person's role, extra and revoked permissions</t>
        </is>
      </c>
      <c r="E30" s="29" t="inlineStr">
        <is>
          <t>R</t>
        </is>
      </c>
      <c r="F30" s="28" t="inlineStr">
        <is>
          <t>Does it: carries out "Change a person's role, extra and revoked permissions" in /people.</t>
        </is>
      </c>
      <c r="G30" s="28" t="inlineStr">
        <is>
          <t>/people</t>
        </is>
      </c>
      <c r="H30" s="29" t="inlineStr">
        <is>
          <t>New in v4</t>
        </is>
      </c>
    </row>
    <row r="31" ht="30" customHeight="1">
      <c r="A31" s="28" t="inlineStr">
        <is>
          <t>Administrator</t>
        </is>
      </c>
      <c r="B31" s="28" t="inlineStr">
        <is>
          <t>ACC-04</t>
        </is>
      </c>
      <c r="C31" s="28" t="inlineStr">
        <is>
          <t>Access, master data &amp; controls</t>
        </is>
      </c>
      <c r="D31" s="28" t="inlineStr">
        <is>
          <t>Create employee and send the welcome email</t>
        </is>
      </c>
      <c r="E31" s="29" t="inlineStr">
        <is>
          <t>R</t>
        </is>
      </c>
      <c r="F31" s="28" t="inlineStr">
        <is>
          <t>Does it: carries out "Create employee and send the welcome email" in /people/new.</t>
        </is>
      </c>
      <c r="G31" s="28" t="inlineStr">
        <is>
          <t>/people/new</t>
        </is>
      </c>
      <c r="H31" s="29" t="inlineStr">
        <is>
          <t>New in v4</t>
        </is>
      </c>
    </row>
    <row r="32" ht="30" customHeight="1">
      <c r="A32" s="28" t="inlineStr">
        <is>
          <t>Administrator</t>
        </is>
      </c>
      <c r="B32" s="28" t="inlineStr">
        <is>
          <t>ACC-05</t>
        </is>
      </c>
      <c r="C32" s="28" t="inlineStr">
        <is>
          <t>Access, master data &amp; controls</t>
        </is>
      </c>
      <c r="D32" s="28" t="inlineStr">
        <is>
          <t>First sign-in: forced password change</t>
        </is>
      </c>
      <c r="E32" s="29" t="inlineStr">
        <is>
          <t>R</t>
        </is>
      </c>
      <c r="F32" s="28" t="inlineStr">
        <is>
          <t>Does it: carries out "First sign-in: forced password change" in /welcome/password.</t>
        </is>
      </c>
      <c r="G32" s="28" t="inlineStr">
        <is>
          <t>/welcome/password</t>
        </is>
      </c>
      <c r="H32" s="29" t="inlineStr">
        <is>
          <t>New in v4</t>
        </is>
      </c>
    </row>
    <row r="33" ht="30" customHeight="1">
      <c r="A33" s="28" t="inlineStr">
        <is>
          <t>Administrator</t>
        </is>
      </c>
      <c r="B33" s="28" t="inlineStr">
        <is>
          <t>ACC-06</t>
        </is>
      </c>
      <c r="C33" s="28" t="inlineStr">
        <is>
          <t>Access, master data &amp; controls</t>
        </is>
      </c>
      <c r="D33" s="28" t="inlineStr">
        <is>
          <t>Administrator password reset</t>
        </is>
      </c>
      <c r="E33" s="29" t="inlineStr">
        <is>
          <t>R</t>
        </is>
      </c>
      <c r="F33" s="28" t="inlineStr">
        <is>
          <t>Does it: carries out "Administrator password reset" in /people.</t>
        </is>
      </c>
      <c r="G33" s="28" t="inlineStr">
        <is>
          <t>/people</t>
        </is>
      </c>
      <c r="H33" s="29" t="inlineStr">
        <is>
          <t>New in v4</t>
        </is>
      </c>
    </row>
    <row r="34" ht="30" customHeight="1">
      <c r="A34" s="28" t="inlineStr">
        <is>
          <t>Administrator</t>
        </is>
      </c>
      <c r="B34" s="28" t="inlineStr">
        <is>
          <t>ACC-07</t>
        </is>
      </c>
      <c r="C34" s="28" t="inlineStr">
        <is>
          <t>Access, master data &amp; controls</t>
        </is>
      </c>
      <c r="D34" s="28" t="inlineStr">
        <is>
          <t>Deactivate or reactivate an employee</t>
        </is>
      </c>
      <c r="E34" s="29" t="inlineStr">
        <is>
          <t>R</t>
        </is>
      </c>
      <c r="F34" s="28" t="inlineStr">
        <is>
          <t>Does it: carries out "Deactivate or reactivate an employee" in /people.</t>
        </is>
      </c>
      <c r="G34" s="28" t="inlineStr">
        <is>
          <t>/people</t>
        </is>
      </c>
      <c r="H34" s="29" t="inlineStr">
        <is>
          <t>New in v4</t>
        </is>
      </c>
    </row>
    <row r="35" ht="30" customHeight="1">
      <c r="A35" s="28" t="inlineStr">
        <is>
          <t>Administrator</t>
        </is>
      </c>
      <c r="B35" s="28" t="inlineStr">
        <is>
          <t>ACC-08</t>
        </is>
      </c>
      <c r="C35" s="28" t="inlineStr">
        <is>
          <t>Access, master data &amp; controls</t>
        </is>
      </c>
      <c r="D35" s="28" t="inlineStr">
        <is>
          <t>View as a role (read-only preview)</t>
        </is>
      </c>
      <c r="E35" s="29" t="inlineStr">
        <is>
          <t>R</t>
        </is>
      </c>
      <c r="F35" s="28" t="inlineStr">
        <is>
          <t>Does it: carries out "View as a role (read-only preview)" in Top bar.</t>
        </is>
      </c>
      <c r="G35" s="28" t="inlineStr">
        <is>
          <t>Top bar</t>
        </is>
      </c>
      <c r="H35" s="29" t="inlineStr">
        <is>
          <t>New in v4</t>
        </is>
      </c>
    </row>
    <row r="36" ht="30" customHeight="1">
      <c r="A36" s="28" t="inlineStr">
        <is>
          <t>Administrator</t>
        </is>
      </c>
      <c r="B36" s="28" t="inlineStr">
        <is>
          <t>ACC-09</t>
        </is>
      </c>
      <c r="C36" s="28" t="inlineStr">
        <is>
          <t>Access, master data &amp; controls</t>
        </is>
      </c>
      <c r="D36" s="28" t="inlineStr">
        <is>
          <t>One login: screens, actions and data scope by permission</t>
        </is>
      </c>
      <c r="E36" s="30" t="inlineStr">
        <is>
          <t>A</t>
        </is>
      </c>
      <c r="F36" s="28" t="inlineStr">
        <is>
          <t>Approves / signs off and owns the outcome; sees results in All.</t>
        </is>
      </c>
      <c r="G36" s="28" t="inlineStr">
        <is>
          <t>All screens</t>
        </is>
      </c>
      <c r="H36" s="29" t="inlineStr">
        <is>
          <t>New in v4</t>
        </is>
      </c>
    </row>
    <row r="37" ht="30" customHeight="1">
      <c r="A37" s="28" t="inlineStr">
        <is>
          <t>Administrator</t>
        </is>
      </c>
      <c r="B37" s="28" t="inlineStr">
        <is>
          <t>MC-01</t>
        </is>
      </c>
      <c r="C37" s="28" t="inlineStr">
        <is>
          <t>Access, master data &amp; controls</t>
        </is>
      </c>
      <c r="D37" s="28" t="inlineStr">
        <is>
          <t>Propose a sensitive change (maker)</t>
        </is>
      </c>
      <c r="E37" s="29" t="inlineStr">
        <is>
          <t>R</t>
        </is>
      </c>
      <c r="F37" s="28" t="inlineStr">
        <is>
          <t>Does it: carries out "Propose a sensitive change (maker)" in /changes.</t>
        </is>
      </c>
      <c r="G37" s="28" t="inlineStr">
        <is>
          <t>/changes</t>
        </is>
      </c>
      <c r="H37" s="29" t="inlineStr">
        <is>
          <t>New in v4</t>
        </is>
      </c>
    </row>
    <row r="38" ht="30" customHeight="1">
      <c r="A38" s="28" t="inlineStr">
        <is>
          <t>Administrator</t>
        </is>
      </c>
      <c r="B38" s="28" t="inlineStr">
        <is>
          <t>MC-02</t>
        </is>
      </c>
      <c r="C38" s="28" t="inlineStr">
        <is>
          <t>Access, master data &amp; controls</t>
        </is>
      </c>
      <c r="D38" s="28" t="inlineStr">
        <is>
          <t>Check a change: approve or reject (checker)</t>
        </is>
      </c>
      <c r="E38" s="29" t="inlineStr">
        <is>
          <t>R</t>
        </is>
      </c>
      <c r="F38" s="28" t="inlineStr">
        <is>
          <t>Does it: carries out "Check a change: approve or reject (checker)" in /changes.</t>
        </is>
      </c>
      <c r="G38" s="28" t="inlineStr">
        <is>
          <t>/changes</t>
        </is>
      </c>
      <c r="H38" s="29" t="inlineStr">
        <is>
          <t>New in v4</t>
        </is>
      </c>
    </row>
    <row r="39" ht="30" customHeight="1">
      <c r="A39" s="28" t="inlineStr">
        <is>
          <t>Administrator</t>
        </is>
      </c>
      <c r="B39" s="28" t="inlineStr">
        <is>
          <t>MC-03</t>
        </is>
      </c>
      <c r="C39" s="28" t="inlineStr">
        <is>
          <t>Access, master data &amp; controls</t>
        </is>
      </c>
      <c r="D39" s="28" t="inlineStr">
        <is>
          <t>Withdraw a pending change</t>
        </is>
      </c>
      <c r="E39" s="29" t="inlineStr">
        <is>
          <t>R</t>
        </is>
      </c>
      <c r="F39" s="28" t="inlineStr">
        <is>
          <t>Does it: carries out "Withdraw a pending change" in /changes.</t>
        </is>
      </c>
      <c r="G39" s="28" t="inlineStr">
        <is>
          <t>/changes</t>
        </is>
      </c>
      <c r="H39" s="29" t="inlineStr">
        <is>
          <t>New in v4</t>
        </is>
      </c>
    </row>
    <row r="40" ht="30" customHeight="1">
      <c r="A40" s="28" t="inlineStr">
        <is>
          <t>Administrator</t>
        </is>
      </c>
      <c r="B40" s="28" t="inlineStr">
        <is>
          <t>MC-04</t>
        </is>
      </c>
      <c r="C40" s="28" t="inlineStr">
        <is>
          <t>Access, master data &amp; controls</t>
        </is>
      </c>
      <c r="D40" s="28" t="inlineStr">
        <is>
          <t>Configure maker-checker</t>
        </is>
      </c>
      <c r="E40" s="29" t="inlineStr">
        <is>
          <t>R</t>
        </is>
      </c>
      <c r="F40" s="28" t="inlineStr">
        <is>
          <t>Does it: carries out "Configure maker-checker" in /setup/maker-checker.</t>
        </is>
      </c>
      <c r="G40" s="28" t="inlineStr">
        <is>
          <t>/setup/maker-checker</t>
        </is>
      </c>
      <c r="H40" s="29" t="inlineStr">
        <is>
          <t>New in v4</t>
        </is>
      </c>
    </row>
    <row r="41" ht="30" customHeight="1">
      <c r="A41" s="28" t="inlineStr">
        <is>
          <t>Administrator</t>
        </is>
      </c>
      <c r="B41" s="28" t="inlineStr">
        <is>
          <t>WF-01</t>
        </is>
      </c>
      <c r="C41" s="28" t="inlineStr">
        <is>
          <t>Access, master data &amp; controls</t>
        </is>
      </c>
      <c r="D41" s="28" t="inlineStr">
        <is>
          <t>Configure an approval workflow</t>
        </is>
      </c>
      <c r="E41" s="29" t="inlineStr">
        <is>
          <t>R</t>
        </is>
      </c>
      <c r="F41" s="28" t="inlineStr">
        <is>
          <t>Does it: carries out "Configure an approval workflow" in /setup/workflows.</t>
        </is>
      </c>
      <c r="G41" s="28" t="inlineStr">
        <is>
          <t>/setup/workflows</t>
        </is>
      </c>
      <c r="H41" s="29" t="inlineStr">
        <is>
          <t>New in v4</t>
        </is>
      </c>
    </row>
    <row r="42" ht="30" customHeight="1">
      <c r="A42" s="28" t="inlineStr">
        <is>
          <t>Administrator</t>
        </is>
      </c>
      <c r="B42" s="28" t="inlineStr">
        <is>
          <t>WF-02</t>
        </is>
      </c>
      <c r="C42" s="28" t="inlineStr">
        <is>
          <t>Access, master data &amp; controls</t>
        </is>
      </c>
      <c r="D42" s="28" t="inlineStr">
        <is>
          <t>Test (simulate) a workflow</t>
        </is>
      </c>
      <c r="E42" s="29" t="inlineStr">
        <is>
          <t>R</t>
        </is>
      </c>
      <c r="F42" s="28" t="inlineStr">
        <is>
          <t>Does it: carries out "Test (simulate) a workflow" in /setup/workflows.</t>
        </is>
      </c>
      <c r="G42" s="28" t="inlineStr">
        <is>
          <t>/setup/workflows</t>
        </is>
      </c>
      <c r="H42" s="29" t="inlineStr">
        <is>
          <t>New in v4</t>
        </is>
      </c>
    </row>
    <row r="43" ht="30" customHeight="1">
      <c r="A43" s="28" t="inlineStr">
        <is>
          <t>Administrator</t>
        </is>
      </c>
      <c r="B43" s="28" t="inlineStr">
        <is>
          <t>WF-03</t>
        </is>
      </c>
      <c r="C43" s="28" t="inlineStr">
        <is>
          <t>Access, master data &amp; controls</t>
        </is>
      </c>
      <c r="D43" s="28" t="inlineStr">
        <is>
          <t>Multi-step routing, SLA and escalation at run time</t>
        </is>
      </c>
      <c r="E43" s="30" t="inlineStr">
        <is>
          <t>A</t>
        </is>
      </c>
      <c r="F43" s="28" t="inlineStr">
        <is>
          <t>Approves / signs off and owns the outcome; sees results in Approvals inbox; Approvals &amp; SLAs sheet.</t>
        </is>
      </c>
      <c r="G43" s="28" t="inlineStr">
        <is>
          <t>/inbox</t>
        </is>
      </c>
      <c r="H43" s="29" t="inlineStr">
        <is>
          <t>New in v4</t>
        </is>
      </c>
    </row>
    <row r="44" ht="30" customHeight="1">
      <c r="A44" s="28" t="inlineStr">
        <is>
          <t>CEO</t>
        </is>
      </c>
      <c r="B44" s="28" t="inlineStr">
        <is>
          <t>WS-01</t>
        </is>
      </c>
      <c r="C44" s="28" t="inlineStr">
        <is>
          <t>Workspace &amp; access</t>
        </is>
      </c>
      <c r="D44" s="28" t="inlineStr">
        <is>
          <t>Company sign-up and 14-day trial</t>
        </is>
      </c>
      <c r="E44" s="29" t="inlineStr">
        <is>
          <t>I</t>
        </is>
      </c>
      <c r="F44" s="28" t="inlineStr">
        <is>
          <t>Informed (NTF-11 trial ends in 3 days (catalogue only)); sees the outcome in Platform tenant list.</t>
        </is>
      </c>
      <c r="G44" s="28" t="inlineStr">
        <is>
          <t>/signup</t>
        </is>
      </c>
      <c r="H44" s="29" t="inlineStr">
        <is>
          <t>Extended</t>
        </is>
      </c>
    </row>
    <row r="45" ht="17" customHeight="1">
      <c r="A45" s="28" t="inlineStr">
        <is>
          <t>CEO</t>
        </is>
      </c>
      <c r="B45" s="28" t="inlineStr">
        <is>
          <t>WS-02</t>
        </is>
      </c>
      <c r="C45" s="28" t="inlineStr">
        <is>
          <t>Workspace &amp; access</t>
        </is>
      </c>
      <c r="D45" s="28" t="inlineStr">
        <is>
          <t>Onboarding checklist and sample data</t>
        </is>
      </c>
      <c r="E45" s="29" t="inlineStr">
        <is>
          <t>I</t>
        </is>
      </c>
      <c r="F45" s="28" t="inlineStr">
        <is>
          <t>Informed; sees the outcome in CEO Home (onboarding card).</t>
        </is>
      </c>
      <c r="G45" s="28" t="inlineStr">
        <is>
          <t>/home, /onboarding</t>
        </is>
      </c>
      <c r="H45" s="29" t="inlineStr">
        <is>
          <t>Extended</t>
        </is>
      </c>
    </row>
    <row r="46" ht="30" customHeight="1">
      <c r="A46" s="28" t="inlineStr">
        <is>
          <t>CEO</t>
        </is>
      </c>
      <c r="B46" s="28" t="inlineStr">
        <is>
          <t>WS-03</t>
        </is>
      </c>
      <c r="C46" s="28" t="inlineStr">
        <is>
          <t>Workspace &amp; access</t>
        </is>
      </c>
      <c r="D46" s="28" t="inlineStr">
        <is>
          <t>Sign in, lockout and password reset</t>
        </is>
      </c>
      <c r="E46" s="29" t="inlineStr">
        <is>
          <t>R</t>
        </is>
      </c>
      <c r="F46" s="28" t="inlineStr">
        <is>
          <t>Does it: carries out "Sign in, lockout and password reset" in /login, /reset-password.</t>
        </is>
      </c>
      <c r="G46" s="28" t="inlineStr">
        <is>
          <t>/login, /reset-password</t>
        </is>
      </c>
      <c r="H46" s="29" t="inlineStr">
        <is>
          <t>Extended</t>
        </is>
      </c>
    </row>
    <row r="47" ht="30" customHeight="1">
      <c r="A47" s="28" t="inlineStr">
        <is>
          <t>CEO</t>
        </is>
      </c>
      <c r="B47" s="28" t="inlineStr">
        <is>
          <t>WS-04</t>
        </is>
      </c>
      <c r="C47" s="28" t="inlineStr">
        <is>
          <t>Workspace &amp; access</t>
        </is>
      </c>
      <c r="D47" s="28" t="inlineStr">
        <is>
          <t>Invite people (single or bulk CSV) and accept invitation</t>
        </is>
      </c>
      <c r="E47" s="29" t="inlineStr">
        <is>
          <t>I</t>
        </is>
      </c>
      <c r="F47" s="28" t="inlineStr">
        <is>
          <t>Informed (NTF-02 invited (email)); sees the outcome in People list; HR dashboard headcount.</t>
        </is>
      </c>
      <c r="G47" s="28" t="inlineStr">
        <is>
          <t>/people, /invite/:token</t>
        </is>
      </c>
      <c r="H47" s="29" t="inlineStr">
        <is>
          <t>Extended</t>
        </is>
      </c>
    </row>
    <row r="48" ht="30" customHeight="1">
      <c r="A48" s="28" t="inlineStr">
        <is>
          <t>CEO</t>
        </is>
      </c>
      <c r="B48" s="28" t="inlineStr">
        <is>
          <t>WS-05</t>
        </is>
      </c>
      <c r="C48" s="28" t="inlineStr">
        <is>
          <t>Workspace &amp; access</t>
        </is>
      </c>
      <c r="D48" s="28" t="inlineStr">
        <is>
          <t>Roles, reporting lines and access grants</t>
        </is>
      </c>
      <c r="E48" s="30" t="inlineStr">
        <is>
          <t>A</t>
        </is>
      </c>
      <c r="F48" s="28" t="inlineStr">
        <is>
          <t>Approves / signs off and owns the outcome; sees results in Team, Approvals inbox routing.</t>
        </is>
      </c>
      <c r="G48" s="28" t="inlineStr">
        <is>
          <t>/people</t>
        </is>
      </c>
      <c r="H48" s="29" t="inlineStr">
        <is>
          <t>Extended</t>
        </is>
      </c>
    </row>
    <row r="49" ht="30" customHeight="1">
      <c r="A49" s="28" t="inlineStr">
        <is>
          <t>CEO</t>
        </is>
      </c>
      <c r="B49" s="28" t="inlineStr">
        <is>
          <t>WS-06</t>
        </is>
      </c>
      <c r="C49" s="28" t="inlineStr">
        <is>
          <t>Workspace &amp; access</t>
        </is>
      </c>
      <c r="D49" s="28" t="inlineStr">
        <is>
          <t>Approval delegation (cover during leave)</t>
        </is>
      </c>
      <c r="E49" s="29" t="inlineStr">
        <is>
          <t>R</t>
        </is>
      </c>
      <c r="F49" s="28" t="inlineStr">
        <is>
          <t>Does it: carries out "Approval delegation (cover during leave)" in /settings/delegations.</t>
        </is>
      </c>
      <c r="G49" s="28" t="inlineStr">
        <is>
          <t>/settings/delegations</t>
        </is>
      </c>
      <c r="H49" s="29" t="inlineStr">
        <is>
          <t>Extended</t>
        </is>
      </c>
    </row>
    <row r="50" ht="17" customHeight="1">
      <c r="A50" s="28" t="inlineStr">
        <is>
          <t>CEO</t>
        </is>
      </c>
      <c r="B50" s="28" t="inlineStr">
        <is>
          <t>WS-07</t>
        </is>
      </c>
      <c r="C50" s="28" t="inlineStr">
        <is>
          <t>Workspace &amp; access</t>
        </is>
      </c>
      <c r="D50" s="28" t="inlineStr">
        <is>
          <t>View as another role</t>
        </is>
      </c>
      <c r="E50" s="29" t="inlineStr">
        <is>
          <t>I</t>
        </is>
      </c>
      <c r="F50" s="28" t="inlineStr">
        <is>
          <t>Informed.</t>
        </is>
      </c>
      <c r="G50" s="28" t="inlineStr">
        <is>
          <t>Top bar (admin)</t>
        </is>
      </c>
      <c r="H50" s="29" t="inlineStr">
        <is>
          <t>Extended</t>
        </is>
      </c>
    </row>
    <row r="51" ht="43" customHeight="1">
      <c r="A51" s="28" t="inlineStr">
        <is>
          <t>CEO</t>
        </is>
      </c>
      <c r="B51" s="28" t="inlineStr">
        <is>
          <t>WS-08</t>
        </is>
      </c>
      <c r="C51" s="28" t="inlineStr">
        <is>
          <t>Workspace &amp; access</t>
        </is>
      </c>
      <c r="D51" s="28" t="inlineStr">
        <is>
          <t>Security, two-step verification and personal settings</t>
        </is>
      </c>
      <c r="E51" s="30" t="inlineStr">
        <is>
          <t>A</t>
        </is>
      </c>
      <c r="F51" s="28" t="inlineStr">
        <is>
          <t>Approves / signs off and owns the outcome.</t>
        </is>
      </c>
      <c r="G51" s="28" t="inlineStr">
        <is>
          <t>/settings/security, /settings/profile, /settings/appearance</t>
        </is>
      </c>
      <c r="H51" s="29" t="inlineStr">
        <is>
          <t>Live</t>
        </is>
      </c>
    </row>
    <row r="52" ht="17" customHeight="1">
      <c r="A52" s="28" t="inlineStr">
        <is>
          <t>CEO</t>
        </is>
      </c>
      <c r="B52" s="28" t="inlineStr">
        <is>
          <t>WS-09</t>
        </is>
      </c>
      <c r="C52" s="28" t="inlineStr">
        <is>
          <t>Workspace &amp; access</t>
        </is>
      </c>
      <c r="D52" s="28" t="inlineStr">
        <is>
          <t>Deactivate or reactivate a person</t>
        </is>
      </c>
      <c r="E52" s="29" t="inlineStr">
        <is>
          <t>I</t>
        </is>
      </c>
      <c r="F52" s="28" t="inlineStr">
        <is>
          <t>Informed; sees the outcome in HR dashboard.</t>
        </is>
      </c>
      <c r="G52" s="28" t="inlineStr">
        <is>
          <t>/people</t>
        </is>
      </c>
      <c r="H52" s="29" t="inlineStr">
        <is>
          <t>Extended</t>
        </is>
      </c>
    </row>
    <row r="53" ht="17" customHeight="1">
      <c r="A53" s="28" t="inlineStr">
        <is>
          <t>CEO</t>
        </is>
      </c>
      <c r="B53" s="28" t="inlineStr">
        <is>
          <t>WS-10</t>
        </is>
      </c>
      <c r="C53" s="28" t="inlineStr">
        <is>
          <t>Workspace &amp; access</t>
        </is>
      </c>
      <c r="D53" s="28" t="inlineStr">
        <is>
          <t>Full data export</t>
        </is>
      </c>
      <c r="E53" s="29" t="inlineStr">
        <is>
          <t>I</t>
        </is>
      </c>
      <c r="F53" s="28" t="inlineStr">
        <is>
          <t>Informed (NTF-17 export ready).</t>
        </is>
      </c>
      <c r="G53" s="28" t="inlineStr">
        <is>
          <t>/settings/data</t>
        </is>
      </c>
      <c r="H53" s="29" t="inlineStr">
        <is>
          <t>Live</t>
        </is>
      </c>
    </row>
    <row r="54" ht="17" customHeight="1">
      <c r="A54" s="28" t="inlineStr">
        <is>
          <t>CEO</t>
        </is>
      </c>
      <c r="B54" s="28" t="inlineStr">
        <is>
          <t>WS-11</t>
        </is>
      </c>
      <c r="C54" s="28" t="inlineStr">
        <is>
          <t>Workspace &amp; access</t>
        </is>
      </c>
      <c r="D54" s="28" t="inlineStr">
        <is>
          <t>Plan, seats and payment</t>
        </is>
      </c>
      <c r="E54" s="29" t="inlineStr">
        <is>
          <t>I</t>
        </is>
      </c>
      <c r="F54" s="28" t="inlineStr">
        <is>
          <t>Informed (NTF-16 payment failed); sees the outcome in Billing.</t>
        </is>
      </c>
      <c r="G54" s="28" t="inlineStr">
        <is>
          <t>/billing</t>
        </is>
      </c>
      <c r="H54" s="29" t="inlineStr">
        <is>
          <t>Live</t>
        </is>
      </c>
    </row>
    <row r="55" ht="17" customHeight="1">
      <c r="A55" s="28" t="inlineStr">
        <is>
          <t>CEO</t>
        </is>
      </c>
      <c r="B55" s="28" t="inlineStr">
        <is>
          <t>WS-13</t>
        </is>
      </c>
      <c r="C55" s="28" t="inlineStr">
        <is>
          <t>Workspace &amp; access</t>
        </is>
      </c>
      <c r="D55" s="28" t="inlineStr">
        <is>
          <t>Single sign-on and custom roles</t>
        </is>
      </c>
      <c r="E55" s="29" t="inlineStr">
        <is>
          <t>I</t>
        </is>
      </c>
      <c r="F55" s="28" t="inlineStr">
        <is>
          <t>Planned (not built yet). Informed.</t>
        </is>
      </c>
      <c r="G55" s="28" t="inlineStr">
        <is>
          <t>-</t>
        </is>
      </c>
      <c r="H55" s="29" t="inlineStr">
        <is>
          <t>Planned</t>
        </is>
      </c>
    </row>
    <row r="56" ht="30" customHeight="1">
      <c r="A56" s="28" t="inlineStr">
        <is>
          <t>CEO</t>
        </is>
      </c>
      <c r="B56" s="28" t="inlineStr">
        <is>
          <t>ORG-01</t>
        </is>
      </c>
      <c r="C56" s="28" t="inlineStr">
        <is>
          <t>Organisation &amp; master data</t>
        </is>
      </c>
      <c r="D56" s="28" t="inlineStr">
        <is>
          <t>Company rules and settings</t>
        </is>
      </c>
      <c r="E56" s="29" t="inlineStr">
        <is>
          <t>I</t>
        </is>
      </c>
      <c r="F56" s="28" t="inlineStr">
        <is>
          <t>Informed; sees the outcome in All.</t>
        </is>
      </c>
      <c r="G56" s="28" t="inlineStr">
        <is>
          <t>/settings/company</t>
        </is>
      </c>
      <c r="H56" s="29" t="inlineStr">
        <is>
          <t>Extended</t>
        </is>
      </c>
    </row>
    <row r="57" ht="30" customHeight="1">
      <c r="A57" s="28" t="inlineStr">
        <is>
          <t>CEO</t>
        </is>
      </c>
      <c r="B57" s="28" t="inlineStr">
        <is>
          <t>ORG-02</t>
        </is>
      </c>
      <c r="C57" s="28" t="inlineStr">
        <is>
          <t>Organisation &amp; master data</t>
        </is>
      </c>
      <c r="D57" s="28" t="inlineStr">
        <is>
          <t>Working calendar and holidays</t>
        </is>
      </c>
      <c r="E57" s="29" t="inlineStr">
        <is>
          <t>I</t>
        </is>
      </c>
      <c r="F57" s="28" t="inlineStr">
        <is>
          <t>Informed; sees the outcome in Timesheet, Leave, Payroll.</t>
        </is>
      </c>
      <c r="G57" s="28" t="inlineStr">
        <is>
          <t>/settings/holidays</t>
        </is>
      </c>
      <c r="H57" s="29" t="inlineStr">
        <is>
          <t>Extended</t>
        </is>
      </c>
    </row>
    <row r="58" ht="30" customHeight="1">
      <c r="A58" s="28" t="inlineStr">
        <is>
          <t>CEO</t>
        </is>
      </c>
      <c r="B58" s="28" t="inlineStr">
        <is>
          <t>ORG-03</t>
        </is>
      </c>
      <c r="C58" s="28" t="inlineStr">
        <is>
          <t>Organisation &amp; master data</t>
        </is>
      </c>
      <c r="D58" s="28" t="inlineStr">
        <is>
          <t>Cost rates (CTC history)</t>
        </is>
      </c>
      <c r="E58" s="30" t="inlineStr">
        <is>
          <t>A</t>
        </is>
      </c>
      <c r="F58" s="28" t="inlineStr">
        <is>
          <t>Approves / signs off and owns the outcome; sees results in Project money tab, P&amp;L, Payroll.</t>
        </is>
      </c>
      <c r="G58" s="28" t="inlineStr">
        <is>
          <t>/settings/cost-rates</t>
        </is>
      </c>
      <c r="H58" s="29" t="inlineStr">
        <is>
          <t>Extended</t>
        </is>
      </c>
    </row>
    <row r="59" ht="30" customHeight="1">
      <c r="A59" s="28" t="inlineStr">
        <is>
          <t>CEO</t>
        </is>
      </c>
      <c r="B59" s="28" t="inlineStr">
        <is>
          <t>ORG-04</t>
        </is>
      </c>
      <c r="C59" s="28" t="inlineStr">
        <is>
          <t>Organisation &amp; master data</t>
        </is>
      </c>
      <c r="D59" s="28" t="inlineStr">
        <is>
          <t>Vendor master (onboard, block, unblock)</t>
        </is>
      </c>
      <c r="E59" s="30" t="inlineStr">
        <is>
          <t>A</t>
        </is>
      </c>
      <c r="F59" s="28" t="inlineStr">
        <is>
          <t>Approves / signs off and owns the outcome; sees results in Purchases &amp; vendors.</t>
        </is>
      </c>
      <c r="G59" s="28" t="inlineStr">
        <is>
          <t>/purchases (Vendors tab)</t>
        </is>
      </c>
      <c r="H59" s="29" t="inlineStr">
        <is>
          <t>Extended</t>
        </is>
      </c>
    </row>
    <row r="60" ht="30" customHeight="1">
      <c r="A60" s="28" t="inlineStr">
        <is>
          <t>CEO</t>
        </is>
      </c>
      <c r="B60" s="28" t="inlineStr">
        <is>
          <t>ORG-05</t>
        </is>
      </c>
      <c r="C60" s="28" t="inlineStr">
        <is>
          <t>Organisation &amp; master data</t>
        </is>
      </c>
      <c r="D60" s="28" t="inlineStr">
        <is>
          <t>Product, category and service catalogue maintenance</t>
        </is>
      </c>
      <c r="E60" s="29" t="inlineStr">
        <is>
          <t>I</t>
        </is>
      </c>
      <c r="F60" s="28" t="inlineStr">
        <is>
          <t>Planned (not built yet). Informed.</t>
        </is>
      </c>
      <c r="G60" s="28" t="inlineStr">
        <is>
          <t>-</t>
        </is>
      </c>
      <c r="H60" s="29" t="inlineStr">
        <is>
          <t>Planned</t>
        </is>
      </c>
    </row>
    <row r="61" ht="30" customHeight="1">
      <c r="A61" s="28" t="inlineStr">
        <is>
          <t>CEO</t>
        </is>
      </c>
      <c r="B61" s="28" t="inlineStr">
        <is>
          <t>ORG-06</t>
        </is>
      </c>
      <c r="C61" s="28" t="inlineStr">
        <is>
          <t>Organisation &amp; master data</t>
        </is>
      </c>
      <c r="D61" s="28" t="inlineStr">
        <is>
          <t>Multi-entity and multi-currency</t>
        </is>
      </c>
      <c r="E61" s="30" t="inlineStr">
        <is>
          <t>A</t>
        </is>
      </c>
      <c r="F61" s="28" t="inlineStr">
        <is>
          <t>Planned (not built yet). Approves / signs off and owns the outcome.</t>
        </is>
      </c>
      <c r="G61" s="28" t="inlineStr">
        <is>
          <t>-</t>
        </is>
      </c>
      <c r="H61" s="29" t="inlineStr">
        <is>
          <t>Planned</t>
        </is>
      </c>
    </row>
    <row r="62" ht="30" customHeight="1">
      <c r="A62" s="28" t="inlineStr">
        <is>
          <t>CEO</t>
        </is>
      </c>
      <c r="B62" s="28" t="inlineStr">
        <is>
          <t>SAL-01</t>
        </is>
      </c>
      <c r="C62" s="28" t="inlineStr">
        <is>
          <t>Sales &amp; CRM</t>
        </is>
      </c>
      <c r="D62" s="28" t="inlineStr">
        <is>
          <t>Lead capture</t>
        </is>
      </c>
      <c r="E62" s="29" t="inlineStr">
        <is>
          <t>I</t>
        </is>
      </c>
      <c r="F62" s="28" t="inlineStr">
        <is>
          <t>Informed; sees the outcome in Sales Home, CEO Home, Scorecard (new leads).</t>
        </is>
      </c>
      <c r="G62" s="28" t="inlineStr">
        <is>
          <t>/sales</t>
        </is>
      </c>
      <c r="H62" s="29" t="inlineStr">
        <is>
          <t>Live</t>
        </is>
      </c>
    </row>
    <row r="63" ht="30" customHeight="1">
      <c r="A63" s="28" t="inlineStr">
        <is>
          <t>CEO</t>
        </is>
      </c>
      <c r="B63" s="28" t="inlineStr">
        <is>
          <t>SAL-02</t>
        </is>
      </c>
      <c r="C63" s="28" t="inlineStr">
        <is>
          <t>Sales &amp; CRM</t>
        </is>
      </c>
      <c r="D63" s="28" t="inlineStr">
        <is>
          <t>Qualification, demo, proposal and negotiation</t>
        </is>
      </c>
      <c r="E63" s="29" t="inlineStr">
        <is>
          <t>I</t>
        </is>
      </c>
      <c r="F63" s="28" t="inlineStr">
        <is>
          <t>Informed; sees the outcome in Sales Home (pipeline by stage), CEO Home (revenue ahead).</t>
        </is>
      </c>
      <c r="G63" s="28" t="inlineStr">
        <is>
          <t>/sales, /sales/:id</t>
        </is>
      </c>
      <c r="H63" s="29" t="inlineStr">
        <is>
          <t>Live</t>
        </is>
      </c>
    </row>
    <row r="64" ht="30" customHeight="1">
      <c r="A64" s="28" t="inlineStr">
        <is>
          <t>CEO</t>
        </is>
      </c>
      <c r="B64" s="28" t="inlineStr">
        <is>
          <t>SAL-03</t>
        </is>
      </c>
      <c r="C64" s="28" t="inlineStr">
        <is>
          <t>Sales &amp; CRM</t>
        </is>
      </c>
      <c r="D64" s="28" t="inlineStr">
        <is>
          <t>Log sales activities and next steps</t>
        </is>
      </c>
      <c r="E64" s="29" t="inlineStr">
        <is>
          <t>I</t>
        </is>
      </c>
      <c r="F64" s="28" t="inlineStr">
        <is>
          <t>Informed; sees the outcome in Sales Home (recent activity), Scorecard (activities, follow-ups).</t>
        </is>
      </c>
      <c r="G64" s="28" t="inlineStr">
        <is>
          <t>/sales/:id</t>
        </is>
      </c>
      <c r="H64" s="29" t="inlineStr">
        <is>
          <t>Live</t>
        </is>
      </c>
    </row>
    <row r="65" ht="30" customHeight="1">
      <c r="A65" s="28" t="inlineStr">
        <is>
          <t>CEO</t>
        </is>
      </c>
      <c r="B65" s="28" t="inlineStr">
        <is>
          <t>SAL-04</t>
        </is>
      </c>
      <c r="C65" s="28" t="inlineStr">
        <is>
          <t>Sales &amp; CRM</t>
        </is>
      </c>
      <c r="D65" s="28" t="inlineStr">
        <is>
          <t>Close won and create the project</t>
        </is>
      </c>
      <c r="E65" s="29" t="inlineStr">
        <is>
          <t>I</t>
        </is>
      </c>
      <c r="F65" s="28" t="inlineStr">
        <is>
          <t>Informed (NTF-14 to PM (project assigned)); sees the outcome in Sales Home, CEO Home, Compensation.</t>
        </is>
      </c>
      <c r="G65" s="28" t="inlineStr">
        <is>
          <t>/sales/:id</t>
        </is>
      </c>
      <c r="H65" s="29" t="inlineStr">
        <is>
          <t>Live</t>
        </is>
      </c>
    </row>
    <row r="66" ht="17" customHeight="1">
      <c r="A66" s="28" t="inlineStr">
        <is>
          <t>CEO</t>
        </is>
      </c>
      <c r="B66" s="28" t="inlineStr">
        <is>
          <t>SAL-05</t>
        </is>
      </c>
      <c r="C66" s="28" t="inlineStr">
        <is>
          <t>Sales &amp; CRM</t>
        </is>
      </c>
      <c r="D66" s="28" t="inlineStr">
        <is>
          <t>Close lost with reason</t>
        </is>
      </c>
      <c r="E66" s="29" t="inlineStr">
        <is>
          <t>I</t>
        </is>
      </c>
      <c r="F66" s="28" t="inlineStr">
        <is>
          <t>Informed; sees the outcome in Sales performance, Lost revenue.</t>
        </is>
      </c>
      <c r="G66" s="28" t="inlineStr">
        <is>
          <t>/sales</t>
        </is>
      </c>
      <c r="H66" s="29" t="inlineStr">
        <is>
          <t>Extended</t>
        </is>
      </c>
    </row>
    <row r="67" ht="30" customHeight="1">
      <c r="A67" s="28" t="inlineStr">
        <is>
          <t>CEO</t>
        </is>
      </c>
      <c r="B67" s="28" t="inlineStr">
        <is>
          <t>SAL-06</t>
        </is>
      </c>
      <c r="C67" s="28" t="inlineStr">
        <is>
          <t>Sales &amp; CRM</t>
        </is>
      </c>
      <c r="D67" s="28" t="inlineStr">
        <is>
          <t>Stale deal follow-up</t>
        </is>
      </c>
      <c r="E67" s="29" t="inlineStr">
        <is>
          <t>I</t>
        </is>
      </c>
      <c r="F67" s="28" t="inlineStr">
        <is>
          <t>Informed (NTF-12 deal stale); sees the outcome in Insights &gt; Stale deals, CEO Home, Sales Home (deals needing action).</t>
        </is>
      </c>
      <c r="G67" s="28" t="inlineStr">
        <is>
          <t>/insights/stale_deals</t>
        </is>
      </c>
      <c r="H67" s="29" t="inlineStr">
        <is>
          <t>Live</t>
        </is>
      </c>
    </row>
    <row r="68" ht="17" customHeight="1">
      <c r="A68" s="28" t="inlineStr">
        <is>
          <t>CEO</t>
        </is>
      </c>
      <c r="B68" s="28" t="inlineStr">
        <is>
          <t>SAL-07</t>
        </is>
      </c>
      <c r="C68" s="28" t="inlineStr">
        <is>
          <t>Sales &amp; CRM</t>
        </is>
      </c>
      <c r="D68" s="28" t="inlineStr">
        <is>
          <t>Sales performance review</t>
        </is>
      </c>
      <c r="E68" s="29" t="inlineStr">
        <is>
          <t>I</t>
        </is>
      </c>
      <c r="F68" s="28" t="inlineStr">
        <is>
          <t>Informed; sees the outcome in Sales performance, Sales Home.</t>
        </is>
      </c>
      <c r="G68" s="28" t="inlineStr">
        <is>
          <t>/sales/performance</t>
        </is>
      </c>
      <c r="H68" s="29" t="inlineStr">
        <is>
          <t>Live</t>
        </is>
      </c>
    </row>
    <row r="69" ht="17" customHeight="1">
      <c r="A69" s="28" t="inlineStr">
        <is>
          <t>CEO</t>
        </is>
      </c>
      <c r="B69" s="28" t="inlineStr">
        <is>
          <t>SAL-08</t>
        </is>
      </c>
      <c r="C69" s="28" t="inlineStr">
        <is>
          <t>Sales &amp; CRM</t>
        </is>
      </c>
      <c r="D69" s="28" t="inlineStr">
        <is>
          <t>Quotation and estimate builder</t>
        </is>
      </c>
      <c r="E69" s="29" t="inlineStr">
        <is>
          <t>I</t>
        </is>
      </c>
      <c r="F69" s="28" t="inlineStr">
        <is>
          <t>Planned (not built yet). Informed.</t>
        </is>
      </c>
      <c r="G69" s="28" t="inlineStr">
        <is>
          <t>-</t>
        </is>
      </c>
      <c r="H69" s="29" t="inlineStr">
        <is>
          <t>Planned</t>
        </is>
      </c>
    </row>
    <row r="70" ht="17" customHeight="1">
      <c r="A70" s="28" t="inlineStr">
        <is>
          <t>CEO</t>
        </is>
      </c>
      <c r="B70" s="28" t="inlineStr">
        <is>
          <t>SAL-09</t>
        </is>
      </c>
      <c r="C70" s="28" t="inlineStr">
        <is>
          <t>Sales &amp; CRM</t>
        </is>
      </c>
      <c r="D70" s="28" t="inlineStr">
        <is>
          <t>Web and email lead capture</t>
        </is>
      </c>
      <c r="E70" s="29" t="inlineStr">
        <is>
          <t>I</t>
        </is>
      </c>
      <c r="F70" s="28" t="inlineStr">
        <is>
          <t>Planned (not built yet). Informed.</t>
        </is>
      </c>
      <c r="G70" s="28" t="inlineStr">
        <is>
          <t>-</t>
        </is>
      </c>
      <c r="H70" s="29" t="inlineStr">
        <is>
          <t>Planned</t>
        </is>
      </c>
    </row>
    <row r="71" ht="30" customHeight="1">
      <c r="A71" s="28" t="inlineStr">
        <is>
          <t>CEO</t>
        </is>
      </c>
      <c r="B71" s="28" t="inlineStr">
        <is>
          <t>CLI-01</t>
        </is>
      </c>
      <c r="C71" s="28" t="inlineStr">
        <is>
          <t>Client &amp; contract management</t>
        </is>
      </c>
      <c r="D71" s="28" t="inlineStr">
        <is>
          <t>Client master</t>
        </is>
      </c>
      <c r="E71" s="29" t="inlineStr">
        <is>
          <t>I</t>
        </is>
      </c>
      <c r="F71" s="28" t="inlineStr">
        <is>
          <t>Informed; sees the outcome in Clients &amp; contracts.</t>
        </is>
      </c>
      <c r="G71" s="28" t="inlineStr">
        <is>
          <t>/clients, /clients/:id</t>
        </is>
      </c>
      <c r="H71" s="29" t="inlineStr">
        <is>
          <t>New in v3</t>
        </is>
      </c>
    </row>
    <row r="72" ht="30" customHeight="1">
      <c r="A72" s="28" t="inlineStr">
        <is>
          <t>CEO</t>
        </is>
      </c>
      <c r="B72" s="28" t="inlineStr">
        <is>
          <t>CLI-02</t>
        </is>
      </c>
      <c r="C72" s="28" t="inlineStr">
        <is>
          <t>Client &amp; contract management</t>
        </is>
      </c>
      <c r="D72" s="28" t="inlineStr">
        <is>
          <t>Contract register</t>
        </is>
      </c>
      <c r="E72" s="29" t="inlineStr">
        <is>
          <t>I</t>
        </is>
      </c>
      <c r="F72" s="28" t="inlineStr">
        <is>
          <t>Informed; sees the outcome in Clients &amp; contracts.</t>
        </is>
      </c>
      <c r="G72" s="28" t="inlineStr">
        <is>
          <t>/clients/:id</t>
        </is>
      </c>
      <c r="H72" s="29" t="inlineStr">
        <is>
          <t>New in v3</t>
        </is>
      </c>
    </row>
    <row r="73" ht="30" customHeight="1">
      <c r="A73" s="28" t="inlineStr">
        <is>
          <t>CEO</t>
        </is>
      </c>
      <c r="B73" s="28" t="inlineStr">
        <is>
          <t>CLI-03</t>
        </is>
      </c>
      <c r="C73" s="28" t="inlineStr">
        <is>
          <t>Client &amp; contract management</t>
        </is>
      </c>
      <c r="D73" s="28" t="inlineStr">
        <is>
          <t>Contract renewal</t>
        </is>
      </c>
      <c r="E73" s="29" t="inlineStr">
        <is>
          <t>I</t>
        </is>
      </c>
      <c r="F73" s="28" t="inlineStr">
        <is>
          <t>Informed (NTF-13 contract renewal due); sees the outcome in Clients &amp; contracts (renewals).</t>
        </is>
      </c>
      <c r="G73" s="28" t="inlineStr">
        <is>
          <t>/clients</t>
        </is>
      </c>
      <c r="H73" s="29" t="inlineStr">
        <is>
          <t>New in v3</t>
        </is>
      </c>
    </row>
    <row r="74" ht="30" customHeight="1">
      <c r="A74" s="28" t="inlineStr">
        <is>
          <t>CEO</t>
        </is>
      </c>
      <c r="B74" s="28" t="inlineStr">
        <is>
          <t>CLI-04</t>
        </is>
      </c>
      <c r="C74" s="28" t="inlineStr">
        <is>
          <t>Client &amp; contract management</t>
        </is>
      </c>
      <c r="D74" s="28" t="inlineStr">
        <is>
          <t>Client health and 360 view</t>
        </is>
      </c>
      <c r="E74" s="29" t="inlineStr">
        <is>
          <t>I</t>
        </is>
      </c>
      <c r="F74" s="28" t="inlineStr">
        <is>
          <t>Informed; sees the outcome in Clients &amp; contracts, CEO (via clients).</t>
        </is>
      </c>
      <c r="G74" s="28" t="inlineStr">
        <is>
          <t>/clients/:id</t>
        </is>
      </c>
      <c r="H74" s="29" t="inlineStr">
        <is>
          <t>New in v3</t>
        </is>
      </c>
    </row>
    <row r="75" ht="30" customHeight="1">
      <c r="A75" s="28" t="inlineStr">
        <is>
          <t>CEO</t>
        </is>
      </c>
      <c r="B75" s="28" t="inlineStr">
        <is>
          <t>CLI-05</t>
        </is>
      </c>
      <c r="C75" s="28" t="inlineStr">
        <is>
          <t>Client &amp; contract management</t>
        </is>
      </c>
      <c r="D75" s="28" t="inlineStr">
        <is>
          <t>Client portal and deliverable sign-off</t>
        </is>
      </c>
      <c r="E75" s="29" t="inlineStr">
        <is>
          <t>I</t>
        </is>
      </c>
      <c r="F75" s="28" t="inlineStr">
        <is>
          <t>Planned (not built yet). Informed.</t>
        </is>
      </c>
      <c r="G75" s="28" t="inlineStr">
        <is>
          <t>-</t>
        </is>
      </c>
      <c r="H75" s="29" t="inlineStr">
        <is>
          <t>Planned</t>
        </is>
      </c>
    </row>
    <row r="76" ht="30" customHeight="1">
      <c r="A76" s="28" t="inlineStr">
        <is>
          <t>CEO</t>
        </is>
      </c>
      <c r="B76" s="28" t="inlineStr">
        <is>
          <t>CLI-06</t>
        </is>
      </c>
      <c r="C76" s="28" t="inlineStr">
        <is>
          <t>Client &amp; contract management</t>
        </is>
      </c>
      <c r="D76" s="28" t="inlineStr">
        <is>
          <t>Contract e-signature</t>
        </is>
      </c>
      <c r="E76" s="29" t="inlineStr">
        <is>
          <t>I</t>
        </is>
      </c>
      <c r="F76" s="28" t="inlineStr">
        <is>
          <t>Planned (not built yet). Informed.</t>
        </is>
      </c>
      <c r="G76" s="28" t="inlineStr">
        <is>
          <t>-</t>
        </is>
      </c>
      <c r="H76" s="29" t="inlineStr">
        <is>
          <t>Planned</t>
        </is>
      </c>
    </row>
    <row r="77" ht="30" customHeight="1">
      <c r="A77" s="28" t="inlineStr">
        <is>
          <t>CEO</t>
        </is>
      </c>
      <c r="B77" s="28" t="inlineStr">
        <is>
          <t>CLI-07</t>
        </is>
      </c>
      <c r="C77" s="28" t="inlineStr">
        <is>
          <t>Client &amp; contract management</t>
        </is>
      </c>
      <c r="D77" s="28" t="inlineStr">
        <is>
          <t>Customer satisfaction (CSAT / NPS)</t>
        </is>
      </c>
      <c r="E77" s="29" t="inlineStr">
        <is>
          <t>I</t>
        </is>
      </c>
      <c r="F77" s="28" t="inlineStr">
        <is>
          <t>Planned (not built yet). Informed.</t>
        </is>
      </c>
      <c r="G77" s="28" t="inlineStr">
        <is>
          <t>-</t>
        </is>
      </c>
      <c r="H77" s="29" t="inlineStr">
        <is>
          <t>Planned</t>
        </is>
      </c>
    </row>
    <row r="78" ht="30" customHeight="1">
      <c r="A78" s="28" t="inlineStr">
        <is>
          <t>CEO</t>
        </is>
      </c>
      <c r="B78" s="28" t="inlineStr">
        <is>
          <t>DEL-01</t>
        </is>
      </c>
      <c r="C78" s="28" t="inlineStr">
        <is>
          <t>Project delivery</t>
        </is>
      </c>
      <c r="D78" s="28" t="inlineStr">
        <is>
          <t>Create a project</t>
        </is>
      </c>
      <c r="E78" s="29" t="inlineStr">
        <is>
          <t>I</t>
        </is>
      </c>
      <c r="F78" s="28" t="inlineStr">
        <is>
          <t>Informed (NTF-14 "You manage PRJ-xxx"); sees the outcome in Projects list, CEO Home, PM Home.</t>
        </is>
      </c>
      <c r="G78" s="28" t="inlineStr">
        <is>
          <t>/projects</t>
        </is>
      </c>
      <c r="H78" s="29" t="inlineStr">
        <is>
          <t>Live</t>
        </is>
      </c>
    </row>
    <row r="79" ht="30" customHeight="1">
      <c r="A79" s="28" t="inlineStr">
        <is>
          <t>CEO</t>
        </is>
      </c>
      <c r="B79" s="28" t="inlineStr">
        <is>
          <t>DEL-02</t>
        </is>
      </c>
      <c r="C79" s="28" t="inlineStr">
        <is>
          <t>Project delivery</t>
        </is>
      </c>
      <c r="D79" s="28" t="inlineStr">
        <is>
          <t>Milestones: plan, baseline and slip</t>
        </is>
      </c>
      <c r="E79" s="29" t="inlineStr">
        <is>
          <t>I</t>
        </is>
      </c>
      <c r="F79" s="28" t="inlineStr">
        <is>
          <t>Informed (NTF-15 milestone auto-deleted / deleted); sees the outcome in PM Home (upcoming milestones), CEO Home (milestones due 30 days).</t>
        </is>
      </c>
      <c r="G79" s="28" t="inlineStr">
        <is>
          <t>/projects/:id/wbs</t>
        </is>
      </c>
      <c r="H79" s="29" t="inlineStr">
        <is>
          <t>Live</t>
        </is>
      </c>
    </row>
    <row r="80" ht="30" customHeight="1">
      <c r="A80" s="28" t="inlineStr">
        <is>
          <t>CEO</t>
        </is>
      </c>
      <c r="B80" s="28" t="inlineStr">
        <is>
          <t>DEL-03</t>
        </is>
      </c>
      <c r="C80" s="28" t="inlineStr">
        <is>
          <t>Project delivery</t>
        </is>
      </c>
      <c r="D80" s="28" t="inlineStr">
        <is>
          <t>Build the WBS (tasks, owners, estimates, dependencies)</t>
        </is>
      </c>
      <c r="E80" s="29" t="inlineStr">
        <is>
          <t>I</t>
        </is>
      </c>
      <c r="F80" s="28" t="inlineStr">
        <is>
          <t>Informed (NTF-14 task assigned); sees the outcome in Project WBS, My tasks.</t>
        </is>
      </c>
      <c r="G80" s="28" t="inlineStr">
        <is>
          <t>/projects/:id/wbs</t>
        </is>
      </c>
      <c r="H80" s="29" t="inlineStr">
        <is>
          <t>Extended</t>
        </is>
      </c>
    </row>
    <row r="81" ht="17" customHeight="1">
      <c r="A81" s="28" t="inlineStr">
        <is>
          <t>CEO</t>
        </is>
      </c>
      <c r="B81" s="28" t="inlineStr">
        <is>
          <t>DEL-04</t>
        </is>
      </c>
      <c r="C81" s="28" t="inlineStr">
        <is>
          <t>Project delivery</t>
        </is>
      </c>
      <c r="D81" s="28" t="inlineStr">
        <is>
          <t>Import a WBS from Excel/CSV</t>
        </is>
      </c>
      <c r="E81" s="29" t="inlineStr">
        <is>
          <t>I</t>
        </is>
      </c>
      <c r="F81" s="28" t="inlineStr">
        <is>
          <t>Informed (NTF-14 (one per owner)); sees the outcome in Project WBS.</t>
        </is>
      </c>
      <c r="G81" s="28" t="inlineStr">
        <is>
          <t>/projects/:id/import</t>
        </is>
      </c>
      <c r="H81" s="29" t="inlineStr">
        <is>
          <t>Live</t>
        </is>
      </c>
    </row>
    <row r="82" ht="30" customHeight="1">
      <c r="A82" s="28" t="inlineStr">
        <is>
          <t>CEO</t>
        </is>
      </c>
      <c r="B82" s="28" t="inlineStr">
        <is>
          <t>DEL-05</t>
        </is>
      </c>
      <c r="C82" s="28" t="inlineStr">
        <is>
          <t>Project delivery</t>
        </is>
      </c>
      <c r="D82" s="28" t="inlineStr">
        <is>
          <t>Allocate people to milestones</t>
        </is>
      </c>
      <c r="E82" s="29" t="inlineStr">
        <is>
          <t>I</t>
        </is>
      </c>
      <c r="F82" s="28" t="inlineStr">
        <is>
          <t>Informed; sees the outcome in PM Home (resource load), Insights &gt; Allocation, CEO Home (utilisation).</t>
        </is>
      </c>
      <c r="G82" s="28" t="inlineStr">
        <is>
          <t>/projects/:id/team</t>
        </is>
      </c>
      <c r="H82" s="29" t="inlineStr">
        <is>
          <t>Live</t>
        </is>
      </c>
    </row>
    <row r="83" ht="17" customHeight="1">
      <c r="A83" s="28" t="inlineStr">
        <is>
          <t>CEO</t>
        </is>
      </c>
      <c r="B83" s="28" t="inlineStr">
        <is>
          <t>DEL-06</t>
        </is>
      </c>
      <c r="C83" s="28" t="inlineStr">
        <is>
          <t>Project delivery</t>
        </is>
      </c>
      <c r="D83" s="28" t="inlineStr">
        <is>
          <t>Schedule, Gantt and critical path</t>
        </is>
      </c>
      <c r="E83" s="29" t="inlineStr">
        <is>
          <t>I</t>
        </is>
      </c>
      <c r="F83" s="28" t="inlineStr">
        <is>
          <t>Informed; sees the outcome in Project schedule, Insights &gt; Predictions.</t>
        </is>
      </c>
      <c r="G83" s="28" t="inlineStr">
        <is>
          <t>/projects/:id/schedule</t>
        </is>
      </c>
      <c r="H83" s="29" t="inlineStr">
        <is>
          <t>Live</t>
        </is>
      </c>
    </row>
    <row r="84" ht="30" customHeight="1">
      <c r="A84" s="28" t="inlineStr">
        <is>
          <t>CEO</t>
        </is>
      </c>
      <c r="B84" s="28" t="inlineStr">
        <is>
          <t>DEL-07</t>
        </is>
      </c>
      <c r="C84" s="28" t="inlineStr">
        <is>
          <t>Project delivery</t>
        </is>
      </c>
      <c r="D84" s="28" t="inlineStr">
        <is>
          <t>Project status lifecycle</t>
        </is>
      </c>
      <c r="E84" s="29" t="inlineStr">
        <is>
          <t>I</t>
        </is>
      </c>
      <c r="F84" s="28" t="inlineStr">
        <is>
          <t>Informed (NTF-14 status changed (to PM)); sees the outcome in Projects list, CEO project health strip.</t>
        </is>
      </c>
      <c r="G84" s="28" t="inlineStr">
        <is>
          <t>/projects/:id</t>
        </is>
      </c>
      <c r="H84" s="29" t="inlineStr">
        <is>
          <t>Live</t>
        </is>
      </c>
    </row>
    <row r="85" ht="30" customHeight="1">
      <c r="A85" s="28" t="inlineStr">
        <is>
          <t>CEO</t>
        </is>
      </c>
      <c r="B85" s="28" t="inlineStr">
        <is>
          <t>DEL-08</t>
        </is>
      </c>
      <c r="C85" s="28" t="inlineStr">
        <is>
          <t>Project delivery</t>
        </is>
      </c>
      <c r="D85" s="28" t="inlineStr">
        <is>
          <t>Change requests</t>
        </is>
      </c>
      <c r="E85" s="29" t="inlineStr">
        <is>
          <t>I</t>
        </is>
      </c>
      <c r="F85" s="28" t="inlineStr">
        <is>
          <t>Informed (NTF-14 CR approved (to raiser)); sees the outcome in PM Home (change requests), Approvals inbox (change_request), Lost revenue.</t>
        </is>
      </c>
      <c r="G85" s="28" t="inlineStr">
        <is>
          <t>/projects/:id/changes</t>
        </is>
      </c>
      <c r="H85" s="29" t="inlineStr">
        <is>
          <t>Extended</t>
        </is>
      </c>
    </row>
    <row r="86" ht="30" customHeight="1">
      <c r="A86" s="28" t="inlineStr">
        <is>
          <t>CEO</t>
        </is>
      </c>
      <c r="B86" s="28" t="inlineStr">
        <is>
          <t>DEL-09</t>
        </is>
      </c>
      <c r="C86" s="28" t="inlineStr">
        <is>
          <t>Project delivery</t>
        </is>
      </c>
      <c r="D86" s="28" t="inlineStr">
        <is>
          <t>Margin and health monitoring</t>
        </is>
      </c>
      <c r="E86" s="29" t="inlineStr">
        <is>
          <t>I</t>
        </is>
      </c>
      <c r="F86" s="28" t="inlineStr">
        <is>
          <t>Informed; sees the outcome in PM Home (delivery control), CEO Home (project health), Insights.</t>
        </is>
      </c>
      <c r="G86" s="28" t="inlineStr">
        <is>
          <t>/projects/:id/money</t>
        </is>
      </c>
      <c r="H86" s="29" t="inlineStr">
        <is>
          <t>Live</t>
        </is>
      </c>
    </row>
    <row r="87" ht="17" customHeight="1">
      <c r="A87" s="28" t="inlineStr">
        <is>
          <t>CEO</t>
        </is>
      </c>
      <c r="B87" s="28" t="inlineStr">
        <is>
          <t>DEL-10</t>
        </is>
      </c>
      <c r="C87" s="28" t="inlineStr">
        <is>
          <t>Project delivery</t>
        </is>
      </c>
      <c r="D87" s="28" t="inlineStr">
        <is>
          <t>Client status report (money-free view)</t>
        </is>
      </c>
      <c r="E87" s="29" t="inlineStr">
        <is>
          <t>I</t>
        </is>
      </c>
      <c r="F87" s="28" t="inlineStr">
        <is>
          <t>Informed; sees the outcome in Client view page.</t>
        </is>
      </c>
      <c r="G87" s="28" t="inlineStr">
        <is>
          <t>/projects/:id/client-view</t>
        </is>
      </c>
      <c r="H87" s="29" t="inlineStr">
        <is>
          <t>Live</t>
        </is>
      </c>
    </row>
    <row r="88" ht="17" customHeight="1">
      <c r="A88" s="28" t="inlineStr">
        <is>
          <t>CEO</t>
        </is>
      </c>
      <c r="B88" s="28" t="inlineStr">
        <is>
          <t>DEL-11</t>
        </is>
      </c>
      <c r="C88" s="28" t="inlineStr">
        <is>
          <t>Project delivery</t>
        </is>
      </c>
      <c r="D88" s="28" t="inlineStr">
        <is>
          <t>Project closure</t>
        </is>
      </c>
      <c r="E88" s="29" t="inlineStr">
        <is>
          <t>I</t>
        </is>
      </c>
      <c r="F88" s="28" t="inlineStr">
        <is>
          <t>Informed (NTF-14 status changed); sees the outcome in Projects, P&amp;L.</t>
        </is>
      </c>
      <c r="G88" s="28" t="inlineStr">
        <is>
          <t>/projects/:id</t>
        </is>
      </c>
      <c r="H88" s="29" t="inlineStr">
        <is>
          <t>Live</t>
        </is>
      </c>
    </row>
    <row r="89" ht="17" customHeight="1">
      <c r="A89" s="28" t="inlineStr">
        <is>
          <t>CEO</t>
        </is>
      </c>
      <c r="B89" s="28" t="inlineStr">
        <is>
          <t>DEL-12</t>
        </is>
      </c>
      <c r="C89" s="28" t="inlineStr">
        <is>
          <t>Project delivery</t>
        </is>
      </c>
      <c r="D89" s="28" t="inlineStr">
        <is>
          <t>Resource requisition</t>
        </is>
      </c>
      <c r="E89" s="29" t="inlineStr">
        <is>
          <t>I</t>
        </is>
      </c>
      <c r="F89" s="28" t="inlineStr">
        <is>
          <t>Planned (not built yet). Informed.</t>
        </is>
      </c>
      <c r="G89" s="28" t="inlineStr">
        <is>
          <t>-</t>
        </is>
      </c>
      <c r="H89" s="29" t="inlineStr">
        <is>
          <t>Planned</t>
        </is>
      </c>
    </row>
    <row r="90" ht="17" customHeight="1">
      <c r="A90" s="28" t="inlineStr">
        <is>
          <t>CEO</t>
        </is>
      </c>
      <c r="B90" s="28" t="inlineStr">
        <is>
          <t>DEL-13</t>
        </is>
      </c>
      <c r="C90" s="28" t="inlineStr">
        <is>
          <t>Project delivery</t>
        </is>
      </c>
      <c r="D90" s="28" t="inlineStr">
        <is>
          <t>Capacity planning and forecasting</t>
        </is>
      </c>
      <c r="E90" s="29" t="inlineStr">
        <is>
          <t>I</t>
        </is>
      </c>
      <c r="F90" s="28" t="inlineStr">
        <is>
          <t>Planned (not built yet). Informed.</t>
        </is>
      </c>
      <c r="G90" s="28" t="inlineStr">
        <is>
          <t>-</t>
        </is>
      </c>
      <c r="H90" s="29" t="inlineStr">
        <is>
          <t>Planned</t>
        </is>
      </c>
    </row>
    <row r="91" ht="17" customHeight="1">
      <c r="A91" s="28" t="inlineStr">
        <is>
          <t>CEO</t>
        </is>
      </c>
      <c r="B91" s="28" t="inlineStr">
        <is>
          <t>DEL-14</t>
        </is>
      </c>
      <c r="C91" s="28" t="inlineStr">
        <is>
          <t>Project delivery</t>
        </is>
      </c>
      <c r="D91" s="28" t="inlineStr">
        <is>
          <t>Support / AMS ticketing with SLA</t>
        </is>
      </c>
      <c r="E91" s="29" t="inlineStr">
        <is>
          <t>I</t>
        </is>
      </c>
      <c r="F91" s="28" t="inlineStr">
        <is>
          <t>Planned (not built yet). Informed.</t>
        </is>
      </c>
      <c r="G91" s="28" t="inlineStr">
        <is>
          <t>-</t>
        </is>
      </c>
      <c r="H91" s="29" t="inlineStr">
        <is>
          <t>Planned</t>
        </is>
      </c>
    </row>
    <row r="92" ht="30" customHeight="1">
      <c r="A92" s="28" t="inlineStr">
        <is>
          <t>CEO</t>
        </is>
      </c>
      <c r="B92" s="28" t="inlineStr">
        <is>
          <t>TSK-01</t>
        </is>
      </c>
      <c r="C92" s="28" t="inlineStr">
        <is>
          <t>Task governance</t>
        </is>
      </c>
      <c r="D92" s="28" t="inlineStr">
        <is>
          <t>Manager assigns a task</t>
        </is>
      </c>
      <c r="E92" s="29" t="inlineStr">
        <is>
          <t>I</t>
        </is>
      </c>
      <c r="F92" s="28" t="inlineStr">
        <is>
          <t>Informed (NTF-14 task assigned); sees the outcome in Team tasks, My tasks, Employee Home (Today / This week).</t>
        </is>
      </c>
      <c r="G92" s="28" t="inlineStr">
        <is>
          <t>/team-tasks?tab=assign</t>
        </is>
      </c>
      <c r="H92" s="29" t="inlineStr">
        <is>
          <t>New in v3</t>
        </is>
      </c>
    </row>
    <row r="93" ht="30" customHeight="1">
      <c r="A93" s="28" t="inlineStr">
        <is>
          <t>CEO</t>
        </is>
      </c>
      <c r="B93" s="28" t="inlineStr">
        <is>
          <t>TSK-02</t>
        </is>
      </c>
      <c r="C93" s="28" t="inlineStr">
        <is>
          <t>Task governance</t>
        </is>
      </c>
      <c r="D93" s="28" t="inlineStr">
        <is>
          <t>Work my tasks (start, progress, covering)</t>
        </is>
      </c>
      <c r="E93" s="29" t="inlineStr">
        <is>
          <t>I</t>
        </is>
      </c>
      <c r="F93" s="28" t="inlineStr">
        <is>
          <t>Informed; sees the outcome in Employee Home (Today, Blockers, Others waiting on you).</t>
        </is>
      </c>
      <c r="G93" s="28" t="inlineStr">
        <is>
          <t>/my-tasks, task drawer</t>
        </is>
      </c>
      <c r="H93" s="29" t="inlineStr">
        <is>
          <t>Live</t>
        </is>
      </c>
    </row>
    <row r="94" ht="43" customHeight="1">
      <c r="A94" s="28" t="inlineStr">
        <is>
          <t>CEO</t>
        </is>
      </c>
      <c r="B94" s="28" t="inlineStr">
        <is>
          <t>TSK-03</t>
        </is>
      </c>
      <c r="C94" s="28" t="inlineStr">
        <is>
          <t>Task governance</t>
        </is>
      </c>
      <c r="D94" s="28" t="inlineStr">
        <is>
          <t>Report a blocker; comments and @mentions</t>
        </is>
      </c>
      <c r="E94" s="29" t="inlineStr">
        <is>
          <t>I</t>
        </is>
      </c>
      <c r="F94" s="28" t="inlineStr">
        <is>
          <t>Informed (NTF-14 task blocked (to PM); NTF-03 mention; NTF-14 "You can start a task"); sees the outcome in Insights &gt; Blocked, PM Home (Blocked), Employee Home (Blockers).</t>
        </is>
      </c>
      <c r="G94" s="28" t="inlineStr">
        <is>
          <t>Task drawer</t>
        </is>
      </c>
      <c r="H94" s="29" t="inlineStr">
        <is>
          <t>Live</t>
        </is>
      </c>
    </row>
    <row r="95" ht="43" customHeight="1">
      <c r="A95" s="28" t="inlineStr">
        <is>
          <t>CEO</t>
        </is>
      </c>
      <c r="B95" s="28" t="inlineStr">
        <is>
          <t>TSK-04</t>
        </is>
      </c>
      <c r="C95" s="28" t="inlineStr">
        <is>
          <t>Task governance</t>
        </is>
      </c>
      <c r="D95" s="28" t="inlineStr">
        <is>
          <t>Submit task for review</t>
        </is>
      </c>
      <c r="E95" s="29" t="inlineStr">
        <is>
          <t>I</t>
        </is>
      </c>
      <c r="F95" s="28" t="inlineStr">
        <is>
          <t>Informed (NTF-04 task waiting for your review / resubmitted); sees the outcome in Approvals inbox (task_review), Team tasks &gt; Review queue; Reports / Ask AI (task_reviews).</t>
        </is>
      </c>
      <c r="G95" s="28" t="inlineStr">
        <is>
          <t>Task drawer &gt; Submit for review</t>
        </is>
      </c>
      <c r="H95" s="29" t="inlineStr">
        <is>
          <t>New in v3</t>
        </is>
      </c>
    </row>
    <row r="96" ht="30" customHeight="1">
      <c r="A96" s="28" t="inlineStr">
        <is>
          <t>CEO</t>
        </is>
      </c>
      <c r="B96" s="28" t="inlineStr">
        <is>
          <t>TSK-05</t>
        </is>
      </c>
      <c r="C96" s="28" t="inlineStr">
        <is>
          <t>Task governance</t>
        </is>
      </c>
      <c r="D96" s="28" t="inlineStr">
        <is>
          <t>Delay reason capture</t>
        </is>
      </c>
      <c r="E96" s="29" t="inlineStr">
        <is>
          <t>I</t>
        </is>
      </c>
      <c r="F96" s="28" t="inlineStr">
        <is>
          <t>Informed; sees the outcome in Team tasks &gt; Performance (top reasons), Approvals inbox, My performance; Reports / Ask AI (tasks, task_reviews).</t>
        </is>
      </c>
      <c r="G96" s="28" t="inlineStr">
        <is>
          <t>Task drawer &gt; Submit for review</t>
        </is>
      </c>
      <c r="H96" s="29" t="inlineStr">
        <is>
          <t>New in v3</t>
        </is>
      </c>
    </row>
    <row r="97" ht="56" customHeight="1">
      <c r="A97" s="28" t="inlineStr">
        <is>
          <t>CEO</t>
        </is>
      </c>
      <c r="B97" s="28" t="inlineStr">
        <is>
          <t>TSK-06</t>
        </is>
      </c>
      <c r="C97" s="28" t="inlineStr">
        <is>
          <t>Task governance</t>
        </is>
      </c>
      <c r="D97" s="28" t="inlineStr">
        <is>
          <t>Approve task with quality rating</t>
        </is>
      </c>
      <c r="E97" s="29" t="inlineStr">
        <is>
          <t>I</t>
        </is>
      </c>
      <c r="F97" s="28" t="inlineStr">
        <is>
          <t>Informed (NTF-05 task approved (with rating and timeliness)); sees the outcome in CEO/PM/Employee Home (task delivery), Team tasks &gt; Performance, My performance, Appraisal metrics, Scorecard; Reports / Ask AI (tasks, task_reviews).</t>
        </is>
      </c>
      <c r="G97" s="28" t="inlineStr">
        <is>
          <t>/inbox, /team-tasks?tab=review, task drawer</t>
        </is>
      </c>
      <c r="H97" s="29" t="inlineStr">
        <is>
          <t>Extended</t>
        </is>
      </c>
    </row>
    <row r="98" ht="30" customHeight="1">
      <c r="A98" s="28" t="inlineStr">
        <is>
          <t>CEO</t>
        </is>
      </c>
      <c r="B98" s="28" t="inlineStr">
        <is>
          <t>TSK-07</t>
        </is>
      </c>
      <c r="C98" s="28" t="inlineStr">
        <is>
          <t>Task governance</t>
        </is>
      </c>
      <c r="D98" s="28" t="inlineStr">
        <is>
          <t>Send back with reason</t>
        </is>
      </c>
      <c r="E98" s="29" t="inlineStr">
        <is>
          <t>I</t>
        </is>
      </c>
      <c r="F98" s="28" t="inlineStr">
        <is>
          <t>Informed (NTF-06 task sent back); sees the outcome in Team tasks (sent-back count, last reason), My performance; Reports / Ask AI (task_reviews).</t>
        </is>
      </c>
      <c r="G98" s="28" t="inlineStr">
        <is>
          <t>/inbox, task drawer</t>
        </is>
      </c>
      <c r="H98" s="29" t="inlineStr">
        <is>
          <t>Extended</t>
        </is>
      </c>
    </row>
    <row r="99" ht="30" customHeight="1">
      <c r="A99" s="28" t="inlineStr">
        <is>
          <t>CEO</t>
        </is>
      </c>
      <c r="B99" s="28" t="inlineStr">
        <is>
          <t>TSK-08</t>
        </is>
      </c>
      <c r="C99" s="28" t="inlineStr">
        <is>
          <t>Task governance</t>
        </is>
      </c>
      <c r="D99" s="28" t="inlineStr">
        <is>
          <t>Reschedule a task with reason</t>
        </is>
      </c>
      <c r="E99" s="29" t="inlineStr">
        <is>
          <t>I</t>
        </is>
      </c>
      <c r="F99" s="28" t="inlineStr">
        <is>
          <t>Informed (NTF-14 due date changed); sees the outcome in Team tasks &gt; Team.</t>
        </is>
      </c>
      <c r="G99" s="28" t="inlineStr">
        <is>
          <t>Task drawer</t>
        </is>
      </c>
      <c r="H99" s="29" t="inlineStr">
        <is>
          <t>New in v3</t>
        </is>
      </c>
    </row>
    <row r="100" ht="43" customHeight="1">
      <c r="A100" s="28" t="inlineStr">
        <is>
          <t>CEO</t>
        </is>
      </c>
      <c r="B100" s="28" t="inlineStr">
        <is>
          <t>TSK-09</t>
        </is>
      </c>
      <c r="C100" s="28" t="inlineStr">
        <is>
          <t>Task governance</t>
        </is>
      </c>
      <c r="D100" s="28" t="inlineStr">
        <is>
          <t>Timeliness: early, on time or late</t>
        </is>
      </c>
      <c r="E100" s="29" t="inlineStr">
        <is>
          <t>I</t>
        </is>
      </c>
      <c r="F100" s="28" t="inlineStr">
        <is>
          <t>Informed; sees the outcome in CEO Home, HR &amp; operations Home, PM Home, Employee Home (task delivery panels), Team tasks &gt; Performance, Scorecard, Appraisals, Reports / Ask AI (tasks.timeliness).</t>
        </is>
      </c>
      <c r="G100" s="28" t="inlineStr">
        <is>
          <t>Computed (performance.ts)</t>
        </is>
      </c>
      <c r="H100" s="29" t="inlineStr">
        <is>
          <t>New in v3</t>
        </is>
      </c>
    </row>
    <row r="101" ht="17" customHeight="1">
      <c r="A101" s="28" t="inlineStr">
        <is>
          <t>CEO</t>
        </is>
      </c>
      <c r="B101" s="28" t="inlineStr">
        <is>
          <t>TSK-10</t>
        </is>
      </c>
      <c r="C101" s="28" t="inlineStr">
        <is>
          <t>Task governance</t>
        </is>
      </c>
      <c r="D101" s="28" t="inlineStr">
        <is>
          <t>Team task monitoring</t>
        </is>
      </c>
      <c r="E101" s="29" t="inlineStr">
        <is>
          <t>I</t>
        </is>
      </c>
      <c r="F101" s="28" t="inlineStr">
        <is>
          <t>Informed; sees the outcome in Team tasks; Reports / Ask AI (tasks).</t>
        </is>
      </c>
      <c r="G101" s="28" t="inlineStr">
        <is>
          <t>/team-tasks?tab=team</t>
        </is>
      </c>
      <c r="H101" s="29" t="inlineStr">
        <is>
          <t>New in v3</t>
        </is>
      </c>
    </row>
    <row r="102" ht="56" customHeight="1">
      <c r="A102" s="28" t="inlineStr">
        <is>
          <t>CEO</t>
        </is>
      </c>
      <c r="B102" s="28" t="inlineStr">
        <is>
          <t>TSK-11</t>
        </is>
      </c>
      <c r="C102" s="28" t="inlineStr">
        <is>
          <t>Task governance</t>
        </is>
      </c>
      <c r="D102" s="28" t="inlineStr">
        <is>
          <t>Team and company delivery performance</t>
        </is>
      </c>
      <c r="E102" s="29" t="inlineStr">
        <is>
          <t>I</t>
        </is>
      </c>
      <c r="F102" s="28" t="inlineStr">
        <is>
          <t>Informed; sees the outcome in CEO Home and HR &amp; operations Home (company, 90 days), PM Home (team), Employee Home (my delivery), CEO People panel (on-time %), Team tasks &gt; Performance, Reports / Ask AI (tasks, task_reviews).</t>
        </is>
      </c>
      <c r="G102" s="28" t="inlineStr">
        <is>
          <t>/team-tasks?tab=performance, /home</t>
        </is>
      </c>
      <c r="H102" s="29" t="inlineStr">
        <is>
          <t>New in v3</t>
        </is>
      </c>
    </row>
    <row r="103" ht="30" customHeight="1">
      <c r="A103" s="28" t="inlineStr">
        <is>
          <t>CEO</t>
        </is>
      </c>
      <c r="B103" s="28" t="inlineStr">
        <is>
          <t>TIM-01</t>
        </is>
      </c>
      <c r="C103" s="28" t="inlineStr">
        <is>
          <t>Time &amp; attendance</t>
        </is>
      </c>
      <c r="D103" s="28" t="inlineStr">
        <is>
          <t>Weekly timesheet entry</t>
        </is>
      </c>
      <c r="E103" s="29" t="inlineStr">
        <is>
          <t>I</t>
        </is>
      </c>
      <c r="F103" s="28" t="inlineStr">
        <is>
          <t>Informed; sees the outcome in Employee Home (my timesheet), Scorecard (timesheet).</t>
        </is>
      </c>
      <c r="G103" s="28" t="inlineStr">
        <is>
          <t>/timesheet</t>
        </is>
      </c>
      <c r="H103" s="29" t="inlineStr">
        <is>
          <t>Live</t>
        </is>
      </c>
    </row>
    <row r="104" ht="30" customHeight="1">
      <c r="A104" s="28" t="inlineStr">
        <is>
          <t>CEO</t>
        </is>
      </c>
      <c r="B104" s="28" t="inlineStr">
        <is>
          <t>TIM-02</t>
        </is>
      </c>
      <c r="C104" s="28" t="inlineStr">
        <is>
          <t>Time &amp; attendance</t>
        </is>
      </c>
      <c r="D104" s="28" t="inlineStr">
        <is>
          <t>Submit the week</t>
        </is>
      </c>
      <c r="E104" s="29" t="inlineStr">
        <is>
          <t>I</t>
        </is>
      </c>
      <c r="F104" s="28" t="inlineStr">
        <is>
          <t>Informed (NTF-04 timesheet submitted; NTF-09 Friday nudge); sees the outcome in Insights &gt; Timesheet compliance, HR Home (timesheets missing).</t>
        </is>
      </c>
      <c r="G104" s="28" t="inlineStr">
        <is>
          <t>/timesheet</t>
        </is>
      </c>
      <c r="H104" s="29" t="inlineStr">
        <is>
          <t>Live</t>
        </is>
      </c>
    </row>
    <row r="105" ht="43" customHeight="1">
      <c r="A105" s="28" t="inlineStr">
        <is>
          <t>CEO</t>
        </is>
      </c>
      <c r="B105" s="28" t="inlineStr">
        <is>
          <t>TIM-03</t>
        </is>
      </c>
      <c r="C105" s="28" t="inlineStr">
        <is>
          <t>Time &amp; attendance</t>
        </is>
      </c>
      <c r="D105" s="28" t="inlineStr">
        <is>
          <t>Timesheet approval and SLA</t>
        </is>
      </c>
      <c r="E105" s="30" t="inlineStr">
        <is>
          <t>A</t>
        </is>
      </c>
      <c r="F105" s="28" t="inlineStr">
        <is>
          <t>Approves / signs off and owns the outcome; sees results in Approvals inbox (timesheet), PM Home (approvals for me), CEO Home (approvals by manager), Insights &gt; Approval KPI, Team grid, Scorecard (approvals).</t>
        </is>
      </c>
      <c r="G105" s="28" t="inlineStr">
        <is>
          <t>/approvals, /inbox, /team</t>
        </is>
      </c>
      <c r="H105" s="29" t="inlineStr">
        <is>
          <t>Extended</t>
        </is>
      </c>
    </row>
    <row r="106" ht="30" customHeight="1">
      <c r="A106" s="28" t="inlineStr">
        <is>
          <t>CEO</t>
        </is>
      </c>
      <c r="B106" s="28" t="inlineStr">
        <is>
          <t>TIM-04</t>
        </is>
      </c>
      <c r="C106" s="28" t="inlineStr">
        <is>
          <t>Time &amp; attendance</t>
        </is>
      </c>
      <c r="D106" s="28" t="inlineStr">
        <is>
          <t>Weekly lock and unlock request</t>
        </is>
      </c>
      <c r="E106" s="30" t="inlineStr">
        <is>
          <t>A</t>
        </is>
      </c>
      <c r="F106" s="28" t="inlineStr">
        <is>
          <t>Approves / signs off and owns the outcome; sees results in Approvals inbox (unlock).</t>
        </is>
      </c>
      <c r="G106" s="28" t="inlineStr">
        <is>
          <t>/timesheet, /approvals, /inbox</t>
        </is>
      </c>
      <c r="H106" s="29" t="inlineStr">
        <is>
          <t>Live</t>
        </is>
      </c>
    </row>
    <row r="107" ht="17" customHeight="1">
      <c r="A107" s="28" t="inlineStr">
        <is>
          <t>CEO</t>
        </is>
      </c>
      <c r="B107" s="28" t="inlineStr">
        <is>
          <t>TIM-05</t>
        </is>
      </c>
      <c r="C107" s="28" t="inlineStr">
        <is>
          <t>Time &amp; attendance</t>
        </is>
      </c>
      <c r="D107" s="28" t="inlineStr">
        <is>
          <t>Daily update with proof</t>
        </is>
      </c>
      <c r="E107" s="29" t="inlineStr">
        <is>
          <t>I</t>
        </is>
      </c>
      <c r="F107" s="28" t="inlineStr">
        <is>
          <t>Informed; sees the outcome in Scorecard (updates, demo).</t>
        </is>
      </c>
      <c r="G107" s="28" t="inlineStr">
        <is>
          <t>/daily</t>
        </is>
      </c>
      <c r="H107" s="29" t="inlineStr">
        <is>
          <t>Live</t>
        </is>
      </c>
    </row>
    <row r="108" ht="43" customHeight="1">
      <c r="A108" s="28" t="inlineStr">
        <is>
          <t>CEO</t>
        </is>
      </c>
      <c r="B108" s="28" t="inlineStr">
        <is>
          <t>TIM-06</t>
        </is>
      </c>
      <c r="C108" s="28" t="inlineStr">
        <is>
          <t>Time &amp; attendance</t>
        </is>
      </c>
      <c r="D108" s="28" t="inlineStr">
        <is>
          <t>Apply for leave</t>
        </is>
      </c>
      <c r="E108" s="29" t="inlineStr">
        <is>
          <t>I</t>
        </is>
      </c>
      <c r="F108" s="28" t="inlineStr">
        <is>
          <t>Informed (NTF-04 leave request (manager + delegate)); sees the outcome in Leave page, Approvals inbox, HR Home (leave to approve); Reports / Ask AI (leave_requests).</t>
        </is>
      </c>
      <c r="G108" s="28" t="inlineStr">
        <is>
          <t>/leave</t>
        </is>
      </c>
      <c r="H108" s="29" t="inlineStr">
        <is>
          <t>New in v3</t>
        </is>
      </c>
    </row>
    <row r="109" ht="43" customHeight="1">
      <c r="A109" s="28" t="inlineStr">
        <is>
          <t>CEO</t>
        </is>
      </c>
      <c r="B109" s="28" t="inlineStr">
        <is>
          <t>TIM-07</t>
        </is>
      </c>
      <c r="C109" s="28" t="inlineStr">
        <is>
          <t>Time &amp; attendance</t>
        </is>
      </c>
      <c r="D109" s="28" t="inlineStr">
        <is>
          <t>Approve, reject or cancel leave</t>
        </is>
      </c>
      <c r="E109" s="30" t="inlineStr">
        <is>
          <t>A</t>
        </is>
      </c>
      <c r="F109" s="28" t="inlineStr">
        <is>
          <t>Approves / signs off and owns the outcome; sees results in Approvals inbox (leave), HR Home (on leave today), Payroll; Reports / Ask AI (leave_requests).</t>
        </is>
      </c>
      <c r="G109" s="28" t="inlineStr">
        <is>
          <t>/leave, /inbox</t>
        </is>
      </c>
      <c r="H109" s="29" t="inlineStr">
        <is>
          <t>Extended</t>
        </is>
      </c>
    </row>
    <row r="110" ht="17" customHeight="1">
      <c r="A110" s="28" t="inlineStr">
        <is>
          <t>CEO</t>
        </is>
      </c>
      <c r="B110" s="28" t="inlineStr">
        <is>
          <t>TIM-08</t>
        </is>
      </c>
      <c r="C110" s="28" t="inlineStr">
        <is>
          <t>Time &amp; attendance</t>
        </is>
      </c>
      <c r="D110" s="28" t="inlineStr">
        <is>
          <t>Leave policy and balances</t>
        </is>
      </c>
      <c r="E110" s="30" t="inlineStr">
        <is>
          <t>A</t>
        </is>
      </c>
      <c r="F110" s="28" t="inlineStr">
        <is>
          <t>Approves / signs off and owns the outcome; sees results in Leave page.</t>
        </is>
      </c>
      <c r="G110" s="28" t="inlineStr">
        <is>
          <t>/leave (policy)</t>
        </is>
      </c>
      <c r="H110" s="29" t="inlineStr">
        <is>
          <t>New in v3</t>
        </is>
      </c>
    </row>
    <row r="111" ht="30" customHeight="1">
      <c r="A111" s="28" t="inlineStr">
        <is>
          <t>CEO</t>
        </is>
      </c>
      <c r="B111" s="28" t="inlineStr">
        <is>
          <t>TIM-09</t>
        </is>
      </c>
      <c r="C111" s="28" t="inlineStr">
        <is>
          <t>Time &amp; attendance</t>
        </is>
      </c>
      <c r="D111" s="28" t="inlineStr">
        <is>
          <t>HR leave entry and leave in timesheet</t>
        </is>
      </c>
      <c r="E111" s="30" t="inlineStr">
        <is>
          <t>A</t>
        </is>
      </c>
      <c r="F111" s="28" t="inlineStr">
        <is>
          <t>Approves / signs off and owns the outcome; sees results in Payroll, Team grid.</t>
        </is>
      </c>
      <c r="G111" s="28" t="inlineStr">
        <is>
          <t>/leave, /timesheet</t>
        </is>
      </c>
      <c r="H111" s="29" t="inlineStr">
        <is>
          <t>Live</t>
        </is>
      </c>
    </row>
    <row r="112" ht="17" customHeight="1">
      <c r="A112" s="28" t="inlineStr">
        <is>
          <t>CEO</t>
        </is>
      </c>
      <c r="B112" s="28" t="inlineStr">
        <is>
          <t>TIM-10</t>
        </is>
      </c>
      <c r="C112" s="28" t="inlineStr">
        <is>
          <t>Time &amp; attendance</t>
        </is>
      </c>
      <c r="D112" s="28" t="inlineStr">
        <is>
          <t>Compensatory off accrual</t>
        </is>
      </c>
      <c r="E112" s="30" t="inlineStr">
        <is>
          <t>A</t>
        </is>
      </c>
      <c r="F112" s="28" t="inlineStr">
        <is>
          <t>Planned (not built yet). Approves / signs off and owns the outcome.</t>
        </is>
      </c>
      <c r="G112" s="28" t="inlineStr">
        <is>
          <t>-</t>
        </is>
      </c>
      <c r="H112" s="29" t="inlineStr">
        <is>
          <t>Planned</t>
        </is>
      </c>
    </row>
    <row r="113" ht="30" customHeight="1">
      <c r="A113" s="28" t="inlineStr">
        <is>
          <t>CEO</t>
        </is>
      </c>
      <c r="B113" s="28" t="inlineStr">
        <is>
          <t>TIM-11</t>
        </is>
      </c>
      <c r="C113" s="28" t="inlineStr">
        <is>
          <t>Time &amp; attendance</t>
        </is>
      </c>
      <c r="D113" s="28" t="inlineStr">
        <is>
          <t>Attendance capture (office / WFH / client site)</t>
        </is>
      </c>
      <c r="E113" s="29" t="inlineStr">
        <is>
          <t>I</t>
        </is>
      </c>
      <c r="F113" s="28" t="inlineStr">
        <is>
          <t>Planned (not built yet). Informed.</t>
        </is>
      </c>
      <c r="G113" s="28" t="inlineStr">
        <is>
          <t>-</t>
        </is>
      </c>
      <c r="H113" s="29" t="inlineStr">
        <is>
          <t>Planned</t>
        </is>
      </c>
    </row>
    <row r="114" ht="30" customHeight="1">
      <c r="A114" s="28" t="inlineStr">
        <is>
          <t>CEO</t>
        </is>
      </c>
      <c r="B114" s="28" t="inlineStr">
        <is>
          <t>DOC-01</t>
        </is>
      </c>
      <c r="C114" s="28" t="inlineStr">
        <is>
          <t>Documents &amp; knowledge</t>
        </is>
      </c>
      <c r="D114" s="28" t="inlineStr">
        <is>
          <t>PM uploads a project document</t>
        </is>
      </c>
      <c r="E114" s="29" t="inlineStr">
        <is>
          <t>I</t>
        </is>
      </c>
      <c r="F114" s="28" t="inlineStr">
        <is>
          <t>Informed (NTF-14 must-read document (to audience)); sees the outcome in Project &gt; Documents, Documents library; Reports / Ask AI (documents).</t>
        </is>
      </c>
      <c r="G114" s="28" t="inlineStr">
        <is>
          <t>/projects/:id/documents</t>
        </is>
      </c>
      <c r="H114" s="29" t="inlineStr">
        <is>
          <t>New in v3</t>
        </is>
      </c>
    </row>
    <row r="115" ht="30" customHeight="1">
      <c r="A115" s="28" t="inlineStr">
        <is>
          <t>CEO</t>
        </is>
      </c>
      <c r="B115" s="28" t="inlineStr">
        <is>
          <t>DOC-02</t>
        </is>
      </c>
      <c r="C115" s="28" t="inlineStr">
        <is>
          <t>Documents &amp; knowledge</t>
        </is>
      </c>
      <c r="D115" s="28" t="inlineStr">
        <is>
          <t>Employees access project documents</t>
        </is>
      </c>
      <c r="E115" s="29" t="inlineStr">
        <is>
          <t>I</t>
        </is>
      </c>
      <c r="F115" s="28" t="inlineStr">
        <is>
          <t>Informed; sees the outcome in Documents; Reports / Ask AI (documents).</t>
        </is>
      </c>
      <c r="G115" s="28" t="inlineStr">
        <is>
          <t>/documents, /projects/:id/documents</t>
        </is>
      </c>
      <c r="H115" s="29" t="inlineStr">
        <is>
          <t>New in v3</t>
        </is>
      </c>
    </row>
    <row r="116" ht="17" customHeight="1">
      <c r="A116" s="28" t="inlineStr">
        <is>
          <t>CEO</t>
        </is>
      </c>
      <c r="B116" s="28" t="inlineStr">
        <is>
          <t>DOC-03</t>
        </is>
      </c>
      <c r="C116" s="28" t="inlineStr">
        <is>
          <t>Documents &amp; knowledge</t>
        </is>
      </c>
      <c r="D116" s="28" t="inlineStr">
        <is>
          <t>New version, archive and restore</t>
        </is>
      </c>
      <c r="E116" s="29" t="inlineStr">
        <is>
          <t>I</t>
        </is>
      </c>
      <c r="F116" s="28" t="inlineStr">
        <is>
          <t>Informed (NTF-14 must-read (new version)); sees the outcome in Documents.</t>
        </is>
      </c>
      <c r="G116" s="28" t="inlineStr">
        <is>
          <t>/documents</t>
        </is>
      </c>
      <c r="H116" s="29" t="inlineStr">
        <is>
          <t>New in v3</t>
        </is>
      </c>
    </row>
    <row r="117" ht="30" customHeight="1">
      <c r="A117" s="28" t="inlineStr">
        <is>
          <t>CEO</t>
        </is>
      </c>
      <c r="B117" s="28" t="inlineStr">
        <is>
          <t>DOC-04</t>
        </is>
      </c>
      <c r="C117" s="28" t="inlineStr">
        <is>
          <t>Documents &amp; knowledge</t>
        </is>
      </c>
      <c r="D117" s="28" t="inlineStr">
        <is>
          <t>Must-read acknowledgement</t>
        </is>
      </c>
      <c r="E117" s="29" t="inlineStr">
        <is>
          <t>I</t>
        </is>
      </c>
      <c r="F117" s="28" t="inlineStr">
        <is>
          <t>Informed (NTF-14 must-read); sees the outcome in Approvals inbox (document), Documents; Reports / Ask AI (documents).</t>
        </is>
      </c>
      <c r="G117" s="28" t="inlineStr">
        <is>
          <t>/inbox, /documents</t>
        </is>
      </c>
      <c r="H117" s="29" t="inlineStr">
        <is>
          <t>New in v3</t>
        </is>
      </c>
    </row>
    <row r="118" ht="30" customHeight="1">
      <c r="A118" s="28" t="inlineStr">
        <is>
          <t>CEO</t>
        </is>
      </c>
      <c r="B118" s="28" t="inlineStr">
        <is>
          <t>DOC-05</t>
        </is>
      </c>
      <c r="C118" s="28" t="inlineStr">
        <is>
          <t>Documents &amp; knowledge</t>
        </is>
      </c>
      <c r="D118" s="28" t="inlineStr">
        <is>
          <t>Company library and policies</t>
        </is>
      </c>
      <c r="E118" s="30" t="inlineStr">
        <is>
          <t>A</t>
        </is>
      </c>
      <c r="F118" s="28" t="inlineStr">
        <is>
          <t>Approves / signs off and owns the outcome; sees results in Documents, Approvals inbox; Reports / Ask AI (documents).</t>
        </is>
      </c>
      <c r="G118" s="28" t="inlineStr">
        <is>
          <t>/documents</t>
        </is>
      </c>
      <c r="H118" s="29" t="inlineStr">
        <is>
          <t>New in v3</t>
        </is>
      </c>
    </row>
    <row r="119" ht="17" customHeight="1">
      <c r="A119" s="28" t="inlineStr">
        <is>
          <t>CEO</t>
        </is>
      </c>
      <c r="B119" s="28" t="inlineStr">
        <is>
          <t>DOC-06</t>
        </is>
      </c>
      <c r="C119" s="28" t="inlineStr">
        <is>
          <t>Documents &amp; knowledge</t>
        </is>
      </c>
      <c r="D119" s="28" t="inlineStr">
        <is>
          <t>Knowledge base</t>
        </is>
      </c>
      <c r="E119" s="30" t="inlineStr">
        <is>
          <t>A</t>
        </is>
      </c>
      <c r="F119" s="28" t="inlineStr">
        <is>
          <t>Planned (not built yet). Approves / signs off and owns the outcome.</t>
        </is>
      </c>
      <c r="G119" s="28" t="inlineStr">
        <is>
          <t>-</t>
        </is>
      </c>
      <c r="H119" s="29" t="inlineStr">
        <is>
          <t>Planned</t>
        </is>
      </c>
    </row>
    <row r="120" ht="17" customHeight="1">
      <c r="A120" s="28" t="inlineStr">
        <is>
          <t>CEO</t>
        </is>
      </c>
      <c r="B120" s="28" t="inlineStr">
        <is>
          <t>DOC-07</t>
        </is>
      </c>
      <c r="C120" s="28" t="inlineStr">
        <is>
          <t>Documents &amp; knowledge</t>
        </is>
      </c>
      <c r="D120" s="28" t="inlineStr">
        <is>
          <t>Policy attestation cycles</t>
        </is>
      </c>
      <c r="E120" s="30" t="inlineStr">
        <is>
          <t>A</t>
        </is>
      </c>
      <c r="F120" s="28" t="inlineStr">
        <is>
          <t>Planned (not built yet). Approves / signs off and owns the outcome.</t>
        </is>
      </c>
      <c r="G120" s="28" t="inlineStr">
        <is>
          <t>-</t>
        </is>
      </c>
      <c r="H120" s="29" t="inlineStr">
        <is>
          <t>Planned</t>
        </is>
      </c>
    </row>
    <row r="121" ht="17" customHeight="1">
      <c r="A121" s="28" t="inlineStr">
        <is>
          <t>CEO</t>
        </is>
      </c>
      <c r="B121" s="28" t="inlineStr">
        <is>
          <t>DOC-08</t>
        </is>
      </c>
      <c r="C121" s="28" t="inlineStr">
        <is>
          <t>Documents &amp; knowledge</t>
        </is>
      </c>
      <c r="D121" s="28" t="inlineStr">
        <is>
          <t>Internal announcements</t>
        </is>
      </c>
      <c r="E121" s="29" t="inlineStr">
        <is>
          <t>R</t>
        </is>
      </c>
      <c r="F121" s="28" t="inlineStr">
        <is>
          <t>Planned (not built yet). Does it: carries out "Internal announcements".</t>
        </is>
      </c>
      <c r="G121" s="28" t="inlineStr">
        <is>
          <t>-</t>
        </is>
      </c>
      <c r="H121" s="29" t="inlineStr">
        <is>
          <t>Planned</t>
        </is>
      </c>
    </row>
    <row r="122" ht="30" customHeight="1">
      <c r="A122" s="28" t="inlineStr">
        <is>
          <t>CEO</t>
        </is>
      </c>
      <c r="B122" s="28" t="inlineStr">
        <is>
          <t>HR-01</t>
        </is>
      </c>
      <c r="C122" s="28" t="inlineStr">
        <is>
          <t>People &amp; HR</t>
        </is>
      </c>
      <c r="D122" s="28" t="inlineStr">
        <is>
          <t>Hiring openings</t>
        </is>
      </c>
      <c r="E122" s="30" t="inlineStr">
        <is>
          <t>A</t>
        </is>
      </c>
      <c r="F122" s="28" t="inlineStr">
        <is>
          <t>Approves / signs off and owns the outcome; sees results in HR Home (openings, hiring pipeline).</t>
        </is>
      </c>
      <c r="G122" s="28" t="inlineStr">
        <is>
          <t>/openings</t>
        </is>
      </c>
      <c r="H122" s="29" t="inlineStr">
        <is>
          <t>Extended</t>
        </is>
      </c>
    </row>
    <row r="123" ht="30" customHeight="1">
      <c r="A123" s="28" t="inlineStr">
        <is>
          <t>CEO</t>
        </is>
      </c>
      <c r="B123" s="28" t="inlineStr">
        <is>
          <t>HR-02</t>
        </is>
      </c>
      <c r="C123" s="28" t="inlineStr">
        <is>
          <t>People &amp; HR</t>
        </is>
      </c>
      <c r="D123" s="28" t="inlineStr">
        <is>
          <t>Candidate pipeline</t>
        </is>
      </c>
      <c r="E123" s="30" t="inlineStr">
        <is>
          <t>A</t>
        </is>
      </c>
      <c r="F123" s="28" t="inlineStr">
        <is>
          <t>Approves / signs off and owns the outcome; sees results in HR Home (hiring pipeline); Reports / Ask AI (candidates).</t>
        </is>
      </c>
      <c r="G123" s="28" t="inlineStr">
        <is>
          <t>/recruitment</t>
        </is>
      </c>
      <c r="H123" s="29" t="inlineStr">
        <is>
          <t>New in v3</t>
        </is>
      </c>
    </row>
    <row r="124" ht="30" customHeight="1">
      <c r="A124" s="28" t="inlineStr">
        <is>
          <t>CEO</t>
        </is>
      </c>
      <c r="B124" s="28" t="inlineStr">
        <is>
          <t>HR-03</t>
        </is>
      </c>
      <c r="C124" s="28" t="inlineStr">
        <is>
          <t>People &amp; HR</t>
        </is>
      </c>
      <c r="D124" s="28" t="inlineStr">
        <is>
          <t>Interviews and feedback</t>
        </is>
      </c>
      <c r="E124" s="30" t="inlineStr">
        <is>
          <t>A</t>
        </is>
      </c>
      <c r="F124" s="28" t="inlineStr">
        <is>
          <t>Approves / signs off and owns the outcome; sees results in Recruitment; Reports / Ask AI (candidates).</t>
        </is>
      </c>
      <c r="G124" s="28" t="inlineStr">
        <is>
          <t>/recruitment</t>
        </is>
      </c>
      <c r="H124" s="29" t="inlineStr">
        <is>
          <t>New in v3</t>
        </is>
      </c>
    </row>
    <row r="125" ht="30" customHeight="1">
      <c r="A125" s="28" t="inlineStr">
        <is>
          <t>CEO</t>
        </is>
      </c>
      <c r="B125" s="28" t="inlineStr">
        <is>
          <t>HR-04</t>
        </is>
      </c>
      <c r="C125" s="28" t="inlineStr">
        <is>
          <t>People &amp; HR</t>
        </is>
      </c>
      <c r="D125" s="28" t="inlineStr">
        <is>
          <t>Make an offer, or reject a candidate</t>
        </is>
      </c>
      <c r="E125" s="30" t="inlineStr">
        <is>
          <t>A</t>
        </is>
      </c>
      <c r="F125" s="28" t="inlineStr">
        <is>
          <t>Approves / signs off and owns the outcome; sees results in HR Home; Reports / Ask AI (candidates).</t>
        </is>
      </c>
      <c r="G125" s="28" t="inlineStr">
        <is>
          <t>/recruitment</t>
        </is>
      </c>
      <c r="H125" s="29" t="inlineStr">
        <is>
          <t>New in v3</t>
        </is>
      </c>
    </row>
    <row r="126" ht="30" customHeight="1">
      <c r="A126" s="28" t="inlineStr">
        <is>
          <t>CEO</t>
        </is>
      </c>
      <c r="B126" s="28" t="inlineStr">
        <is>
          <t>HR-05</t>
        </is>
      </c>
      <c r="C126" s="28" t="inlineStr">
        <is>
          <t>People &amp; HR</t>
        </is>
      </c>
      <c r="D126" s="28" t="inlineStr">
        <is>
          <t>Hire: invite and start onboarding</t>
        </is>
      </c>
      <c r="E126" s="30" t="inlineStr">
        <is>
          <t>A</t>
        </is>
      </c>
      <c r="F126" s="28" t="inlineStr">
        <is>
          <t>Approves / signs off and owns the outcome; sees results in HR Home, People; Reports / Ask AI (candidates).</t>
        </is>
      </c>
      <c r="G126" s="28" t="inlineStr">
        <is>
          <t>/recruitment</t>
        </is>
      </c>
      <c r="H126" s="29" t="inlineStr">
        <is>
          <t>New in v3</t>
        </is>
      </c>
    </row>
    <row r="127" ht="30" customHeight="1">
      <c r="A127" s="28" t="inlineStr">
        <is>
          <t>CEO</t>
        </is>
      </c>
      <c r="B127" s="28" t="inlineStr">
        <is>
          <t>HR-06</t>
        </is>
      </c>
      <c r="C127" s="28" t="inlineStr">
        <is>
          <t>People &amp; HR</t>
        </is>
      </c>
      <c r="D127" s="28" t="inlineStr">
        <is>
          <t>Onboarding checklist</t>
        </is>
      </c>
      <c r="E127" s="30" t="inlineStr">
        <is>
          <t>A</t>
        </is>
      </c>
      <c r="F127" s="28" t="inlineStr">
        <is>
          <t>Approves / signs off and owns the outcome; sees results in HR Home (onboarding &amp; exits).</t>
        </is>
      </c>
      <c r="G127" s="28" t="inlineStr">
        <is>
          <t>/lifecycle</t>
        </is>
      </c>
      <c r="H127" s="29" t="inlineStr">
        <is>
          <t>New in v3</t>
        </is>
      </c>
    </row>
    <row r="128" ht="30" customHeight="1">
      <c r="A128" s="28" t="inlineStr">
        <is>
          <t>CEO</t>
        </is>
      </c>
      <c r="B128" s="28" t="inlineStr">
        <is>
          <t>HR-07</t>
        </is>
      </c>
      <c r="C128" s="28" t="inlineStr">
        <is>
          <t>People &amp; HR</t>
        </is>
      </c>
      <c r="D128" s="28" t="inlineStr">
        <is>
          <t>Asset register: issue and return</t>
        </is>
      </c>
      <c r="E128" s="30" t="inlineStr">
        <is>
          <t>A</t>
        </is>
      </c>
      <c r="F128" s="28" t="inlineStr">
        <is>
          <t>Approves / signs off and owns the outcome; sees results in HR Home (assets due back).</t>
        </is>
      </c>
      <c r="G128" s="28" t="inlineStr">
        <is>
          <t>/assets</t>
        </is>
      </c>
      <c r="H128" s="29" t="inlineStr">
        <is>
          <t>New in v3</t>
        </is>
      </c>
    </row>
    <row r="129" ht="30" customHeight="1">
      <c r="A129" s="28" t="inlineStr">
        <is>
          <t>CEO</t>
        </is>
      </c>
      <c r="B129" s="28" t="inlineStr">
        <is>
          <t>HR-08</t>
        </is>
      </c>
      <c r="C129" s="28" t="inlineStr">
        <is>
          <t>People &amp; HR</t>
        </is>
      </c>
      <c r="D129" s="28" t="inlineStr">
        <is>
          <t>Goals and KRAs</t>
        </is>
      </c>
      <c r="E129" s="30" t="inlineStr">
        <is>
          <t>A</t>
        </is>
      </c>
      <c r="F129" s="28" t="inlineStr">
        <is>
          <t>Approves / signs off and owns the outcome; sees results in My performance, Appraisal.</t>
        </is>
      </c>
      <c r="G129" s="28" t="inlineStr">
        <is>
          <t>/performance</t>
        </is>
      </c>
      <c r="H129" s="29" t="inlineStr">
        <is>
          <t>New in v3</t>
        </is>
      </c>
    </row>
    <row r="130" ht="17" customHeight="1">
      <c r="A130" s="28" t="inlineStr">
        <is>
          <t>CEO</t>
        </is>
      </c>
      <c r="B130" s="28" t="inlineStr">
        <is>
          <t>HR-09</t>
        </is>
      </c>
      <c r="C130" s="28" t="inlineStr">
        <is>
          <t>People &amp; HR</t>
        </is>
      </c>
      <c r="D130" s="28" t="inlineStr">
        <is>
          <t>Continuous feedback and praise</t>
        </is>
      </c>
      <c r="E130" s="29" t="inlineStr">
        <is>
          <t>C</t>
        </is>
      </c>
      <c r="F130" s="28" t="inlineStr">
        <is>
          <t>Consulted: gives input, data or a decision when asked.</t>
        </is>
      </c>
      <c r="G130" s="28" t="inlineStr">
        <is>
          <t>/performance</t>
        </is>
      </c>
      <c r="H130" s="29" t="inlineStr">
        <is>
          <t>New in v3</t>
        </is>
      </c>
    </row>
    <row r="131" ht="30" customHeight="1">
      <c r="A131" s="28" t="inlineStr">
        <is>
          <t>CEO</t>
        </is>
      </c>
      <c r="B131" s="28" t="inlineStr">
        <is>
          <t>HR-10</t>
        </is>
      </c>
      <c r="C131" s="28" t="inlineStr">
        <is>
          <t>People &amp; HR</t>
        </is>
      </c>
      <c r="D131" s="28" t="inlineStr">
        <is>
          <t>Set up and launch an appraisal cycle</t>
        </is>
      </c>
      <c r="E131" s="30" t="inlineStr">
        <is>
          <t>A</t>
        </is>
      </c>
      <c r="F131" s="28" t="inlineStr">
        <is>
          <t>Approves / signs off and owns the outcome; sees results in HR Home (appraisal cycle), Appraisals; Reports / Ask AI (appraisals).</t>
        </is>
      </c>
      <c r="G131" s="28" t="inlineStr">
        <is>
          <t>/appraisals</t>
        </is>
      </c>
      <c r="H131" s="29" t="inlineStr">
        <is>
          <t>New in v3</t>
        </is>
      </c>
    </row>
    <row r="132" ht="17" customHeight="1">
      <c r="A132" s="28" t="inlineStr">
        <is>
          <t>CEO</t>
        </is>
      </c>
      <c r="B132" s="28" t="inlineStr">
        <is>
          <t>HR-11</t>
        </is>
      </c>
      <c r="C132" s="28" t="inlineStr">
        <is>
          <t>People &amp; HR</t>
        </is>
      </c>
      <c r="D132" s="28" t="inlineStr">
        <is>
          <t>Self review</t>
        </is>
      </c>
      <c r="E132" s="29" t="inlineStr">
        <is>
          <t>I</t>
        </is>
      </c>
      <c r="F132" s="28" t="inlineStr">
        <is>
          <t>Informed; sees the outcome in Appraisals; Reports / Ask AI (appraisals).</t>
        </is>
      </c>
      <c r="G132" s="28" t="inlineStr">
        <is>
          <t>/appraisals/:id</t>
        </is>
      </c>
      <c r="H132" s="29" t="inlineStr">
        <is>
          <t>New in v3</t>
        </is>
      </c>
    </row>
    <row r="133" ht="30" customHeight="1">
      <c r="A133" s="28" t="inlineStr">
        <is>
          <t>CEO</t>
        </is>
      </c>
      <c r="B133" s="28" t="inlineStr">
        <is>
          <t>HR-12</t>
        </is>
      </c>
      <c r="C133" s="28" t="inlineStr">
        <is>
          <t>People &amp; HR</t>
        </is>
      </c>
      <c r="D133" s="28" t="inlineStr">
        <is>
          <t>Manager review</t>
        </is>
      </c>
      <c r="E133" s="30" t="inlineStr">
        <is>
          <t>A</t>
        </is>
      </c>
      <c r="F133" s="28" t="inlineStr">
        <is>
          <t>Approves / signs off and owns the outcome; sees results in Approvals inbox (appraisal), Appraisals; Reports / Ask AI (appraisals).</t>
        </is>
      </c>
      <c r="G133" s="28" t="inlineStr">
        <is>
          <t>/appraisals/:id</t>
        </is>
      </c>
      <c r="H133" s="29" t="inlineStr">
        <is>
          <t>New in v3</t>
        </is>
      </c>
    </row>
    <row r="134" ht="30" customHeight="1">
      <c r="A134" s="28" t="inlineStr">
        <is>
          <t>CEO</t>
        </is>
      </c>
      <c r="B134" s="28" t="inlineStr">
        <is>
          <t>HR-13</t>
        </is>
      </c>
      <c r="C134" s="28" t="inlineStr">
        <is>
          <t>People &amp; HR</t>
        </is>
      </c>
      <c r="D134" s="28" t="inlineStr">
        <is>
          <t>HR review, calibration and outcome</t>
        </is>
      </c>
      <c r="E134" s="30" t="inlineStr">
        <is>
          <t>A</t>
        </is>
      </c>
      <c r="F134" s="28" t="inlineStr">
        <is>
          <t>Approves / signs off and owns the outcome; sees results in Appraisals, HR Home, Cost rates, Reports / Ask AI (appraisals).</t>
        </is>
      </c>
      <c r="G134" s="28" t="inlineStr">
        <is>
          <t>/appraisals/:id</t>
        </is>
      </c>
      <c r="H134" s="29" t="inlineStr">
        <is>
          <t>New in v3</t>
        </is>
      </c>
    </row>
    <row r="135" ht="30" customHeight="1">
      <c r="A135" s="28" t="inlineStr">
        <is>
          <t>CEO</t>
        </is>
      </c>
      <c r="B135" s="28" t="inlineStr">
        <is>
          <t>HR-14</t>
        </is>
      </c>
      <c r="C135" s="28" t="inlineStr">
        <is>
          <t>People &amp; HR</t>
        </is>
      </c>
      <c r="D135" s="28" t="inlineStr">
        <is>
          <t>Performance profile</t>
        </is>
      </c>
      <c r="E135" s="29" t="inlineStr">
        <is>
          <t>R</t>
        </is>
      </c>
      <c r="F135" s="28" t="inlineStr">
        <is>
          <t>Does it: carries out "Performance profile" in /performance, /performance/:userId.</t>
        </is>
      </c>
      <c r="G135" s="28" t="inlineStr">
        <is>
          <t>/performance, /performance/:userId</t>
        </is>
      </c>
      <c r="H135" s="29" t="inlineStr">
        <is>
          <t>New in v3</t>
        </is>
      </c>
    </row>
    <row r="136" ht="30" customHeight="1">
      <c r="A136" s="28" t="inlineStr">
        <is>
          <t>CEO</t>
        </is>
      </c>
      <c r="B136" s="28" t="inlineStr">
        <is>
          <t>HR-15</t>
        </is>
      </c>
      <c r="C136" s="28" t="inlineStr">
        <is>
          <t>People &amp; HR</t>
        </is>
      </c>
      <c r="D136" s="28" t="inlineStr">
        <is>
          <t>Exit and offboarding</t>
        </is>
      </c>
      <c r="E136" s="30" t="inlineStr">
        <is>
          <t>A</t>
        </is>
      </c>
      <c r="F136" s="28" t="inlineStr">
        <is>
          <t>Approves / signs off and owns the outcome; sees results in HR Home (onboarding &amp; exits, assets due back), CEO People panel.</t>
        </is>
      </c>
      <c r="G136" s="28" t="inlineStr">
        <is>
          <t>/lifecycle</t>
        </is>
      </c>
      <c r="H136" s="29" t="inlineStr">
        <is>
          <t>New in v3</t>
        </is>
      </c>
    </row>
    <row r="137" ht="17" customHeight="1">
      <c r="A137" s="28" t="inlineStr">
        <is>
          <t>CEO</t>
        </is>
      </c>
      <c r="B137" s="28" t="inlineStr">
        <is>
          <t>HR-16</t>
        </is>
      </c>
      <c r="C137" s="28" t="inlineStr">
        <is>
          <t>People &amp; HR</t>
        </is>
      </c>
      <c r="D137" s="28" t="inlineStr">
        <is>
          <t>Skills matrix and bench management</t>
        </is>
      </c>
      <c r="E137" s="30" t="inlineStr">
        <is>
          <t>A</t>
        </is>
      </c>
      <c r="F137" s="28" t="inlineStr">
        <is>
          <t>Planned (not built yet). Approves / signs off and owns the outcome.</t>
        </is>
      </c>
      <c r="G137" s="28" t="inlineStr">
        <is>
          <t>-</t>
        </is>
      </c>
      <c r="H137" s="29" t="inlineStr">
        <is>
          <t>Planned</t>
        </is>
      </c>
    </row>
    <row r="138" ht="17" customHeight="1">
      <c r="A138" s="28" t="inlineStr">
        <is>
          <t>CEO</t>
        </is>
      </c>
      <c r="B138" s="28" t="inlineStr">
        <is>
          <t>HR-17</t>
        </is>
      </c>
      <c r="C138" s="28" t="inlineStr">
        <is>
          <t>People &amp; HR</t>
        </is>
      </c>
      <c r="D138" s="28" t="inlineStr">
        <is>
          <t>Training and certification tracking</t>
        </is>
      </c>
      <c r="E138" s="30" t="inlineStr">
        <is>
          <t>A</t>
        </is>
      </c>
      <c r="F138" s="28" t="inlineStr">
        <is>
          <t>Planned (not built yet). Approves / signs off and owns the outcome.</t>
        </is>
      </c>
      <c r="G138" s="28" t="inlineStr">
        <is>
          <t>-</t>
        </is>
      </c>
      <c r="H138" s="29" t="inlineStr">
        <is>
          <t>Planned</t>
        </is>
      </c>
    </row>
    <row r="139" ht="17" customHeight="1">
      <c r="A139" s="28" t="inlineStr">
        <is>
          <t>CEO</t>
        </is>
      </c>
      <c r="B139" s="28" t="inlineStr">
        <is>
          <t>HR-18</t>
        </is>
      </c>
      <c r="C139" s="28" t="inlineStr">
        <is>
          <t>People &amp; HR</t>
        </is>
      </c>
      <c r="D139" s="28" t="inlineStr">
        <is>
          <t>Probation confirmation</t>
        </is>
      </c>
      <c r="E139" s="30" t="inlineStr">
        <is>
          <t>A</t>
        </is>
      </c>
      <c r="F139" s="28" t="inlineStr">
        <is>
          <t>Planned (not built yet). Approves / signs off and owns the outcome.</t>
        </is>
      </c>
      <c r="G139" s="28" t="inlineStr">
        <is>
          <t>-</t>
        </is>
      </c>
      <c r="H139" s="29" t="inlineStr">
        <is>
          <t>Planned</t>
        </is>
      </c>
    </row>
    <row r="140" ht="17" customHeight="1">
      <c r="A140" s="28" t="inlineStr">
        <is>
          <t>CEO</t>
        </is>
      </c>
      <c r="B140" s="28" t="inlineStr">
        <is>
          <t>HR-19</t>
        </is>
      </c>
      <c r="C140" s="28" t="inlineStr">
        <is>
          <t>People &amp; HR</t>
        </is>
      </c>
      <c r="D140" s="28" t="inlineStr">
        <is>
          <t>Employee self-service letters</t>
        </is>
      </c>
      <c r="E140" s="30" t="inlineStr">
        <is>
          <t>A</t>
        </is>
      </c>
      <c r="F140" s="28" t="inlineStr">
        <is>
          <t>Planned (not built yet). Approves / signs off and owns the outcome.</t>
        </is>
      </c>
      <c r="G140" s="28" t="inlineStr">
        <is>
          <t>-</t>
        </is>
      </c>
      <c r="H140" s="29" t="inlineStr">
        <is>
          <t>Planned</t>
        </is>
      </c>
    </row>
    <row r="141" ht="17" customHeight="1">
      <c r="A141" s="28" t="inlineStr">
        <is>
          <t>CEO</t>
        </is>
      </c>
      <c r="B141" s="28" t="inlineStr">
        <is>
          <t>HR-20</t>
        </is>
      </c>
      <c r="C141" s="28" t="inlineStr">
        <is>
          <t>People &amp; HR</t>
        </is>
      </c>
      <c r="D141" s="28" t="inlineStr">
        <is>
          <t>Employee referral bonus</t>
        </is>
      </c>
      <c r="E141" s="30" t="inlineStr">
        <is>
          <t>A</t>
        </is>
      </c>
      <c r="F141" s="28" t="inlineStr">
        <is>
          <t>Planned (not built yet). Approves / signs off and owns the outcome.</t>
        </is>
      </c>
      <c r="G141" s="28" t="inlineStr">
        <is>
          <t>-</t>
        </is>
      </c>
      <c r="H141" s="29" t="inlineStr">
        <is>
          <t>Planned</t>
        </is>
      </c>
    </row>
    <row r="142" ht="17" customHeight="1">
      <c r="A142" s="28" t="inlineStr">
        <is>
          <t>CEO</t>
        </is>
      </c>
      <c r="B142" s="28" t="inlineStr">
        <is>
          <t>HR-21</t>
        </is>
      </c>
      <c r="C142" s="28" t="inlineStr">
        <is>
          <t>People &amp; HR</t>
        </is>
      </c>
      <c r="D142" s="28" t="inlineStr">
        <is>
          <t>Grievance and POSH register</t>
        </is>
      </c>
      <c r="E142" s="30" t="inlineStr">
        <is>
          <t>A</t>
        </is>
      </c>
      <c r="F142" s="28" t="inlineStr">
        <is>
          <t>Planned (not built yet). Approves / signs off and owns the outcome.</t>
        </is>
      </c>
      <c r="G142" s="28" t="inlineStr">
        <is>
          <t>-</t>
        </is>
      </c>
      <c r="H142" s="29" t="inlineStr">
        <is>
          <t>Planned</t>
        </is>
      </c>
    </row>
    <row r="143" ht="30" customHeight="1">
      <c r="A143" s="28" t="inlineStr">
        <is>
          <t>CEO</t>
        </is>
      </c>
      <c r="B143" s="28" t="inlineStr">
        <is>
          <t>PAY-01</t>
        </is>
      </c>
      <c r="C143" s="28" t="inlineStr">
        <is>
          <t>Payroll &amp; compensation</t>
        </is>
      </c>
      <c r="D143" s="28" t="inlineStr">
        <is>
          <t>Run monthly payroll (draft)</t>
        </is>
      </c>
      <c r="E143" s="29" t="inlineStr">
        <is>
          <t>R</t>
        </is>
      </c>
      <c r="F143" s="28" t="inlineStr">
        <is>
          <t>Does it: carries out "Run monthly payroll (draft)" in /payroll, /payroll/:id.</t>
        </is>
      </c>
      <c r="G143" s="28" t="inlineStr">
        <is>
          <t>/payroll, /payroll/:id</t>
        </is>
      </c>
      <c r="H143" s="29" t="inlineStr">
        <is>
          <t>Live</t>
        </is>
      </c>
    </row>
    <row r="144" ht="17" customHeight="1">
      <c r="A144" s="28" t="inlineStr">
        <is>
          <t>CEO</t>
        </is>
      </c>
      <c r="B144" s="28" t="inlineStr">
        <is>
          <t>PAY-02</t>
        </is>
      </c>
      <c r="C144" s="28" t="inlineStr">
        <is>
          <t>Payroll &amp; compensation</t>
        </is>
      </c>
      <c r="D144" s="28" t="inlineStr">
        <is>
          <t>Deductions for unapproved and LWP days</t>
        </is>
      </c>
      <c r="E144" s="30" t="inlineStr">
        <is>
          <t>A</t>
        </is>
      </c>
      <c r="F144" s="28" t="inlineStr">
        <is>
          <t>Approves / signs off and owns the outcome; sees results in Payroll.</t>
        </is>
      </c>
      <c r="G144" s="28" t="inlineStr">
        <is>
          <t>/payroll/:id</t>
        </is>
      </c>
      <c r="H144" s="29" t="inlineStr">
        <is>
          <t>Live</t>
        </is>
      </c>
    </row>
    <row r="145" ht="30" customHeight="1">
      <c r="A145" s="28" t="inlineStr">
        <is>
          <t>CEO</t>
        </is>
      </c>
      <c r="B145" s="28" t="inlineStr">
        <is>
          <t>PAY-03</t>
        </is>
      </c>
      <c r="C145" s="28" t="inlineStr">
        <is>
          <t>Payroll &amp; compensation</t>
        </is>
      </c>
      <c r="D145" s="28" t="inlineStr">
        <is>
          <t>Sales variable pay</t>
        </is>
      </c>
      <c r="E145" s="30" t="inlineStr">
        <is>
          <t>A</t>
        </is>
      </c>
      <c r="F145" s="28" t="inlineStr">
        <is>
          <t>Approves / signs off and owns the outcome; sees results in Sales compensation, Sales Home (my target), Payroll.</t>
        </is>
      </c>
      <c r="G145" s="28" t="inlineStr">
        <is>
          <t>/sales/compensation</t>
        </is>
      </c>
      <c r="H145" s="29" t="inlineStr">
        <is>
          <t>Live</t>
        </is>
      </c>
    </row>
    <row r="146" ht="17" customHeight="1">
      <c r="A146" s="28" t="inlineStr">
        <is>
          <t>CEO</t>
        </is>
      </c>
      <c r="B146" s="28" t="inlineStr">
        <is>
          <t>PAY-04</t>
        </is>
      </c>
      <c r="C146" s="28" t="inlineStr">
        <is>
          <t>Payroll &amp; compensation</t>
        </is>
      </c>
      <c r="D146" s="28" t="inlineStr">
        <is>
          <t>Recompute, finalise and export payroll</t>
        </is>
      </c>
      <c r="E146" s="30" t="inlineStr">
        <is>
          <t>A</t>
        </is>
      </c>
      <c r="F146" s="28" t="inlineStr">
        <is>
          <t>Approves / signs off and owns the outcome; sees results in Payroll, P&amp;L.</t>
        </is>
      </c>
      <c r="G146" s="28" t="inlineStr">
        <is>
          <t>/payroll/:id</t>
        </is>
      </c>
      <c r="H146" s="29" t="inlineStr">
        <is>
          <t>Extended</t>
        </is>
      </c>
    </row>
    <row r="147" ht="30" customHeight="1">
      <c r="A147" s="28" t="inlineStr">
        <is>
          <t>CEO</t>
        </is>
      </c>
      <c r="B147" s="28" t="inlineStr">
        <is>
          <t>PAY-05</t>
        </is>
      </c>
      <c r="C147" s="28" t="inlineStr">
        <is>
          <t>Payroll &amp; compensation</t>
        </is>
      </c>
      <c r="D147" s="28" t="inlineStr">
        <is>
          <t>Apply appraisal increments to salary</t>
        </is>
      </c>
      <c r="E147" s="30" t="inlineStr">
        <is>
          <t>A</t>
        </is>
      </c>
      <c r="F147" s="28" t="inlineStr">
        <is>
          <t>Approves / signs off and owns the outcome; sees results in Cost rates, Payroll, Project money tab, P&amp;L.</t>
        </is>
      </c>
      <c r="G147" s="28" t="inlineStr">
        <is>
          <t>/appraisals/:id &gt; /settings/cost-rates</t>
        </is>
      </c>
      <c r="H147" s="29" t="inlineStr">
        <is>
          <t>New in v3</t>
        </is>
      </c>
    </row>
    <row r="148" ht="30" customHeight="1">
      <c r="A148" s="28" t="inlineStr">
        <is>
          <t>CEO</t>
        </is>
      </c>
      <c r="B148" s="28" t="inlineStr">
        <is>
          <t>PAY-06</t>
        </is>
      </c>
      <c r="C148" s="28" t="inlineStr">
        <is>
          <t>Payroll &amp; compensation</t>
        </is>
      </c>
      <c r="D148" s="28" t="inlineStr">
        <is>
          <t>Statutory payroll (PF, ESI, PT, TDS, LWF)</t>
        </is>
      </c>
      <c r="E148" s="30" t="inlineStr">
        <is>
          <t>A</t>
        </is>
      </c>
      <c r="F148" s="28" t="inlineStr">
        <is>
          <t>Planned (not built yet). Approves / signs off and owns the outcome.</t>
        </is>
      </c>
      <c r="G148" s="28" t="inlineStr">
        <is>
          <t>-</t>
        </is>
      </c>
      <c r="H148" s="29" t="inlineStr">
        <is>
          <t>Planned</t>
        </is>
      </c>
    </row>
    <row r="149" ht="17" customHeight="1">
      <c r="A149" s="28" t="inlineStr">
        <is>
          <t>CEO</t>
        </is>
      </c>
      <c r="B149" s="28" t="inlineStr">
        <is>
          <t>PAY-07</t>
        </is>
      </c>
      <c r="C149" s="28" t="inlineStr">
        <is>
          <t>Payroll &amp; compensation</t>
        </is>
      </c>
      <c r="D149" s="28" t="inlineStr">
        <is>
          <t>Payslips and Form 16</t>
        </is>
      </c>
      <c r="E149" s="30" t="inlineStr">
        <is>
          <t>A</t>
        </is>
      </c>
      <c r="F149" s="28" t="inlineStr">
        <is>
          <t>Planned (not built yet). Approves / signs off and owns the outcome.</t>
        </is>
      </c>
      <c r="G149" s="28" t="inlineStr">
        <is>
          <t>-</t>
        </is>
      </c>
      <c r="H149" s="29" t="inlineStr">
        <is>
          <t>Planned</t>
        </is>
      </c>
    </row>
    <row r="150" ht="17" customHeight="1">
      <c r="A150" s="28" t="inlineStr">
        <is>
          <t>CEO</t>
        </is>
      </c>
      <c r="B150" s="28" t="inlineStr">
        <is>
          <t>PAY-08</t>
        </is>
      </c>
      <c r="C150" s="28" t="inlineStr">
        <is>
          <t>Payroll &amp; compensation</t>
        </is>
      </c>
      <c r="D150" s="28" t="inlineStr">
        <is>
          <t>Full and final settlement</t>
        </is>
      </c>
      <c r="E150" s="30" t="inlineStr">
        <is>
          <t>A</t>
        </is>
      </c>
      <c r="F150" s="28" t="inlineStr">
        <is>
          <t>Planned (not built yet). Approves / signs off and owns the outcome.</t>
        </is>
      </c>
      <c r="G150" s="28" t="inlineStr">
        <is>
          <t>-</t>
        </is>
      </c>
      <c r="H150" s="29" t="inlineStr">
        <is>
          <t>Planned</t>
        </is>
      </c>
    </row>
    <row r="151" ht="30" customHeight="1">
      <c r="A151" s="28" t="inlineStr">
        <is>
          <t>CEO</t>
        </is>
      </c>
      <c r="B151" s="28" t="inlineStr">
        <is>
          <t>FIN-01</t>
        </is>
      </c>
      <c r="C151" s="28" t="inlineStr">
        <is>
          <t>Finance</t>
        </is>
      </c>
      <c r="D151" s="28" t="inlineStr">
        <is>
          <t>Milestone invoicing</t>
        </is>
      </c>
      <c r="E151" s="30" t="inlineStr">
        <is>
          <t>A</t>
        </is>
      </c>
      <c r="F151" s="28" t="inlineStr">
        <is>
          <t>Approves / signs off and owns the outcome; sees results in CEO Home (revenue), P&amp;L, Invoices.</t>
        </is>
      </c>
      <c r="G151" s="28" t="inlineStr">
        <is>
          <t>/projects/:id/money, /finance/invoices</t>
        </is>
      </c>
      <c r="H151" s="29" t="inlineStr">
        <is>
          <t>Live</t>
        </is>
      </c>
    </row>
    <row r="152" ht="30" customHeight="1">
      <c r="A152" s="28" t="inlineStr">
        <is>
          <t>CEO</t>
        </is>
      </c>
      <c r="B152" s="28" t="inlineStr">
        <is>
          <t>FIN-02</t>
        </is>
      </c>
      <c r="C152" s="28" t="inlineStr">
        <is>
          <t>Finance</t>
        </is>
      </c>
      <c r="D152" s="28" t="inlineStr">
        <is>
          <t>Record client payment</t>
        </is>
      </c>
      <c r="E152" s="30" t="inlineStr">
        <is>
          <t>A</t>
        </is>
      </c>
      <c r="F152" s="28" t="inlineStr">
        <is>
          <t>Approves / signs off and owns the outcome; sees results in CEO Home (billed vs collected), Invoices.</t>
        </is>
      </c>
      <c r="G152" s="28" t="inlineStr">
        <is>
          <t>/finance/invoices</t>
        </is>
      </c>
      <c r="H152" s="29" t="inlineStr">
        <is>
          <t>Live</t>
        </is>
      </c>
    </row>
    <row r="153" ht="30" customHeight="1">
      <c r="A153" s="28" t="inlineStr">
        <is>
          <t>CEO</t>
        </is>
      </c>
      <c r="B153" s="28" t="inlineStr">
        <is>
          <t>FIN-03</t>
        </is>
      </c>
      <c r="C153" s="28" t="inlineStr">
        <is>
          <t>Finance</t>
        </is>
      </c>
      <c r="D153" s="28" t="inlineStr">
        <is>
          <t>Receivables, ageing and DSO</t>
        </is>
      </c>
      <c r="E153" s="30" t="inlineStr">
        <is>
          <t>A</t>
        </is>
      </c>
      <c r="F153" s="28" t="inlineStr">
        <is>
          <t>Approves / signs off and owns the outcome; sees results in Invoices, Client health, Lost revenue.</t>
        </is>
      </c>
      <c r="G153" s="28" t="inlineStr">
        <is>
          <t>/finance/invoices</t>
        </is>
      </c>
      <c r="H153" s="29" t="inlineStr">
        <is>
          <t>Live</t>
        </is>
      </c>
    </row>
    <row r="154" ht="30" customHeight="1">
      <c r="A154" s="28" t="inlineStr">
        <is>
          <t>CEO</t>
        </is>
      </c>
      <c r="B154" s="28" t="inlineStr">
        <is>
          <t>FIN-04</t>
        </is>
      </c>
      <c r="C154" s="28" t="inlineStr">
        <is>
          <t>Finance</t>
        </is>
      </c>
      <c r="D154" s="28" t="inlineStr">
        <is>
          <t>Ledger: income and expenses (incl. recurring)</t>
        </is>
      </c>
      <c r="E154" s="30" t="inlineStr">
        <is>
          <t>A</t>
        </is>
      </c>
      <c r="F154" s="28" t="inlineStr">
        <is>
          <t>Approves / signs off and owns the outcome; sees results in P&amp;L, CEO Home, Budgets (actuals).</t>
        </is>
      </c>
      <c r="G154" s="28" t="inlineStr">
        <is>
          <t>/finance/ledger</t>
        </is>
      </c>
      <c r="H154" s="29" t="inlineStr">
        <is>
          <t>Extended</t>
        </is>
      </c>
    </row>
    <row r="155" ht="30" customHeight="1">
      <c r="A155" s="28" t="inlineStr">
        <is>
          <t>CEO</t>
        </is>
      </c>
      <c r="B155" s="28" t="inlineStr">
        <is>
          <t>FIN-05</t>
        </is>
      </c>
      <c r="C155" s="28" t="inlineStr">
        <is>
          <t>Finance</t>
        </is>
      </c>
      <c r="D155" s="28" t="inlineStr">
        <is>
          <t>Profit and loss (monthly, by stream)</t>
        </is>
      </c>
      <c r="E155" s="30" t="inlineStr">
        <is>
          <t>A</t>
        </is>
      </c>
      <c r="F155" s="28" t="inlineStr">
        <is>
          <t>Approves / signs off and owns the outcome; sees results in CEO Home (revenue and earnings, revenue by stream), P&amp;L.</t>
        </is>
      </c>
      <c r="G155" s="28" t="inlineStr">
        <is>
          <t>/finance/pnl</t>
        </is>
      </c>
      <c r="H155" s="29" t="inlineStr">
        <is>
          <t>Live</t>
        </is>
      </c>
    </row>
    <row r="156" ht="30" customHeight="1">
      <c r="A156" s="28" t="inlineStr">
        <is>
          <t>CEO</t>
        </is>
      </c>
      <c r="B156" s="28" t="inlineStr">
        <is>
          <t>FIN-06</t>
        </is>
      </c>
      <c r="C156" s="28" t="inlineStr">
        <is>
          <t>Finance</t>
        </is>
      </c>
      <c r="D156" s="28" t="inlineStr">
        <is>
          <t>Cash runway and revenue ahead</t>
        </is>
      </c>
      <c r="E156" s="30" t="inlineStr">
        <is>
          <t>A</t>
        </is>
      </c>
      <c r="F156" s="28" t="inlineStr">
        <is>
          <t>Approves / signs off and owns the outcome; sees results in CEO Home (cash runway, revenue ahead), P&amp;L.</t>
        </is>
      </c>
      <c r="G156" s="28" t="inlineStr">
        <is>
          <t>/home, /finance/pnl</t>
        </is>
      </c>
      <c r="H156" s="29" t="inlineStr">
        <is>
          <t>Live</t>
        </is>
      </c>
    </row>
    <row r="157" ht="30" customHeight="1">
      <c r="A157" s="28" t="inlineStr">
        <is>
          <t>CEO</t>
        </is>
      </c>
      <c r="B157" s="28" t="inlineStr">
        <is>
          <t>FIN-07</t>
        </is>
      </c>
      <c r="C157" s="28" t="inlineStr">
        <is>
          <t>Finance</t>
        </is>
      </c>
      <c r="D157" s="28" t="inlineStr">
        <is>
          <t>Timesheet-based billing for T&amp;M projects</t>
        </is>
      </c>
      <c r="E157" s="30" t="inlineStr">
        <is>
          <t>A</t>
        </is>
      </c>
      <c r="F157" s="28" t="inlineStr">
        <is>
          <t>Planned (not built yet). Approves / signs off and owns the outcome.</t>
        </is>
      </c>
      <c r="G157" s="28" t="inlineStr">
        <is>
          <t>-</t>
        </is>
      </c>
      <c r="H157" s="29" t="inlineStr">
        <is>
          <t>Planned</t>
        </is>
      </c>
    </row>
    <row r="158" ht="30" customHeight="1">
      <c r="A158" s="28" t="inlineStr">
        <is>
          <t>CEO</t>
        </is>
      </c>
      <c r="B158" s="28" t="inlineStr">
        <is>
          <t>FIN-08</t>
        </is>
      </c>
      <c r="C158" s="28" t="inlineStr">
        <is>
          <t>Finance</t>
        </is>
      </c>
      <c r="D158" s="28" t="inlineStr">
        <is>
          <t>GST tax invoice, e-invoicing and e-way bill</t>
        </is>
      </c>
      <c r="E158" s="30" t="inlineStr">
        <is>
          <t>A</t>
        </is>
      </c>
      <c r="F158" s="28" t="inlineStr">
        <is>
          <t>Planned (not built yet). Approves / signs off and owns the outcome.</t>
        </is>
      </c>
      <c r="G158" s="28" t="inlineStr">
        <is>
          <t>-</t>
        </is>
      </c>
      <c r="H158" s="29" t="inlineStr">
        <is>
          <t>Planned</t>
        </is>
      </c>
    </row>
    <row r="159" ht="17" customHeight="1">
      <c r="A159" s="28" t="inlineStr">
        <is>
          <t>CEO</t>
        </is>
      </c>
      <c r="B159" s="28" t="inlineStr">
        <is>
          <t>FIN-09</t>
        </is>
      </c>
      <c r="C159" s="28" t="inlineStr">
        <is>
          <t>Finance</t>
        </is>
      </c>
      <c r="D159" s="28" t="inlineStr">
        <is>
          <t>Bank reconciliation</t>
        </is>
      </c>
      <c r="E159" s="30" t="inlineStr">
        <is>
          <t>A</t>
        </is>
      </c>
      <c r="F159" s="28" t="inlineStr">
        <is>
          <t>Planned (not built yet). Approves / signs off and owns the outcome.</t>
        </is>
      </c>
      <c r="G159" s="28" t="inlineStr">
        <is>
          <t>-</t>
        </is>
      </c>
      <c r="H159" s="29" t="inlineStr">
        <is>
          <t>Planned</t>
        </is>
      </c>
    </row>
    <row r="160" ht="17" customHeight="1">
      <c r="A160" s="28" t="inlineStr">
        <is>
          <t>CEO</t>
        </is>
      </c>
      <c r="B160" s="28" t="inlineStr">
        <is>
          <t>FIN-10</t>
        </is>
      </c>
      <c r="C160" s="28" t="inlineStr">
        <is>
          <t>Finance</t>
        </is>
      </c>
      <c r="D160" s="28" t="inlineStr">
        <is>
          <t>Tally / Zoho Books integration</t>
        </is>
      </c>
      <c r="E160" s="30" t="inlineStr">
        <is>
          <t>A</t>
        </is>
      </c>
      <c r="F160" s="28" t="inlineStr">
        <is>
          <t>Planned (not built yet). Approves / signs off and owns the outcome.</t>
        </is>
      </c>
      <c r="G160" s="28" t="inlineStr">
        <is>
          <t>-</t>
        </is>
      </c>
      <c r="H160" s="29" t="inlineStr">
        <is>
          <t>Planned</t>
        </is>
      </c>
    </row>
    <row r="161" ht="17" customHeight="1">
      <c r="A161" s="28" t="inlineStr">
        <is>
          <t>CEO</t>
        </is>
      </c>
      <c r="B161" s="28" t="inlineStr">
        <is>
          <t>FIN-11</t>
        </is>
      </c>
      <c r="C161" s="28" t="inlineStr">
        <is>
          <t>Finance</t>
        </is>
      </c>
      <c r="D161" s="28" t="inlineStr">
        <is>
          <t>Collections follow-up and dunning</t>
        </is>
      </c>
      <c r="E161" s="30" t="inlineStr">
        <is>
          <t>A</t>
        </is>
      </c>
      <c r="F161" s="28" t="inlineStr">
        <is>
          <t>Planned (not built yet). Approves / signs off and owns the outcome.</t>
        </is>
      </c>
      <c r="G161" s="28" t="inlineStr">
        <is>
          <t>-</t>
        </is>
      </c>
      <c r="H161" s="29" t="inlineStr">
        <is>
          <t>Planned</t>
        </is>
      </c>
    </row>
    <row r="162" ht="30" customHeight="1">
      <c r="A162" s="28" t="inlineStr">
        <is>
          <t>CEO</t>
        </is>
      </c>
      <c r="B162" s="28" t="inlineStr">
        <is>
          <t>SPD-01</t>
        </is>
      </c>
      <c r="C162" s="28" t="inlineStr">
        <is>
          <t>Spend &amp; procurement</t>
        </is>
      </c>
      <c r="D162" s="28" t="inlineStr">
        <is>
          <t>Submit an expense claim</t>
        </is>
      </c>
      <c r="E162" s="29" t="inlineStr">
        <is>
          <t>I</t>
        </is>
      </c>
      <c r="F162" s="28" t="inlineStr">
        <is>
          <t>Informed (NTF-04 expense to approve); sees the outcome in Expenses (mine); Reports / Ask AI (expenses).</t>
        </is>
      </c>
      <c r="G162" s="28" t="inlineStr">
        <is>
          <t>/expenses</t>
        </is>
      </c>
      <c r="H162" s="29" t="inlineStr">
        <is>
          <t>New in v3</t>
        </is>
      </c>
    </row>
    <row r="163" ht="43" customHeight="1">
      <c r="A163" s="28" t="inlineStr">
        <is>
          <t>CEO</t>
        </is>
      </c>
      <c r="B163" s="28" t="inlineStr">
        <is>
          <t>SPD-02</t>
        </is>
      </c>
      <c r="C163" s="28" t="inlineStr">
        <is>
          <t>Spend &amp; procurement</t>
        </is>
      </c>
      <c r="D163" s="28" t="inlineStr">
        <is>
          <t>Approve or reject an expense (two-step above Rs 25,000)</t>
        </is>
      </c>
      <c r="E163" s="30" t="inlineStr">
        <is>
          <t>A</t>
        </is>
      </c>
      <c r="F163" s="28" t="inlineStr">
        <is>
          <t>Approves / signs off and owns the outcome; sees results in Approvals inbox (expense), Budgets (unbudgeted), CEO Spend panel; Reports / Ask AI (expenses).</t>
        </is>
      </c>
      <c r="G163" s="28" t="inlineStr">
        <is>
          <t>/expenses?tab=approve, /inbox</t>
        </is>
      </c>
      <c r="H163" s="29" t="inlineStr">
        <is>
          <t>Extended</t>
        </is>
      </c>
    </row>
    <row r="164" ht="30" customHeight="1">
      <c r="A164" s="28" t="inlineStr">
        <is>
          <t>CEO</t>
        </is>
      </c>
      <c r="B164" s="28" t="inlineStr">
        <is>
          <t>SPD-03</t>
        </is>
      </c>
      <c r="C164" s="28" t="inlineStr">
        <is>
          <t>Spend &amp; procurement</t>
        </is>
      </c>
      <c r="D164" s="28" t="inlineStr">
        <is>
          <t>Reimburse an expense</t>
        </is>
      </c>
      <c r="E164" s="30" t="inlineStr">
        <is>
          <t>A</t>
        </is>
      </c>
      <c r="F164" s="28" t="inlineStr">
        <is>
          <t>Approves / signs off and owns the outcome; sees results in Approvals inbox (expense pay), P&amp;L; Reports / Ask AI (expenses).</t>
        </is>
      </c>
      <c r="G164" s="28" t="inlineStr">
        <is>
          <t>/expenses?tab=pay, /inbox</t>
        </is>
      </c>
      <c r="H164" s="29" t="inlineStr">
        <is>
          <t>New in v3</t>
        </is>
      </c>
    </row>
    <row r="165" ht="30" customHeight="1">
      <c r="A165" s="28" t="inlineStr">
        <is>
          <t>CEO</t>
        </is>
      </c>
      <c r="B165" s="28" t="inlineStr">
        <is>
          <t>SPD-04</t>
        </is>
      </c>
      <c r="C165" s="28" t="inlineStr">
        <is>
          <t>Spend &amp; procurement</t>
        </is>
      </c>
      <c r="D165" s="28" t="inlineStr">
        <is>
          <t>Raise a purchase order</t>
        </is>
      </c>
      <c r="E165" s="30" t="inlineStr">
        <is>
          <t>A</t>
        </is>
      </c>
      <c r="F165" s="28" t="inlineStr">
        <is>
          <t>Approves / signs off and owns the outcome; sees results in Purchases &amp; vendors, Budgets (committed); Reports / Ask AI (purchases).</t>
        </is>
      </c>
      <c r="G165" s="28" t="inlineStr">
        <is>
          <t>/purchases</t>
        </is>
      </c>
      <c r="H165" s="29" t="inlineStr">
        <is>
          <t>New in v3</t>
        </is>
      </c>
    </row>
    <row r="166" ht="30" customHeight="1">
      <c r="A166" s="28" t="inlineStr">
        <is>
          <t>CEO</t>
        </is>
      </c>
      <c r="B166" s="28" t="inlineStr">
        <is>
          <t>SPD-05</t>
        </is>
      </c>
      <c r="C166" s="28" t="inlineStr">
        <is>
          <t>Spend &amp; procurement</t>
        </is>
      </c>
      <c r="D166" s="28" t="inlineStr">
        <is>
          <t>Approve, reject or close a PO</t>
        </is>
      </c>
      <c r="E166" s="29" t="inlineStr">
        <is>
          <t>R</t>
        </is>
      </c>
      <c r="F166" s="28" t="inlineStr">
        <is>
          <t>Does it: carries out "Approve, reject or close a PO" in /purchases, /inbox.</t>
        </is>
      </c>
      <c r="G166" s="28" t="inlineStr">
        <is>
          <t>/purchases, /inbox</t>
        </is>
      </c>
      <c r="H166" s="29" t="inlineStr">
        <is>
          <t>Extended</t>
        </is>
      </c>
    </row>
    <row r="167" ht="43" customHeight="1">
      <c r="A167" s="28" t="inlineStr">
        <is>
          <t>CEO</t>
        </is>
      </c>
      <c r="B167" s="28" t="inlineStr">
        <is>
          <t>SPD-06</t>
        </is>
      </c>
      <c r="C167" s="28" t="inlineStr">
        <is>
          <t>Spend &amp; procurement</t>
        </is>
      </c>
      <c r="D167" s="28" t="inlineStr">
        <is>
          <t>Book a vendor bill (PO match)</t>
        </is>
      </c>
      <c r="E167" s="30" t="inlineStr">
        <is>
          <t>A</t>
        </is>
      </c>
      <c r="F167" s="28" t="inlineStr">
        <is>
          <t>Approves / signs off and owns the outcome; sees results in Purchases &amp; vendors (bills, ageing), Approvals inbox (vendor_bill); Reports / Ask AI (vendor_bills).</t>
        </is>
      </c>
      <c r="G167" s="28" t="inlineStr">
        <is>
          <t>/purchases</t>
        </is>
      </c>
      <c r="H167" s="29" t="inlineStr">
        <is>
          <t>New in v3</t>
        </is>
      </c>
    </row>
    <row r="168" ht="43" customHeight="1">
      <c r="A168" s="28" t="inlineStr">
        <is>
          <t>CEO</t>
        </is>
      </c>
      <c r="B168" s="28" t="inlineStr">
        <is>
          <t>SPD-07</t>
        </is>
      </c>
      <c r="C168" s="28" t="inlineStr">
        <is>
          <t>Spend &amp; procurement</t>
        </is>
      </c>
      <c r="D168" s="28" t="inlineStr">
        <is>
          <t>Approve, dispute and pay vendor bills</t>
        </is>
      </c>
      <c r="E168" s="30" t="inlineStr">
        <is>
          <t>A</t>
        </is>
      </c>
      <c r="F168" s="28" t="inlineStr">
        <is>
          <t>Approves / signs off and owns the outcome; sees results in Approvals inbox (vendor_bill approve / pay), Purchases (ageing), P&amp;L; Reports / Ask AI (vendor_bills).</t>
        </is>
      </c>
      <c r="G168" s="28" t="inlineStr">
        <is>
          <t>/purchases, /inbox</t>
        </is>
      </c>
      <c r="H168" s="29" t="inlineStr">
        <is>
          <t>Extended</t>
        </is>
      </c>
    </row>
    <row r="169" ht="17" customHeight="1">
      <c r="A169" s="28" t="inlineStr">
        <is>
          <t>CEO</t>
        </is>
      </c>
      <c r="B169" s="28" t="inlineStr">
        <is>
          <t>SPD-08</t>
        </is>
      </c>
      <c r="C169" s="28" t="inlineStr">
        <is>
          <t>Spend &amp; procurement</t>
        </is>
      </c>
      <c r="D169" s="28" t="inlineStr">
        <is>
          <t>Annual budget and monthly phasing</t>
        </is>
      </c>
      <c r="E169" s="29" t="inlineStr">
        <is>
          <t>R</t>
        </is>
      </c>
      <c r="F169" s="28" t="inlineStr">
        <is>
          <t>Does it: carries out "Annual budget and monthly phasing" in /budgets.</t>
        </is>
      </c>
      <c r="G169" s="28" t="inlineStr">
        <is>
          <t>/budgets</t>
        </is>
      </c>
      <c r="H169" s="29" t="inlineStr">
        <is>
          <t>Extended</t>
        </is>
      </c>
    </row>
    <row r="170" ht="30" customHeight="1">
      <c r="A170" s="28" t="inlineStr">
        <is>
          <t>CEO</t>
        </is>
      </c>
      <c r="B170" s="28" t="inlineStr">
        <is>
          <t>SPD-09</t>
        </is>
      </c>
      <c r="C170" s="28" t="inlineStr">
        <is>
          <t>Spend &amp; procurement</t>
        </is>
      </c>
      <c r="D170" s="28" t="inlineStr">
        <is>
          <t>Budget vs actual review</t>
        </is>
      </c>
      <c r="E170" s="30" t="inlineStr">
        <is>
          <t>A</t>
        </is>
      </c>
      <c r="F170" s="28" t="inlineStr">
        <is>
          <t>Approves / signs off and owns the outcome; sees results in Budgets, CEO Spend panel; Reports / Ask AI (budget_vs_actual).</t>
        </is>
      </c>
      <c r="G170" s="28" t="inlineStr">
        <is>
          <t>/budgets</t>
        </is>
      </c>
      <c r="H170" s="29" t="inlineStr">
        <is>
          <t>New in v3</t>
        </is>
      </c>
    </row>
    <row r="171" ht="30" customHeight="1">
      <c r="A171" s="28" t="inlineStr">
        <is>
          <t>CEO</t>
        </is>
      </c>
      <c r="B171" s="28" t="inlineStr">
        <is>
          <t>SPD-10</t>
        </is>
      </c>
      <c r="C171" s="28" t="inlineStr">
        <is>
          <t>Spend &amp; procurement</t>
        </is>
      </c>
      <c r="D171" s="28" t="inlineStr">
        <is>
          <t>Unbudgeted / additional spend register</t>
        </is>
      </c>
      <c r="E171" s="30" t="inlineStr">
        <is>
          <t>A</t>
        </is>
      </c>
      <c r="F171" s="28" t="inlineStr">
        <is>
          <t>Approves / signs off and owns the outcome; sees results in Budgets (unbudgeted), CEO Home (Spend panel); Reports / Ask AI (budget_vs_actual).</t>
        </is>
      </c>
      <c r="G171" s="28" t="inlineStr">
        <is>
          <t>/budgets</t>
        </is>
      </c>
      <c r="H171" s="29" t="inlineStr">
        <is>
          <t>New in v3</t>
        </is>
      </c>
    </row>
    <row r="172" ht="17" customHeight="1">
      <c r="A172" s="28" t="inlineStr">
        <is>
          <t>CEO</t>
        </is>
      </c>
      <c r="B172" s="28" t="inlineStr">
        <is>
          <t>SPD-11</t>
        </is>
      </c>
      <c r="C172" s="28" t="inlineStr">
        <is>
          <t>Spend &amp; procurement</t>
        </is>
      </c>
      <c r="D172" s="28" t="inlineStr">
        <is>
          <t>Travel requests and advances</t>
        </is>
      </c>
      <c r="E172" s="30" t="inlineStr">
        <is>
          <t>A</t>
        </is>
      </c>
      <c r="F172" s="28" t="inlineStr">
        <is>
          <t>Planned (not built yet). Approves / signs off and owns the outcome.</t>
        </is>
      </c>
      <c r="G172" s="28" t="inlineStr">
        <is>
          <t>-</t>
        </is>
      </c>
      <c r="H172" s="29" t="inlineStr">
        <is>
          <t>Planned</t>
        </is>
      </c>
    </row>
    <row r="173" ht="30" customHeight="1">
      <c r="A173" s="28" t="inlineStr">
        <is>
          <t>CEO</t>
        </is>
      </c>
      <c r="B173" s="28" t="inlineStr">
        <is>
          <t>SPD-12</t>
        </is>
      </c>
      <c r="C173" s="28" t="inlineStr">
        <is>
          <t>Spend &amp; procurement</t>
        </is>
      </c>
      <c r="D173" s="28" t="inlineStr">
        <is>
          <t>Goods / service receipt (true 3-way match)</t>
        </is>
      </c>
      <c r="E173" s="30" t="inlineStr">
        <is>
          <t>A</t>
        </is>
      </c>
      <c r="F173" s="28" t="inlineStr">
        <is>
          <t>Planned (not built yet). Approves / signs off and owns the outcome.</t>
        </is>
      </c>
      <c r="G173" s="28" t="inlineStr">
        <is>
          <t>-</t>
        </is>
      </c>
      <c r="H173" s="29" t="inlineStr">
        <is>
          <t>Planned</t>
        </is>
      </c>
    </row>
    <row r="174" ht="17" customHeight="1">
      <c r="A174" s="28" t="inlineStr">
        <is>
          <t>CEO</t>
        </is>
      </c>
      <c r="B174" s="28" t="inlineStr">
        <is>
          <t>SPD-13</t>
        </is>
      </c>
      <c r="C174" s="28" t="inlineStr">
        <is>
          <t>Spend &amp; procurement</t>
        </is>
      </c>
      <c r="D174" s="28" t="inlineStr">
        <is>
          <t>Petty cash</t>
        </is>
      </c>
      <c r="E174" s="30" t="inlineStr">
        <is>
          <t>A</t>
        </is>
      </c>
      <c r="F174" s="28" t="inlineStr">
        <is>
          <t>Planned (not built yet). Approves / signs off and owns the outcome.</t>
        </is>
      </c>
      <c r="G174" s="28" t="inlineStr">
        <is>
          <t>-</t>
        </is>
      </c>
      <c r="H174" s="29" t="inlineStr">
        <is>
          <t>Planned</t>
        </is>
      </c>
    </row>
    <row r="175" ht="17" customHeight="1">
      <c r="A175" s="28" t="inlineStr">
        <is>
          <t>CEO</t>
        </is>
      </c>
      <c r="B175" s="28" t="inlineStr">
        <is>
          <t>REV-01</t>
        </is>
      </c>
      <c r="C175" s="28" t="inlineStr">
        <is>
          <t>Revenue assurance</t>
        </is>
      </c>
      <c r="D175" s="28" t="inlineStr">
        <is>
          <t>Lost revenue register and reporting</t>
        </is>
      </c>
      <c r="E175" s="29" t="inlineStr">
        <is>
          <t>R</t>
        </is>
      </c>
      <c r="F175" s="28" t="inlineStr">
        <is>
          <t>Does it: carries out "Lost revenue register and reporting" in /leakage.</t>
        </is>
      </c>
      <c r="G175" s="28" t="inlineStr">
        <is>
          <t>/leakage</t>
        </is>
      </c>
      <c r="H175" s="29" t="inlineStr">
        <is>
          <t>New in v3</t>
        </is>
      </c>
    </row>
    <row r="176" ht="30" customHeight="1">
      <c r="A176" s="28" t="inlineStr">
        <is>
          <t>CEO</t>
        </is>
      </c>
      <c r="B176" s="28" t="inlineStr">
        <is>
          <t>REV-02</t>
        </is>
      </c>
      <c r="C176" s="28" t="inlineStr">
        <is>
          <t>Revenue assurance</t>
        </is>
      </c>
      <c r="D176" s="28" t="inlineStr">
        <is>
          <t>Auto-detect: lost deals</t>
        </is>
      </c>
      <c r="E176" s="30" t="inlineStr">
        <is>
          <t>A</t>
        </is>
      </c>
      <c r="F176" s="28" t="inlineStr">
        <is>
          <t>Approves / signs off and owns the outcome; sees results in Lost revenue; Reports / Ask AI (revenue_leakage).</t>
        </is>
      </c>
      <c r="G176" s="28" t="inlineStr">
        <is>
          <t>/leakage</t>
        </is>
      </c>
      <c r="H176" s="29" t="inlineStr">
        <is>
          <t>New in v3</t>
        </is>
      </c>
    </row>
    <row r="177" ht="30" customHeight="1">
      <c r="A177" s="28" t="inlineStr">
        <is>
          <t>CEO</t>
        </is>
      </c>
      <c r="B177" s="28" t="inlineStr">
        <is>
          <t>REV-03</t>
        </is>
      </c>
      <c r="C177" s="28" t="inlineStr">
        <is>
          <t>Revenue assurance</t>
        </is>
      </c>
      <c r="D177" s="28" t="inlineStr">
        <is>
          <t>Auto-detect: unbilled hours</t>
        </is>
      </c>
      <c r="E177" s="30" t="inlineStr">
        <is>
          <t>A</t>
        </is>
      </c>
      <c r="F177" s="28" t="inlineStr">
        <is>
          <t>Approves / signs off and owns the outcome; sees results in Lost revenue; Reports / Ask AI (revenue_leakage).</t>
        </is>
      </c>
      <c r="G177" s="28" t="inlineStr">
        <is>
          <t>/leakage</t>
        </is>
      </c>
      <c r="H177" s="29" t="inlineStr">
        <is>
          <t>New in v3</t>
        </is>
      </c>
    </row>
    <row r="178" ht="30" customHeight="1">
      <c r="A178" s="28" t="inlineStr">
        <is>
          <t>CEO</t>
        </is>
      </c>
      <c r="B178" s="28" t="inlineStr">
        <is>
          <t>REV-04</t>
        </is>
      </c>
      <c r="C178" s="28" t="inlineStr">
        <is>
          <t>Revenue assurance</t>
        </is>
      </c>
      <c r="D178" s="28" t="inlineStr">
        <is>
          <t>Auto-detect: bad-debt risk</t>
        </is>
      </c>
      <c r="E178" s="30" t="inlineStr">
        <is>
          <t>A</t>
        </is>
      </c>
      <c r="F178" s="28" t="inlineStr">
        <is>
          <t>Approves / signs off and owns the outcome; sees results in Lost revenue, Client health; Reports / Ask AI (revenue_leakage).</t>
        </is>
      </c>
      <c r="G178" s="28" t="inlineStr">
        <is>
          <t>/leakage</t>
        </is>
      </c>
      <c r="H178" s="29" t="inlineStr">
        <is>
          <t>New in v3</t>
        </is>
      </c>
    </row>
    <row r="179" ht="30" customHeight="1">
      <c r="A179" s="28" t="inlineStr">
        <is>
          <t>CEO</t>
        </is>
      </c>
      <c r="B179" s="28" t="inlineStr">
        <is>
          <t>REV-05</t>
        </is>
      </c>
      <c r="C179" s="28" t="inlineStr">
        <is>
          <t>Revenue assurance</t>
        </is>
      </c>
      <c r="D179" s="28" t="inlineStr">
        <is>
          <t>Auto-detect: scope creep</t>
        </is>
      </c>
      <c r="E179" s="30" t="inlineStr">
        <is>
          <t>A</t>
        </is>
      </c>
      <c r="F179" s="28" t="inlineStr">
        <is>
          <t>Approves / signs off and owns the outcome; sees results in Lost revenue; Reports / Ask AI (revenue_leakage).</t>
        </is>
      </c>
      <c r="G179" s="28" t="inlineStr">
        <is>
          <t>/leakage</t>
        </is>
      </c>
      <c r="H179" s="29" t="inlineStr">
        <is>
          <t>New in v3</t>
        </is>
      </c>
    </row>
    <row r="180" ht="30" customHeight="1">
      <c r="A180" s="28" t="inlineStr">
        <is>
          <t>CEO</t>
        </is>
      </c>
      <c r="B180" s="28" t="inlineStr">
        <is>
          <t>REV-06</t>
        </is>
      </c>
      <c r="C180" s="28" t="inlineStr">
        <is>
          <t>Revenue assurance</t>
        </is>
      </c>
      <c r="D180" s="28" t="inlineStr">
        <is>
          <t>Record discounts, write-offs, credit notes, penalties and churn</t>
        </is>
      </c>
      <c r="E180" s="29" t="inlineStr">
        <is>
          <t>R</t>
        </is>
      </c>
      <c r="F180" s="28" t="inlineStr">
        <is>
          <t>Does it: carries out "Record discounts, write-offs, credit notes, penalties and churn" in /leakage.</t>
        </is>
      </c>
      <c r="G180" s="28" t="inlineStr">
        <is>
          <t>/leakage</t>
        </is>
      </c>
      <c r="H180" s="29" t="inlineStr">
        <is>
          <t>New in v3</t>
        </is>
      </c>
    </row>
    <row r="181" ht="17" customHeight="1">
      <c r="A181" s="28" t="inlineStr">
        <is>
          <t>CEO</t>
        </is>
      </c>
      <c r="B181" s="28" t="inlineStr">
        <is>
          <t>REV-07</t>
        </is>
      </c>
      <c r="C181" s="28" t="inlineStr">
        <is>
          <t>Revenue assurance</t>
        </is>
      </c>
      <c r="D181" s="28" t="inlineStr">
        <is>
          <t>Recovery tracking</t>
        </is>
      </c>
      <c r="E181" s="29" t="inlineStr">
        <is>
          <t>R</t>
        </is>
      </c>
      <c r="F181" s="28" t="inlineStr">
        <is>
          <t>Does it: carries out "Recovery tracking" in /leakage.</t>
        </is>
      </c>
      <c r="G181" s="28" t="inlineStr">
        <is>
          <t>/leakage</t>
        </is>
      </c>
      <c r="H181" s="29" t="inlineStr">
        <is>
          <t>New in v3</t>
        </is>
      </c>
    </row>
    <row r="182" ht="17" customHeight="1">
      <c r="A182" s="28" t="inlineStr">
        <is>
          <t>CEO</t>
        </is>
      </c>
      <c r="B182" s="28" t="inlineStr">
        <is>
          <t>REV-08</t>
        </is>
      </c>
      <c r="C182" s="28" t="inlineStr">
        <is>
          <t>Revenue assurance</t>
        </is>
      </c>
      <c r="D182" s="28" t="inlineStr">
        <is>
          <t>Discount approval workflow</t>
        </is>
      </c>
      <c r="E182" s="30" t="inlineStr">
        <is>
          <t>A</t>
        </is>
      </c>
      <c r="F182" s="28" t="inlineStr">
        <is>
          <t>Planned (not built yet). Approves / signs off and owns the outcome.</t>
        </is>
      </c>
      <c r="G182" s="28" t="inlineStr">
        <is>
          <t>-</t>
        </is>
      </c>
      <c r="H182" s="29" t="inlineStr">
        <is>
          <t>Planned</t>
        </is>
      </c>
    </row>
    <row r="183" ht="30" customHeight="1">
      <c r="A183" s="28" t="inlineStr">
        <is>
          <t>CEO</t>
        </is>
      </c>
      <c r="B183" s="28" t="inlineStr">
        <is>
          <t>OPS-01</t>
        </is>
      </c>
      <c r="C183" s="28" t="inlineStr">
        <is>
          <t>Operations &amp; compliance</t>
        </is>
      </c>
      <c r="D183" s="28" t="inlineStr">
        <is>
          <t>Recurring operations register</t>
        </is>
      </c>
      <c r="E183" s="30" t="inlineStr">
        <is>
          <t>A</t>
        </is>
      </c>
      <c r="F183" s="28" t="inlineStr">
        <is>
          <t>Approves / signs off and owns the outcome; sees results in HR Home (ops register, compliance calendar 60 days).</t>
        </is>
      </c>
      <c r="G183" s="28" t="inlineStr">
        <is>
          <t>/operations</t>
        </is>
      </c>
      <c r="H183" s="29" t="inlineStr">
        <is>
          <t>Live</t>
        </is>
      </c>
    </row>
    <row r="184" ht="17" customHeight="1">
      <c r="A184" s="28" t="inlineStr">
        <is>
          <t>CEO</t>
        </is>
      </c>
      <c r="B184" s="28" t="inlineStr">
        <is>
          <t>OPS-02</t>
        </is>
      </c>
      <c r="C184" s="28" t="inlineStr">
        <is>
          <t>Operations &amp; compliance</t>
        </is>
      </c>
      <c r="D184" s="28" t="inlineStr">
        <is>
          <t>Mark done and roll forward</t>
        </is>
      </c>
      <c r="E184" s="29" t="inlineStr">
        <is>
          <t>I</t>
        </is>
      </c>
      <c r="F184" s="28" t="inlineStr">
        <is>
          <t>Informed; sees the outcome in Scorecard (ops on time), HR Home.</t>
        </is>
      </c>
      <c r="G184" s="28" t="inlineStr">
        <is>
          <t>/operations</t>
        </is>
      </c>
      <c r="H184" s="29" t="inlineStr">
        <is>
          <t>Live</t>
        </is>
      </c>
    </row>
    <row r="185" ht="30" customHeight="1">
      <c r="A185" s="28" t="inlineStr">
        <is>
          <t>CEO</t>
        </is>
      </c>
      <c r="B185" s="28" t="inlineStr">
        <is>
          <t>OPS-03</t>
        </is>
      </c>
      <c r="C185" s="28" t="inlineStr">
        <is>
          <t>Operations &amp; compliance</t>
        </is>
      </c>
      <c r="D185" s="28" t="inlineStr">
        <is>
          <t>Overdue and due-soon alerts</t>
        </is>
      </c>
      <c r="E185" s="29" t="inlineStr">
        <is>
          <t>I</t>
        </is>
      </c>
      <c r="F185" s="28" t="inlineStr">
        <is>
          <t>Informed (NTF-13 ops item overdue); sees the outcome in HR Home (KPIs: overdue, due in 7 / 30 days).</t>
        </is>
      </c>
      <c r="G185" s="28" t="inlineStr">
        <is>
          <t>/operations</t>
        </is>
      </c>
      <c r="H185" s="29" t="inlineStr">
        <is>
          <t>Live</t>
        </is>
      </c>
    </row>
    <row r="186" ht="17" customHeight="1">
      <c r="A186" s="28" t="inlineStr">
        <is>
          <t>CEO</t>
        </is>
      </c>
      <c r="B186" s="28" t="inlineStr">
        <is>
          <t>OPS-04</t>
        </is>
      </c>
      <c r="C186" s="28" t="inlineStr">
        <is>
          <t>Operations &amp; compliance</t>
        </is>
      </c>
      <c r="D186" s="28" t="inlineStr">
        <is>
          <t>ISO 9001 non-conformance and CAPA</t>
        </is>
      </c>
      <c r="E186" s="30" t="inlineStr">
        <is>
          <t>A</t>
        </is>
      </c>
      <c r="F186" s="28" t="inlineStr">
        <is>
          <t>Planned (not built yet). Approves / signs off and owns the outcome.</t>
        </is>
      </c>
      <c r="G186" s="28" t="inlineStr">
        <is>
          <t>-</t>
        </is>
      </c>
      <c r="H186" s="29" t="inlineStr">
        <is>
          <t>Planned</t>
        </is>
      </c>
    </row>
    <row r="187" ht="17" customHeight="1">
      <c r="A187" s="28" t="inlineStr">
        <is>
          <t>CEO</t>
        </is>
      </c>
      <c r="B187" s="28" t="inlineStr">
        <is>
          <t>OPS-05</t>
        </is>
      </c>
      <c r="C187" s="28" t="inlineStr">
        <is>
          <t>Operations &amp; compliance</t>
        </is>
      </c>
      <c r="D187" s="28" t="inlineStr">
        <is>
          <t>Risk register (company and project)</t>
        </is>
      </c>
      <c r="E187" s="30" t="inlineStr">
        <is>
          <t>A</t>
        </is>
      </c>
      <c r="F187" s="28" t="inlineStr">
        <is>
          <t>Planned (not built yet). Approves / signs off and owns the outcome.</t>
        </is>
      </c>
      <c r="G187" s="28" t="inlineStr">
        <is>
          <t>-</t>
        </is>
      </c>
      <c r="H187" s="29" t="inlineStr">
        <is>
          <t>Planned</t>
        </is>
      </c>
    </row>
    <row r="188" ht="30" customHeight="1">
      <c r="A188" s="28" t="inlineStr">
        <is>
          <t>CEO</t>
        </is>
      </c>
      <c r="B188" s="28" t="inlineStr">
        <is>
          <t>GOV-01</t>
        </is>
      </c>
      <c r="C188" s="28" t="inlineStr">
        <is>
          <t>Strategy &amp; governance</t>
        </is>
      </c>
      <c r="D188" s="28" t="inlineStr">
        <is>
          <t>Set objectives (company, team, personal)</t>
        </is>
      </c>
      <c r="E188" s="29" t="inlineStr">
        <is>
          <t>R</t>
        </is>
      </c>
      <c r="F188" s="28" t="inlineStr">
        <is>
          <t>Does it: carries out "Set objectives (company, team, personal)" in /okrs.</t>
        </is>
      </c>
      <c r="G188" s="28" t="inlineStr">
        <is>
          <t>/okrs</t>
        </is>
      </c>
      <c r="H188" s="29" t="inlineStr">
        <is>
          <t>New in v3</t>
        </is>
      </c>
    </row>
    <row r="189" ht="30" customHeight="1">
      <c r="A189" s="28" t="inlineStr">
        <is>
          <t>CEO</t>
        </is>
      </c>
      <c r="B189" s="28" t="inlineStr">
        <is>
          <t>GOV-02</t>
        </is>
      </c>
      <c r="C189" s="28" t="inlineStr">
        <is>
          <t>Strategy &amp; governance</t>
        </is>
      </c>
      <c r="D189" s="28" t="inlineStr">
        <is>
          <t>Key results with automatic measures and check-ins</t>
        </is>
      </c>
      <c r="E189" s="30" t="inlineStr">
        <is>
          <t>A</t>
        </is>
      </c>
      <c r="F189" s="28" t="inlineStr">
        <is>
          <t>Approves / signs off and owns the outcome; sees results in Goals &amp; OKRs; Reports / Ask AI (okr_key_results).</t>
        </is>
      </c>
      <c r="G189" s="28" t="inlineStr">
        <is>
          <t>/okrs</t>
        </is>
      </c>
      <c r="H189" s="29" t="inlineStr">
        <is>
          <t>New in v3</t>
        </is>
      </c>
    </row>
    <row r="190" ht="17" customHeight="1">
      <c r="A190" s="28" t="inlineStr">
        <is>
          <t>CEO</t>
        </is>
      </c>
      <c r="B190" s="28" t="inlineStr">
        <is>
          <t>GOV-03</t>
        </is>
      </c>
      <c r="C190" s="28" t="inlineStr">
        <is>
          <t>Strategy &amp; governance</t>
        </is>
      </c>
      <c r="D190" s="28" t="inlineStr">
        <is>
          <t>Approvals inbox</t>
        </is>
      </c>
      <c r="E190" s="29" t="inlineStr">
        <is>
          <t>R</t>
        </is>
      </c>
      <c r="F190" s="28" t="inlineStr">
        <is>
          <t>Does it: carries out "Approvals inbox" in /inbox.</t>
        </is>
      </c>
      <c r="G190" s="28" t="inlineStr">
        <is>
          <t>/inbox</t>
        </is>
      </c>
      <c r="H190" s="29" t="inlineStr">
        <is>
          <t>Extended</t>
        </is>
      </c>
    </row>
    <row r="191" ht="17" customHeight="1">
      <c r="A191" s="28" t="inlineStr">
        <is>
          <t>CEO</t>
        </is>
      </c>
      <c r="B191" s="28" t="inlineStr">
        <is>
          <t>GOV-04</t>
        </is>
      </c>
      <c r="C191" s="28" t="inlineStr">
        <is>
          <t>Strategy &amp; governance</t>
        </is>
      </c>
      <c r="D191" s="28" t="inlineStr">
        <is>
          <t>Audit trail</t>
        </is>
      </c>
      <c r="E191" s="29" t="inlineStr">
        <is>
          <t>I</t>
        </is>
      </c>
      <c r="F191" s="28" t="inlineStr">
        <is>
          <t>Informed; sees the outcome in Audit trail, project activity tab.</t>
        </is>
      </c>
      <c r="G191" s="28" t="inlineStr">
        <is>
          <t>/audit</t>
        </is>
      </c>
      <c r="H191" s="29" t="inlineStr">
        <is>
          <t>Extended</t>
        </is>
      </c>
    </row>
    <row r="192" ht="17" customHeight="1">
      <c r="A192" s="28" t="inlineStr">
        <is>
          <t>CEO</t>
        </is>
      </c>
      <c r="B192" s="28" t="inlineStr">
        <is>
          <t>GOV-05</t>
        </is>
      </c>
      <c r="C192" s="28" t="inlineStr">
        <is>
          <t>Strategy &amp; governance</t>
        </is>
      </c>
      <c r="D192" s="28" t="inlineStr">
        <is>
          <t>Notifications centre</t>
        </is>
      </c>
      <c r="E192" s="29" t="inlineStr">
        <is>
          <t>R</t>
        </is>
      </c>
      <c r="F192" s="28" t="inlineStr">
        <is>
          <t>Does it: carries out "Notifications centre" in /notifications.</t>
        </is>
      </c>
      <c r="G192" s="28" t="inlineStr">
        <is>
          <t>/notifications</t>
        </is>
      </c>
      <c r="H192" s="29" t="inlineStr">
        <is>
          <t>Live</t>
        </is>
      </c>
    </row>
    <row r="193" ht="17" customHeight="1">
      <c r="A193" s="28" t="inlineStr">
        <is>
          <t>CEO</t>
        </is>
      </c>
      <c r="B193" s="28" t="inlineStr">
        <is>
          <t>GOV-06</t>
        </is>
      </c>
      <c r="C193" s="28" t="inlineStr">
        <is>
          <t>Strategy &amp; governance</t>
        </is>
      </c>
      <c r="D193" s="28" t="inlineStr">
        <is>
          <t>Weekly scorecard</t>
        </is>
      </c>
      <c r="E193" s="30" t="inlineStr">
        <is>
          <t>A</t>
        </is>
      </c>
      <c r="F193" s="28" t="inlineStr">
        <is>
          <t>Approves / signs off and owns the outcome; sees results in Scorecard.</t>
        </is>
      </c>
      <c r="G193" s="28" t="inlineStr">
        <is>
          <t>/scorecard</t>
        </is>
      </c>
      <c r="H193" s="29" t="inlineStr">
        <is>
          <t>Live</t>
        </is>
      </c>
    </row>
    <row r="194" ht="30" customHeight="1">
      <c r="A194" s="28" t="inlineStr">
        <is>
          <t>CEO</t>
        </is>
      </c>
      <c r="B194" s="28" t="inlineStr">
        <is>
          <t>GOV-07</t>
        </is>
      </c>
      <c r="C194" s="28" t="inlineStr">
        <is>
          <t>Strategy &amp; governance</t>
        </is>
      </c>
      <c r="D194" s="28" t="inlineStr">
        <is>
          <t>Board and investor reporting pack</t>
        </is>
      </c>
      <c r="E194" s="29" t="inlineStr">
        <is>
          <t>R</t>
        </is>
      </c>
      <c r="F194" s="28" t="inlineStr">
        <is>
          <t>Planned (not built yet). Does it: carries out "Board and investor reporting pack".</t>
        </is>
      </c>
      <c r="G194" s="28" t="inlineStr">
        <is>
          <t>-</t>
        </is>
      </c>
      <c r="H194" s="29" t="inlineStr">
        <is>
          <t>Planned</t>
        </is>
      </c>
    </row>
    <row r="195" ht="17" customHeight="1">
      <c r="A195" s="28" t="inlineStr">
        <is>
          <t>CEO</t>
        </is>
      </c>
      <c r="B195" s="28" t="inlineStr">
        <is>
          <t>ANA-01</t>
        </is>
      </c>
      <c r="C195" s="28" t="inlineStr">
        <is>
          <t>Analytics &amp; AI</t>
        </is>
      </c>
      <c r="D195" s="28" t="inlineStr">
        <is>
          <t>CEO / Admin dashboard</t>
        </is>
      </c>
      <c r="E195" s="29" t="inlineStr">
        <is>
          <t>R</t>
        </is>
      </c>
      <c r="F195" s="28" t="inlineStr">
        <is>
          <t>Does it: carries out "CEO / Admin dashboard" in /home.</t>
        </is>
      </c>
      <c r="G195" s="28" t="inlineStr">
        <is>
          <t>/home</t>
        </is>
      </c>
      <c r="H195" s="29" t="inlineStr">
        <is>
          <t>Extended</t>
        </is>
      </c>
    </row>
    <row r="196" ht="17" customHeight="1">
      <c r="A196" s="28" t="inlineStr">
        <is>
          <t>CEO</t>
        </is>
      </c>
      <c r="B196" s="28" t="inlineStr">
        <is>
          <t>ANA-06</t>
        </is>
      </c>
      <c r="C196" s="28" t="inlineStr">
        <is>
          <t>Analytics &amp; AI</t>
        </is>
      </c>
      <c r="D196" s="28" t="inlineStr">
        <is>
          <t>Insights views</t>
        </is>
      </c>
      <c r="E196" s="29" t="inlineStr">
        <is>
          <t>R</t>
        </is>
      </c>
      <c r="F196" s="28" t="inlineStr">
        <is>
          <t>Does it: carries out "Insights views" in /insights, /insights/:view.</t>
        </is>
      </c>
      <c r="G196" s="28" t="inlineStr">
        <is>
          <t>/insights, /insights/:view</t>
        </is>
      </c>
      <c r="H196" s="29" t="inlineStr">
        <is>
          <t>Live</t>
        </is>
      </c>
    </row>
    <row r="197" ht="30" customHeight="1">
      <c r="A197" s="28" t="inlineStr">
        <is>
          <t>CEO</t>
        </is>
      </c>
      <c r="B197" s="28" t="inlineStr">
        <is>
          <t>ANA-07</t>
        </is>
      </c>
      <c r="C197" s="28" t="inlineStr">
        <is>
          <t>Analytics &amp; AI</t>
        </is>
      </c>
      <c r="D197" s="28" t="inlineStr">
        <is>
          <t>Custom report builder and exports</t>
        </is>
      </c>
      <c r="E197" s="29" t="inlineStr">
        <is>
          <t>R</t>
        </is>
      </c>
      <c r="F197" s="28" t="inlineStr">
        <is>
          <t>Does it: carries out "Custom report builder and exports" in /reports, /reports/new, /reports/:id.</t>
        </is>
      </c>
      <c r="G197" s="28" t="inlineStr">
        <is>
          <t>/reports, /reports/new, /reports/:id</t>
        </is>
      </c>
      <c r="H197" s="29" t="inlineStr">
        <is>
          <t>Extended</t>
        </is>
      </c>
    </row>
    <row r="198" ht="17" customHeight="1">
      <c r="A198" s="28" t="inlineStr">
        <is>
          <t>CEO</t>
        </is>
      </c>
      <c r="B198" s="28" t="inlineStr">
        <is>
          <t>ANA-08</t>
        </is>
      </c>
      <c r="C198" s="28" t="inlineStr">
        <is>
          <t>Analytics &amp; AI</t>
        </is>
      </c>
      <c r="D198" s="28" t="inlineStr">
        <is>
          <t>Ask AI and AI report planning</t>
        </is>
      </c>
      <c r="E198" s="29" t="inlineStr">
        <is>
          <t>R</t>
        </is>
      </c>
      <c r="F198" s="28" t="inlineStr">
        <is>
          <t>Does it: carries out "Ask AI and AI report planning" in /ai.</t>
        </is>
      </c>
      <c r="G198" s="28" t="inlineStr">
        <is>
          <t>/ai</t>
        </is>
      </c>
      <c r="H198" s="29" t="inlineStr">
        <is>
          <t>Extended</t>
        </is>
      </c>
    </row>
    <row r="199" ht="17" customHeight="1">
      <c r="A199" s="28" t="inlineStr">
        <is>
          <t>CEO</t>
        </is>
      </c>
      <c r="B199" s="28" t="inlineStr">
        <is>
          <t>ANA-09</t>
        </is>
      </c>
      <c r="C199" s="28" t="inlineStr">
        <is>
          <t>Analytics &amp; AI</t>
        </is>
      </c>
      <c r="D199" s="28" t="inlineStr">
        <is>
          <t>Scheduled email reports</t>
        </is>
      </c>
      <c r="E199" s="29" t="inlineStr">
        <is>
          <t>R</t>
        </is>
      </c>
      <c r="F199" s="28" t="inlineStr">
        <is>
          <t>Planned (not built yet). Does it: carries out "Scheduled email reports".</t>
        </is>
      </c>
      <c r="G199" s="28" t="inlineStr">
        <is>
          <t>-</t>
        </is>
      </c>
      <c r="H199" s="29" t="inlineStr">
        <is>
          <t>Planned</t>
        </is>
      </c>
    </row>
    <row r="200" ht="30" customHeight="1">
      <c r="A200" s="28" t="inlineStr">
        <is>
          <t>CEO</t>
        </is>
      </c>
      <c r="B200" s="28" t="inlineStr">
        <is>
          <t>ANA-10</t>
        </is>
      </c>
      <c r="C200" s="28" t="inlineStr">
        <is>
          <t>Analytics &amp; AI</t>
        </is>
      </c>
      <c r="D200" s="28" t="inlineStr">
        <is>
          <t>Report datasets for v3 processes</t>
        </is>
      </c>
      <c r="E200" s="29" t="inlineStr">
        <is>
          <t>R</t>
        </is>
      </c>
      <c r="F200" s="28" t="inlineStr">
        <is>
          <t>Does it: carries out "Report datasets for v3 processes" in /reports/new, /ai.</t>
        </is>
      </c>
      <c r="G200" s="28" t="inlineStr">
        <is>
          <t>/reports/new, /ai</t>
        </is>
      </c>
      <c r="H200" s="29" t="inlineStr">
        <is>
          <t>New in v3</t>
        </is>
      </c>
    </row>
    <row r="201" ht="30" customHeight="1">
      <c r="A201" s="28" t="inlineStr">
        <is>
          <t>CEO</t>
        </is>
      </c>
      <c r="B201" s="28" t="inlineStr">
        <is>
          <t>SET-01</t>
        </is>
      </c>
      <c r="C201" s="28" t="inlineStr">
        <is>
          <t>Access, master data &amp; controls</t>
        </is>
      </c>
      <c r="D201" s="28" t="inlineStr">
        <is>
          <t>Guided setup checklist (org data &gt; roles &gt; people)</t>
        </is>
      </c>
      <c r="E201" s="30" t="inlineStr">
        <is>
          <t>A</t>
        </is>
      </c>
      <c r="F201" s="28" t="inlineStr">
        <is>
          <t>Checks setup is complete before people are invited.</t>
        </is>
      </c>
      <c r="G201" s="28" t="inlineStr">
        <is>
          <t>/setup</t>
        </is>
      </c>
      <c r="H201" s="29" t="inlineStr">
        <is>
          <t>New in v4</t>
        </is>
      </c>
    </row>
    <row r="202" ht="30" customHeight="1">
      <c r="A202" s="28" t="inlineStr">
        <is>
          <t>CEO</t>
        </is>
      </c>
      <c r="B202" s="28" t="inlineStr">
        <is>
          <t>ADM-01</t>
        </is>
      </c>
      <c r="C202" s="28" t="inlineStr">
        <is>
          <t>Access, master data &amp; controls</t>
        </is>
      </c>
      <c r="D202" s="28" t="inlineStr">
        <is>
          <t>Organisation profile</t>
        </is>
      </c>
      <c r="E202" s="30" t="inlineStr">
        <is>
          <t>A</t>
        </is>
      </c>
      <c r="F202" s="28" t="inlineStr">
        <is>
          <t>Approves / signs off and owns the outcome; sees results in Setup checklist; welcome emails ({{company}}).</t>
        </is>
      </c>
      <c r="G202" s="28" t="inlineStr">
        <is>
          <t>/setup/org</t>
        </is>
      </c>
      <c r="H202" s="29" t="inlineStr">
        <is>
          <t>New in v4</t>
        </is>
      </c>
    </row>
    <row r="203" ht="30" customHeight="1">
      <c r="A203" s="28" t="inlineStr">
        <is>
          <t>CEO</t>
        </is>
      </c>
      <c r="B203" s="28" t="inlineStr">
        <is>
          <t>ADM-02</t>
        </is>
      </c>
      <c r="C203" s="28" t="inlineStr">
        <is>
          <t>Access, master data &amp; controls</t>
        </is>
      </c>
      <c r="D203" s="28" t="inlineStr">
        <is>
          <t>Locations</t>
        </is>
      </c>
      <c r="E203" s="29" t="inlineStr">
        <is>
          <t>I</t>
        </is>
      </c>
      <c r="F203" s="28" t="inlineStr">
        <is>
          <t>Informed; sees the outcome in People, Create employee.</t>
        </is>
      </c>
      <c r="G203" s="28" t="inlineStr">
        <is>
          <t>/setup/locations</t>
        </is>
      </c>
      <c r="H203" s="29" t="inlineStr">
        <is>
          <t>New in v4</t>
        </is>
      </c>
    </row>
    <row r="204" ht="30" customHeight="1">
      <c r="A204" s="28" t="inlineStr">
        <is>
          <t>CEO</t>
        </is>
      </c>
      <c r="B204" s="28" t="inlineStr">
        <is>
          <t>ADM-03</t>
        </is>
      </c>
      <c r="C204" s="28" t="inlineStr">
        <is>
          <t>Access, master data &amp; controls</t>
        </is>
      </c>
      <c r="D204" s="28" t="inlineStr">
        <is>
          <t>Departments and cost centres</t>
        </is>
      </c>
      <c r="E204" s="29" t="inlineStr">
        <is>
          <t>C</t>
        </is>
      </c>
      <c r="F204" s="28" t="inlineStr">
        <is>
          <t>Consulted: gives input, data or a decision when asked.</t>
        </is>
      </c>
      <c r="G204" s="28" t="inlineStr">
        <is>
          <t>/setup/departments, /setup/cost-centres</t>
        </is>
      </c>
      <c r="H204" s="29" t="inlineStr">
        <is>
          <t>New in v4</t>
        </is>
      </c>
    </row>
    <row r="205" ht="30" customHeight="1">
      <c r="A205" s="28" t="inlineStr">
        <is>
          <t>CEO</t>
        </is>
      </c>
      <c r="B205" s="28" t="inlineStr">
        <is>
          <t>ADM-04</t>
        </is>
      </c>
      <c r="C205" s="28" t="inlineStr">
        <is>
          <t>Access, master data &amp; controls</t>
        </is>
      </c>
      <c r="D205" s="28" t="inlineStr">
        <is>
          <t>Designations, grades and CTC bands</t>
        </is>
      </c>
      <c r="E205" s="29" t="inlineStr">
        <is>
          <t>C</t>
        </is>
      </c>
      <c r="F205" s="28" t="inlineStr">
        <is>
          <t>Consulted: gives input, data or a decision when asked.</t>
        </is>
      </c>
      <c r="G205" s="28" t="inlineStr">
        <is>
          <t>/setup/designations, /setup/grades</t>
        </is>
      </c>
      <c r="H205" s="29" t="inlineStr">
        <is>
          <t>New in v4</t>
        </is>
      </c>
    </row>
    <row r="206" ht="30" customHeight="1">
      <c r="A206" s="28" t="inlineStr">
        <is>
          <t>CEO</t>
        </is>
      </c>
      <c r="B206" s="28" t="inlineStr">
        <is>
          <t>ADM-05</t>
        </is>
      </c>
      <c r="C206" s="28" t="inlineStr">
        <is>
          <t>Access, master data &amp; controls</t>
        </is>
      </c>
      <c r="D206" s="28" t="inlineStr">
        <is>
          <t>Shifts and shift assignment</t>
        </is>
      </c>
      <c r="E206" s="29" t="inlineStr">
        <is>
          <t>I</t>
        </is>
      </c>
      <c r="F206" s="28" t="inlineStr">
        <is>
          <t>Informed (NTF-04 to checkers (if checked)); sees the outcome in People, Create employee.</t>
        </is>
      </c>
      <c r="G206" s="28" t="inlineStr">
        <is>
          <t>/setup/shifts</t>
        </is>
      </c>
      <c r="H206" s="29" t="inlineStr">
        <is>
          <t>New in v4</t>
        </is>
      </c>
    </row>
    <row r="207" ht="30" customHeight="1">
      <c r="A207" s="28" t="inlineStr">
        <is>
          <t>CEO</t>
        </is>
      </c>
      <c r="B207" s="28" t="inlineStr">
        <is>
          <t>ACC-01</t>
        </is>
      </c>
      <c r="C207" s="28" t="inlineStr">
        <is>
          <t>Access, master data &amp; controls</t>
        </is>
      </c>
      <c r="D207" s="28" t="inlineStr">
        <is>
          <t>Define roles and the permission matrix</t>
        </is>
      </c>
      <c r="E207" s="30" t="inlineStr">
        <is>
          <t>A</t>
        </is>
      </c>
      <c r="F207" s="28" t="inlineStr">
        <is>
          <t>Approves / signs off and owns the outcome; sees results in Roles &amp; permissions sheet; Setup &gt; Roles.</t>
        </is>
      </c>
      <c r="G207" s="28" t="inlineStr">
        <is>
          <t>/setup/roles, /setup/roles/:key</t>
        </is>
      </c>
      <c r="H207" s="29" t="inlineStr">
        <is>
          <t>New in v4</t>
        </is>
      </c>
    </row>
    <row r="208" ht="30" customHeight="1">
      <c r="A208" s="28" t="inlineStr">
        <is>
          <t>CEO</t>
        </is>
      </c>
      <c r="B208" s="28" t="inlineStr">
        <is>
          <t>ACC-02</t>
        </is>
      </c>
      <c r="C208" s="28" t="inlineStr">
        <is>
          <t>Access, master data &amp; controls</t>
        </is>
      </c>
      <c r="D208" s="28" t="inlineStr">
        <is>
          <t>Clone and compare roles</t>
        </is>
      </c>
      <c r="E208" s="29" t="inlineStr">
        <is>
          <t>C</t>
        </is>
      </c>
      <c r="F208" s="28" t="inlineStr">
        <is>
          <t>Consulted: gives input, data or a decision when asked.</t>
        </is>
      </c>
      <c r="G208" s="28" t="inlineStr">
        <is>
          <t>/setup/roles?tab=compare</t>
        </is>
      </c>
      <c r="H208" s="29" t="inlineStr">
        <is>
          <t>New in v4</t>
        </is>
      </c>
    </row>
    <row r="209" ht="30" customHeight="1">
      <c r="A209" s="28" t="inlineStr">
        <is>
          <t>CEO</t>
        </is>
      </c>
      <c r="B209" s="28" t="inlineStr">
        <is>
          <t>ACC-03</t>
        </is>
      </c>
      <c r="C209" s="28" t="inlineStr">
        <is>
          <t>Access, master data &amp; controls</t>
        </is>
      </c>
      <c r="D209" s="28" t="inlineStr">
        <is>
          <t>Change a person's role, extra and revoked permissions</t>
        </is>
      </c>
      <c r="E209" s="30" t="inlineStr">
        <is>
          <t>A</t>
        </is>
      </c>
      <c r="F209" s="28" t="inlineStr">
        <is>
          <t>Approves / signs off and owns the outcome; sees results in People, Role detail (members with +extra / -removed).</t>
        </is>
      </c>
      <c r="G209" s="28" t="inlineStr">
        <is>
          <t>/people</t>
        </is>
      </c>
      <c r="H209" s="29" t="inlineStr">
        <is>
          <t>New in v4</t>
        </is>
      </c>
    </row>
    <row r="210" ht="30" customHeight="1">
      <c r="A210" s="28" t="inlineStr">
        <is>
          <t>CEO</t>
        </is>
      </c>
      <c r="B210" s="28" t="inlineStr">
        <is>
          <t>ACC-04</t>
        </is>
      </c>
      <c r="C210" s="28" t="inlineStr">
        <is>
          <t>Access, master data &amp; controls</t>
        </is>
      </c>
      <c r="D210" s="28" t="inlineStr">
        <is>
          <t>Create employee and send the welcome email</t>
        </is>
      </c>
      <c r="E210" s="29" t="inlineStr">
        <is>
          <t>I</t>
        </is>
      </c>
      <c r="F210" s="28" t="inlineStr">
        <is>
          <t>Informed (Welcome email; NTF-14 to the manager); sees the outcome in People; Setup checklist (people step); Emails &gt; Sent.</t>
        </is>
      </c>
      <c r="G210" s="28" t="inlineStr">
        <is>
          <t>/people/new</t>
        </is>
      </c>
      <c r="H210" s="29" t="inlineStr">
        <is>
          <t>New in v4</t>
        </is>
      </c>
    </row>
    <row r="211" ht="30" customHeight="1">
      <c r="A211" s="28" t="inlineStr">
        <is>
          <t>CEO</t>
        </is>
      </c>
      <c r="B211" s="28" t="inlineStr">
        <is>
          <t>ACC-05</t>
        </is>
      </c>
      <c r="C211" s="28" t="inlineStr">
        <is>
          <t>Access, master data &amp; controls</t>
        </is>
      </c>
      <c r="D211" s="28" t="inlineStr">
        <is>
          <t>First sign-in: forced password change</t>
        </is>
      </c>
      <c r="E211" s="29" t="inlineStr">
        <is>
          <t>R</t>
        </is>
      </c>
      <c r="F211" s="28" t="inlineStr">
        <is>
          <t>Does it: carries out "First sign-in: forced password change" in /welcome/password.</t>
        </is>
      </c>
      <c r="G211" s="28" t="inlineStr">
        <is>
          <t>/welcome/password</t>
        </is>
      </c>
      <c r="H211" s="29" t="inlineStr">
        <is>
          <t>New in v4</t>
        </is>
      </c>
    </row>
    <row r="212" ht="30" customHeight="1">
      <c r="A212" s="28" t="inlineStr">
        <is>
          <t>CEO</t>
        </is>
      </c>
      <c r="B212" s="28" t="inlineStr">
        <is>
          <t>ACC-07</t>
        </is>
      </c>
      <c r="C212" s="28" t="inlineStr">
        <is>
          <t>Access, master data &amp; controls</t>
        </is>
      </c>
      <c r="D212" s="28" t="inlineStr">
        <is>
          <t>Deactivate or reactivate an employee</t>
        </is>
      </c>
      <c r="E212" s="29" t="inlineStr">
        <is>
          <t>I</t>
        </is>
      </c>
      <c r="F212" s="28" t="inlineStr">
        <is>
          <t>Informed; sees the outcome in People, HR dashboard.</t>
        </is>
      </c>
      <c r="G212" s="28" t="inlineStr">
        <is>
          <t>/people</t>
        </is>
      </c>
      <c r="H212" s="29" t="inlineStr">
        <is>
          <t>New in v4</t>
        </is>
      </c>
    </row>
    <row r="213" ht="30" customHeight="1">
      <c r="A213" s="28" t="inlineStr">
        <is>
          <t>CEO</t>
        </is>
      </c>
      <c r="B213" s="28" t="inlineStr">
        <is>
          <t>ACC-08</t>
        </is>
      </c>
      <c r="C213" s="28" t="inlineStr">
        <is>
          <t>Access, master data &amp; controls</t>
        </is>
      </c>
      <c r="D213" s="28" t="inlineStr">
        <is>
          <t>View as a role (read-only preview)</t>
        </is>
      </c>
      <c r="E213" s="29" t="inlineStr">
        <is>
          <t>R</t>
        </is>
      </c>
      <c r="F213" s="28" t="inlineStr">
        <is>
          <t>Does it: carries out "View as a role (read-only preview)" in Top bar.</t>
        </is>
      </c>
      <c r="G213" s="28" t="inlineStr">
        <is>
          <t>Top bar</t>
        </is>
      </c>
      <c r="H213" s="29" t="inlineStr">
        <is>
          <t>New in v4</t>
        </is>
      </c>
    </row>
    <row r="214" ht="30" customHeight="1">
      <c r="A214" s="28" t="inlineStr">
        <is>
          <t>CEO</t>
        </is>
      </c>
      <c r="B214" s="28" t="inlineStr">
        <is>
          <t>ACC-09</t>
        </is>
      </c>
      <c r="C214" s="28" t="inlineStr">
        <is>
          <t>Access, master data &amp; controls</t>
        </is>
      </c>
      <c r="D214" s="28" t="inlineStr">
        <is>
          <t>One login: screens, actions and data scope by permission</t>
        </is>
      </c>
      <c r="E214" s="29" t="inlineStr">
        <is>
          <t>I</t>
        </is>
      </c>
      <c r="F214" s="28" t="inlineStr">
        <is>
          <t>Informed; sees the outcome in All.</t>
        </is>
      </c>
      <c r="G214" s="28" t="inlineStr">
        <is>
          <t>All screens</t>
        </is>
      </c>
      <c r="H214" s="29" t="inlineStr">
        <is>
          <t>New in v4</t>
        </is>
      </c>
    </row>
    <row r="215" ht="30" customHeight="1">
      <c r="A215" s="28" t="inlineStr">
        <is>
          <t>CEO</t>
        </is>
      </c>
      <c r="B215" s="28" t="inlineStr">
        <is>
          <t>MC-01</t>
        </is>
      </c>
      <c r="C215" s="28" t="inlineStr">
        <is>
          <t>Access, master data &amp; controls</t>
        </is>
      </c>
      <c r="D215" s="28" t="inlineStr">
        <is>
          <t>Propose a sensitive change (maker)</t>
        </is>
      </c>
      <c r="E215" s="29" t="inlineStr">
        <is>
          <t>R</t>
        </is>
      </c>
      <c r="F215" s="28" t="inlineStr">
        <is>
          <t>Does it: carries out "Propose a sensitive change (maker)" in /changes.</t>
        </is>
      </c>
      <c r="G215" s="28" t="inlineStr">
        <is>
          <t>/changes</t>
        </is>
      </c>
      <c r="H215" s="29" t="inlineStr">
        <is>
          <t>New in v4</t>
        </is>
      </c>
    </row>
    <row r="216" ht="30" customHeight="1">
      <c r="A216" s="28" t="inlineStr">
        <is>
          <t>CEO</t>
        </is>
      </c>
      <c r="B216" s="28" t="inlineStr">
        <is>
          <t>MC-02</t>
        </is>
      </c>
      <c r="C216" s="28" t="inlineStr">
        <is>
          <t>Access, master data &amp; controls</t>
        </is>
      </c>
      <c r="D216" s="28" t="inlineStr">
        <is>
          <t>Check a change: approve or reject (checker)</t>
        </is>
      </c>
      <c r="E216" s="30" t="inlineStr">
        <is>
          <t>A</t>
        </is>
      </c>
      <c r="F216" s="28" t="inlineStr">
        <is>
          <t>Approves / signs off and owns the outcome; sees results in Changes (To check, History); Audit trail.</t>
        </is>
      </c>
      <c r="G216" s="28" t="inlineStr">
        <is>
          <t>/changes</t>
        </is>
      </c>
      <c r="H216" s="29" t="inlineStr">
        <is>
          <t>New in v4</t>
        </is>
      </c>
    </row>
    <row r="217" ht="30" customHeight="1">
      <c r="A217" s="28" t="inlineStr">
        <is>
          <t>CEO</t>
        </is>
      </c>
      <c r="B217" s="28" t="inlineStr">
        <is>
          <t>MC-03</t>
        </is>
      </c>
      <c r="C217" s="28" t="inlineStr">
        <is>
          <t>Access, master data &amp; controls</t>
        </is>
      </c>
      <c r="D217" s="28" t="inlineStr">
        <is>
          <t>Withdraw a pending change</t>
        </is>
      </c>
      <c r="E217" s="29" t="inlineStr">
        <is>
          <t>R</t>
        </is>
      </c>
      <c r="F217" s="28" t="inlineStr">
        <is>
          <t>Does it: carries out "Withdraw a pending change" in /changes.</t>
        </is>
      </c>
      <c r="G217" s="28" t="inlineStr">
        <is>
          <t>/changes</t>
        </is>
      </c>
      <c r="H217" s="29" t="inlineStr">
        <is>
          <t>New in v4</t>
        </is>
      </c>
    </row>
    <row r="218" ht="30" customHeight="1">
      <c r="A218" s="28" t="inlineStr">
        <is>
          <t>CEO</t>
        </is>
      </c>
      <c r="B218" s="28" t="inlineStr">
        <is>
          <t>MC-04</t>
        </is>
      </c>
      <c r="C218" s="28" t="inlineStr">
        <is>
          <t>Access, master data &amp; controls</t>
        </is>
      </c>
      <c r="D218" s="28" t="inlineStr">
        <is>
          <t>Configure maker-checker</t>
        </is>
      </c>
      <c r="E218" s="30" t="inlineStr">
        <is>
          <t>A</t>
        </is>
      </c>
      <c r="F218" s="28" t="inlineStr">
        <is>
          <t>Approves / signs off and owns the outcome; sees results in Maker-checker sheet; Setup &gt; Maker-checker.</t>
        </is>
      </c>
      <c r="G218" s="28" t="inlineStr">
        <is>
          <t>/setup/maker-checker</t>
        </is>
      </c>
      <c r="H218" s="29" t="inlineStr">
        <is>
          <t>New in v4</t>
        </is>
      </c>
    </row>
    <row r="219" ht="30" customHeight="1">
      <c r="A219" s="28" t="inlineStr">
        <is>
          <t>CEO</t>
        </is>
      </c>
      <c r="B219" s="28" t="inlineStr">
        <is>
          <t>WF-01</t>
        </is>
      </c>
      <c r="C219" s="28" t="inlineStr">
        <is>
          <t>Access, master data &amp; controls</t>
        </is>
      </c>
      <c r="D219" s="28" t="inlineStr">
        <is>
          <t>Configure an approval workflow</t>
        </is>
      </c>
      <c r="E219" s="30" t="inlineStr">
        <is>
          <t>A</t>
        </is>
      </c>
      <c r="F219" s="28" t="inlineStr">
        <is>
          <t>Approves / signs off and owns the outcome; sees results in Approval workflows sheet; Setup &gt; Approval workflows.</t>
        </is>
      </c>
      <c r="G219" s="28" t="inlineStr">
        <is>
          <t>/setup/workflows</t>
        </is>
      </c>
      <c r="H219" s="29" t="inlineStr">
        <is>
          <t>New in v4</t>
        </is>
      </c>
    </row>
    <row r="220" ht="30" customHeight="1">
      <c r="A220" s="28" t="inlineStr">
        <is>
          <t>CEO</t>
        </is>
      </c>
      <c r="B220" s="28" t="inlineStr">
        <is>
          <t>WF-02</t>
        </is>
      </c>
      <c r="C220" s="28" t="inlineStr">
        <is>
          <t>Access, master data &amp; controls</t>
        </is>
      </c>
      <c r="D220" s="28" t="inlineStr">
        <is>
          <t>Test (simulate) a workflow</t>
        </is>
      </c>
      <c r="E220" s="29" t="inlineStr">
        <is>
          <t>I</t>
        </is>
      </c>
      <c r="F220" s="28" t="inlineStr">
        <is>
          <t>Informed; sees the outcome in Setup &gt; Approval workflows.</t>
        </is>
      </c>
      <c r="G220" s="28" t="inlineStr">
        <is>
          <t>/setup/workflows</t>
        </is>
      </c>
      <c r="H220" s="29" t="inlineStr">
        <is>
          <t>New in v4</t>
        </is>
      </c>
    </row>
    <row r="221" ht="30" customHeight="1">
      <c r="A221" s="28" t="inlineStr">
        <is>
          <t>CEO</t>
        </is>
      </c>
      <c r="B221" s="28" t="inlineStr">
        <is>
          <t>WF-03</t>
        </is>
      </c>
      <c r="C221" s="28" t="inlineStr">
        <is>
          <t>Access, master data &amp; controls</t>
        </is>
      </c>
      <c r="D221" s="28" t="inlineStr">
        <is>
          <t>Multi-step routing, SLA and escalation at run time</t>
        </is>
      </c>
      <c r="E221" s="29" t="inlineStr">
        <is>
          <t>R</t>
        </is>
      </c>
      <c r="F221" s="28" t="inlineStr">
        <is>
          <t>Does it: carries out "Multi-step routing, SLA and escalation at run time" in /inbox.</t>
        </is>
      </c>
      <c r="G221" s="28" t="inlineStr">
        <is>
          <t>/inbox</t>
        </is>
      </c>
      <c r="H221" s="29" t="inlineStr">
        <is>
          <t>New in v4</t>
        </is>
      </c>
    </row>
    <row r="222" ht="30" customHeight="1">
      <c r="A222" s="28" t="inlineStr">
        <is>
          <t>CTO</t>
        </is>
      </c>
      <c r="B222" s="28" t="inlineStr">
        <is>
          <t>WS-03</t>
        </is>
      </c>
      <c r="C222" s="28" t="inlineStr">
        <is>
          <t>Workspace &amp; access</t>
        </is>
      </c>
      <c r="D222" s="28" t="inlineStr">
        <is>
          <t>Sign in, lockout and password reset</t>
        </is>
      </c>
      <c r="E222" s="29" t="inlineStr">
        <is>
          <t>R</t>
        </is>
      </c>
      <c r="F222" s="28" t="inlineStr">
        <is>
          <t>Does it: carries out "Sign in, lockout and password reset" in /login, /reset-password.</t>
        </is>
      </c>
      <c r="G222" s="28" t="inlineStr">
        <is>
          <t>/login, /reset-password</t>
        </is>
      </c>
      <c r="H222" s="29" t="inlineStr">
        <is>
          <t>Extended</t>
        </is>
      </c>
    </row>
    <row r="223" ht="30" customHeight="1">
      <c r="A223" s="28" t="inlineStr">
        <is>
          <t>CTO</t>
        </is>
      </c>
      <c r="B223" s="28" t="inlineStr">
        <is>
          <t>WS-05</t>
        </is>
      </c>
      <c r="C223" s="28" t="inlineStr">
        <is>
          <t>Workspace &amp; access</t>
        </is>
      </c>
      <c r="D223" s="28" t="inlineStr">
        <is>
          <t>Roles, reporting lines and access grants</t>
        </is>
      </c>
      <c r="E223" s="29" t="inlineStr">
        <is>
          <t>I</t>
        </is>
      </c>
      <c r="F223" s="28" t="inlineStr">
        <is>
          <t>Informed; sees the outcome in Team, Approvals inbox routing.</t>
        </is>
      </c>
      <c r="G223" s="28" t="inlineStr">
        <is>
          <t>/people</t>
        </is>
      </c>
      <c r="H223" s="29" t="inlineStr">
        <is>
          <t>Extended</t>
        </is>
      </c>
    </row>
    <row r="224" ht="30" customHeight="1">
      <c r="A224" s="28" t="inlineStr">
        <is>
          <t>CTO</t>
        </is>
      </c>
      <c r="B224" s="28" t="inlineStr">
        <is>
          <t>WS-06</t>
        </is>
      </c>
      <c r="C224" s="28" t="inlineStr">
        <is>
          <t>Workspace &amp; access</t>
        </is>
      </c>
      <c r="D224" s="28" t="inlineStr">
        <is>
          <t>Approval delegation (cover during leave)</t>
        </is>
      </c>
      <c r="E224" s="29" t="inlineStr">
        <is>
          <t>R</t>
        </is>
      </c>
      <c r="F224" s="28" t="inlineStr">
        <is>
          <t>Does it: carries out "Approval delegation (cover during leave)" in /settings/delegations.</t>
        </is>
      </c>
      <c r="G224" s="28" t="inlineStr">
        <is>
          <t>/settings/delegations</t>
        </is>
      </c>
      <c r="H224" s="29" t="inlineStr">
        <is>
          <t>Extended</t>
        </is>
      </c>
    </row>
    <row r="225" ht="43" customHeight="1">
      <c r="A225" s="28" t="inlineStr">
        <is>
          <t>CTO</t>
        </is>
      </c>
      <c r="B225" s="28" t="inlineStr">
        <is>
          <t>WS-08</t>
        </is>
      </c>
      <c r="C225" s="28" t="inlineStr">
        <is>
          <t>Workspace &amp; access</t>
        </is>
      </c>
      <c r="D225" s="28" t="inlineStr">
        <is>
          <t>Security, two-step verification and personal settings</t>
        </is>
      </c>
      <c r="E225" s="29" t="inlineStr">
        <is>
          <t>R</t>
        </is>
      </c>
      <c r="F225" s="28" t="inlineStr">
        <is>
          <t>Does it: carries out "Security, two-step verification and personal settings" in /settings/security, /settings/profile, /settings/appearance.</t>
        </is>
      </c>
      <c r="G225" s="28" t="inlineStr">
        <is>
          <t>/settings/security, /settings/profile, /settings/appearance</t>
        </is>
      </c>
      <c r="H225" s="29" t="inlineStr">
        <is>
          <t>Live</t>
        </is>
      </c>
    </row>
    <row r="226" ht="30" customHeight="1">
      <c r="A226" s="28" t="inlineStr">
        <is>
          <t>CTO</t>
        </is>
      </c>
      <c r="B226" s="28" t="inlineStr">
        <is>
          <t>ORG-01</t>
        </is>
      </c>
      <c r="C226" s="28" t="inlineStr">
        <is>
          <t>Organisation &amp; master data</t>
        </is>
      </c>
      <c r="D226" s="28" t="inlineStr">
        <is>
          <t>Company rules and settings</t>
        </is>
      </c>
      <c r="E226" s="29" t="inlineStr">
        <is>
          <t>C</t>
        </is>
      </c>
      <c r="F226" s="28" t="inlineStr">
        <is>
          <t>Consulted: gives input, data or a decision when asked.</t>
        </is>
      </c>
      <c r="G226" s="28" t="inlineStr">
        <is>
          <t>/settings/company</t>
        </is>
      </c>
      <c r="H226" s="29" t="inlineStr">
        <is>
          <t>Extended</t>
        </is>
      </c>
    </row>
    <row r="227" ht="17" customHeight="1">
      <c r="A227" s="28" t="inlineStr">
        <is>
          <t>CTO</t>
        </is>
      </c>
      <c r="B227" s="28" t="inlineStr">
        <is>
          <t>SAL-04</t>
        </is>
      </c>
      <c r="C227" s="28" t="inlineStr">
        <is>
          <t>Sales &amp; CRM</t>
        </is>
      </c>
      <c r="D227" s="28" t="inlineStr">
        <is>
          <t>Close won and create the project</t>
        </is>
      </c>
      <c r="E227" s="29" t="inlineStr">
        <is>
          <t>C</t>
        </is>
      </c>
      <c r="F227" s="28" t="inlineStr">
        <is>
          <t>Consulted: gives input, data or a decision when asked.</t>
        </is>
      </c>
      <c r="G227" s="28" t="inlineStr">
        <is>
          <t>/sales/:id</t>
        </is>
      </c>
      <c r="H227" s="29" t="inlineStr">
        <is>
          <t>Live</t>
        </is>
      </c>
    </row>
    <row r="228" ht="30" customHeight="1">
      <c r="A228" s="28" t="inlineStr">
        <is>
          <t>CTO</t>
        </is>
      </c>
      <c r="B228" s="28" t="inlineStr">
        <is>
          <t>SAL-08</t>
        </is>
      </c>
      <c r="C228" s="28" t="inlineStr">
        <is>
          <t>Sales &amp; CRM</t>
        </is>
      </c>
      <c r="D228" s="28" t="inlineStr">
        <is>
          <t>Quotation and estimate builder</t>
        </is>
      </c>
      <c r="E228" s="29" t="inlineStr">
        <is>
          <t>C</t>
        </is>
      </c>
      <c r="F228" s="28" t="inlineStr">
        <is>
          <t>Planned (not built yet). Consulted: gives input, data or a decision when asked.</t>
        </is>
      </c>
      <c r="G228" s="28" t="inlineStr">
        <is>
          <t>-</t>
        </is>
      </c>
      <c r="H228" s="29" t="inlineStr">
        <is>
          <t>Planned</t>
        </is>
      </c>
    </row>
    <row r="229" ht="30" customHeight="1">
      <c r="A229" s="28" t="inlineStr">
        <is>
          <t>CTO</t>
        </is>
      </c>
      <c r="B229" s="28" t="inlineStr">
        <is>
          <t>CLI-01</t>
        </is>
      </c>
      <c r="C229" s="28" t="inlineStr">
        <is>
          <t>Client &amp; contract management</t>
        </is>
      </c>
      <c r="D229" s="28" t="inlineStr">
        <is>
          <t>Client master</t>
        </is>
      </c>
      <c r="E229" s="29" t="inlineStr">
        <is>
          <t>I</t>
        </is>
      </c>
      <c r="F229" s="28" t="inlineStr">
        <is>
          <t>Informed; sees the outcome in Clients &amp; contracts.</t>
        </is>
      </c>
      <c r="G229" s="28" t="inlineStr">
        <is>
          <t>/clients, /clients/:id</t>
        </is>
      </c>
      <c r="H229" s="29" t="inlineStr">
        <is>
          <t>New in v3</t>
        </is>
      </c>
    </row>
    <row r="230" ht="30" customHeight="1">
      <c r="A230" s="28" t="inlineStr">
        <is>
          <t>CTO</t>
        </is>
      </c>
      <c r="B230" s="28" t="inlineStr">
        <is>
          <t>CLI-02</t>
        </is>
      </c>
      <c r="C230" s="28" t="inlineStr">
        <is>
          <t>Client &amp; contract management</t>
        </is>
      </c>
      <c r="D230" s="28" t="inlineStr">
        <is>
          <t>Contract register</t>
        </is>
      </c>
      <c r="E230" s="29" t="inlineStr">
        <is>
          <t>C</t>
        </is>
      </c>
      <c r="F230" s="28" t="inlineStr">
        <is>
          <t>Consulted: gives input, data or a decision when asked.</t>
        </is>
      </c>
      <c r="G230" s="28" t="inlineStr">
        <is>
          <t>/clients/:id</t>
        </is>
      </c>
      <c r="H230" s="29" t="inlineStr">
        <is>
          <t>New in v3</t>
        </is>
      </c>
    </row>
    <row r="231" ht="30" customHeight="1">
      <c r="A231" s="28" t="inlineStr">
        <is>
          <t>CTO</t>
        </is>
      </c>
      <c r="B231" s="28" t="inlineStr">
        <is>
          <t>CLI-04</t>
        </is>
      </c>
      <c r="C231" s="28" t="inlineStr">
        <is>
          <t>Client &amp; contract management</t>
        </is>
      </c>
      <c r="D231" s="28" t="inlineStr">
        <is>
          <t>Client health and 360 view</t>
        </is>
      </c>
      <c r="E231" s="29" t="inlineStr">
        <is>
          <t>I</t>
        </is>
      </c>
      <c r="F231" s="28" t="inlineStr">
        <is>
          <t>Informed; sees the outcome in Clients &amp; contracts, CEO (via clients).</t>
        </is>
      </c>
      <c r="G231" s="28" t="inlineStr">
        <is>
          <t>/clients/:id</t>
        </is>
      </c>
      <c r="H231" s="29" t="inlineStr">
        <is>
          <t>New in v3</t>
        </is>
      </c>
    </row>
    <row r="232" ht="30" customHeight="1">
      <c r="A232" s="28" t="inlineStr">
        <is>
          <t>CTO</t>
        </is>
      </c>
      <c r="B232" s="28" t="inlineStr">
        <is>
          <t>CLI-05</t>
        </is>
      </c>
      <c r="C232" s="28" t="inlineStr">
        <is>
          <t>Client &amp; contract management</t>
        </is>
      </c>
      <c r="D232" s="28" t="inlineStr">
        <is>
          <t>Client portal and deliverable sign-off</t>
        </is>
      </c>
      <c r="E232" s="29" t="inlineStr">
        <is>
          <t>R</t>
        </is>
      </c>
      <c r="F232" s="28" t="inlineStr">
        <is>
          <t>Planned (not built yet). Does it: carries out "Client portal and deliverable sign-off".</t>
        </is>
      </c>
      <c r="G232" s="28" t="inlineStr">
        <is>
          <t>-</t>
        </is>
      </c>
      <c r="H232" s="29" t="inlineStr">
        <is>
          <t>Planned</t>
        </is>
      </c>
    </row>
    <row r="233" ht="30" customHeight="1">
      <c r="A233" s="28" t="inlineStr">
        <is>
          <t>CTO</t>
        </is>
      </c>
      <c r="B233" s="28" t="inlineStr">
        <is>
          <t>CLI-07</t>
        </is>
      </c>
      <c r="C233" s="28" t="inlineStr">
        <is>
          <t>Client &amp; contract management</t>
        </is>
      </c>
      <c r="D233" s="28" t="inlineStr">
        <is>
          <t>Customer satisfaction (CSAT / NPS)</t>
        </is>
      </c>
      <c r="E233" s="29" t="inlineStr">
        <is>
          <t>C</t>
        </is>
      </c>
      <c r="F233" s="28" t="inlineStr">
        <is>
          <t>Planned (not built yet). Consulted: gives input, data or a decision when asked.</t>
        </is>
      </c>
      <c r="G233" s="28" t="inlineStr">
        <is>
          <t>-</t>
        </is>
      </c>
      <c r="H233" s="29" t="inlineStr">
        <is>
          <t>Planned</t>
        </is>
      </c>
    </row>
    <row r="234" ht="30" customHeight="1">
      <c r="A234" s="28" t="inlineStr">
        <is>
          <t>CTO</t>
        </is>
      </c>
      <c r="B234" s="28" t="inlineStr">
        <is>
          <t>DEL-01</t>
        </is>
      </c>
      <c r="C234" s="28" t="inlineStr">
        <is>
          <t>Project delivery</t>
        </is>
      </c>
      <c r="D234" s="28" t="inlineStr">
        <is>
          <t>Create a project</t>
        </is>
      </c>
      <c r="E234" s="30" t="inlineStr">
        <is>
          <t>A</t>
        </is>
      </c>
      <c r="F234" s="28" t="inlineStr">
        <is>
          <t>Approves / signs off and owns the outcome; sees results in Projects list, CEO Home, PM Home.</t>
        </is>
      </c>
      <c r="G234" s="28" t="inlineStr">
        <is>
          <t>/projects</t>
        </is>
      </c>
      <c r="H234" s="29" t="inlineStr">
        <is>
          <t>Live</t>
        </is>
      </c>
    </row>
    <row r="235" ht="30" customHeight="1">
      <c r="A235" s="28" t="inlineStr">
        <is>
          <t>CTO</t>
        </is>
      </c>
      <c r="B235" s="28" t="inlineStr">
        <is>
          <t>DEL-02</t>
        </is>
      </c>
      <c r="C235" s="28" t="inlineStr">
        <is>
          <t>Project delivery</t>
        </is>
      </c>
      <c r="D235" s="28" t="inlineStr">
        <is>
          <t>Milestones: plan, baseline and slip</t>
        </is>
      </c>
      <c r="E235" s="30" t="inlineStr">
        <is>
          <t>A</t>
        </is>
      </c>
      <c r="F235" s="28" t="inlineStr">
        <is>
          <t>Approves / signs off and owns the outcome; sees results in PM Home (upcoming milestones), CEO Home (milestones due 30 days).</t>
        </is>
      </c>
      <c r="G235" s="28" t="inlineStr">
        <is>
          <t>/projects/:id/wbs</t>
        </is>
      </c>
      <c r="H235" s="29" t="inlineStr">
        <is>
          <t>Live</t>
        </is>
      </c>
    </row>
    <row r="236" ht="30" customHeight="1">
      <c r="A236" s="28" t="inlineStr">
        <is>
          <t>CTO</t>
        </is>
      </c>
      <c r="B236" s="28" t="inlineStr">
        <is>
          <t>DEL-03</t>
        </is>
      </c>
      <c r="C236" s="28" t="inlineStr">
        <is>
          <t>Project delivery</t>
        </is>
      </c>
      <c r="D236" s="28" t="inlineStr">
        <is>
          <t>Build the WBS (tasks, owners, estimates, dependencies)</t>
        </is>
      </c>
      <c r="E236" s="30" t="inlineStr">
        <is>
          <t>A</t>
        </is>
      </c>
      <c r="F236" s="28" t="inlineStr">
        <is>
          <t>Approves / signs off and owns the outcome; sees results in Project WBS, My tasks.</t>
        </is>
      </c>
      <c r="G236" s="28" t="inlineStr">
        <is>
          <t>/projects/:id/wbs</t>
        </is>
      </c>
      <c r="H236" s="29" t="inlineStr">
        <is>
          <t>Extended</t>
        </is>
      </c>
    </row>
    <row r="237" ht="17" customHeight="1">
      <c r="A237" s="28" t="inlineStr">
        <is>
          <t>CTO</t>
        </is>
      </c>
      <c r="B237" s="28" t="inlineStr">
        <is>
          <t>DEL-04</t>
        </is>
      </c>
      <c r="C237" s="28" t="inlineStr">
        <is>
          <t>Project delivery</t>
        </is>
      </c>
      <c r="D237" s="28" t="inlineStr">
        <is>
          <t>Import a WBS from Excel/CSV</t>
        </is>
      </c>
      <c r="E237" s="30" t="inlineStr">
        <is>
          <t>A</t>
        </is>
      </c>
      <c r="F237" s="28" t="inlineStr">
        <is>
          <t>Approves / signs off and owns the outcome; sees results in Project WBS.</t>
        </is>
      </c>
      <c r="G237" s="28" t="inlineStr">
        <is>
          <t>/projects/:id/import</t>
        </is>
      </c>
      <c r="H237" s="29" t="inlineStr">
        <is>
          <t>Live</t>
        </is>
      </c>
    </row>
    <row r="238" ht="30" customHeight="1">
      <c r="A238" s="28" t="inlineStr">
        <is>
          <t>CTO</t>
        </is>
      </c>
      <c r="B238" s="28" t="inlineStr">
        <is>
          <t>DEL-05</t>
        </is>
      </c>
      <c r="C238" s="28" t="inlineStr">
        <is>
          <t>Project delivery</t>
        </is>
      </c>
      <c r="D238" s="28" t="inlineStr">
        <is>
          <t>Allocate people to milestones</t>
        </is>
      </c>
      <c r="E238" s="30" t="inlineStr">
        <is>
          <t>A</t>
        </is>
      </c>
      <c r="F238" s="28" t="inlineStr">
        <is>
          <t>Approves / signs off and owns the outcome; sees results in PM Home (resource load), Insights &gt; Allocation, CEO Home (utilisation).</t>
        </is>
      </c>
      <c r="G238" s="28" t="inlineStr">
        <is>
          <t>/projects/:id/team</t>
        </is>
      </c>
      <c r="H238" s="29" t="inlineStr">
        <is>
          <t>Live</t>
        </is>
      </c>
    </row>
    <row r="239" ht="17" customHeight="1">
      <c r="A239" s="28" t="inlineStr">
        <is>
          <t>CTO</t>
        </is>
      </c>
      <c r="B239" s="28" t="inlineStr">
        <is>
          <t>DEL-06</t>
        </is>
      </c>
      <c r="C239" s="28" t="inlineStr">
        <is>
          <t>Project delivery</t>
        </is>
      </c>
      <c r="D239" s="28" t="inlineStr">
        <is>
          <t>Schedule, Gantt and critical path</t>
        </is>
      </c>
      <c r="E239" s="29" t="inlineStr">
        <is>
          <t>I</t>
        </is>
      </c>
      <c r="F239" s="28" t="inlineStr">
        <is>
          <t>Informed; sees the outcome in Project schedule, Insights &gt; Predictions.</t>
        </is>
      </c>
      <c r="G239" s="28" t="inlineStr">
        <is>
          <t>/projects/:id/schedule</t>
        </is>
      </c>
      <c r="H239" s="29" t="inlineStr">
        <is>
          <t>Live</t>
        </is>
      </c>
    </row>
    <row r="240" ht="30" customHeight="1">
      <c r="A240" s="28" t="inlineStr">
        <is>
          <t>CTO</t>
        </is>
      </c>
      <c r="B240" s="28" t="inlineStr">
        <is>
          <t>DEL-07</t>
        </is>
      </c>
      <c r="C240" s="28" t="inlineStr">
        <is>
          <t>Project delivery</t>
        </is>
      </c>
      <c r="D240" s="28" t="inlineStr">
        <is>
          <t>Project status lifecycle</t>
        </is>
      </c>
      <c r="E240" s="30" t="inlineStr">
        <is>
          <t>A</t>
        </is>
      </c>
      <c r="F240" s="28" t="inlineStr">
        <is>
          <t>Approves / signs off and owns the outcome; sees results in Projects list, CEO project health strip.</t>
        </is>
      </c>
      <c r="G240" s="28" t="inlineStr">
        <is>
          <t>/projects/:id</t>
        </is>
      </c>
      <c r="H240" s="29" t="inlineStr">
        <is>
          <t>Live</t>
        </is>
      </c>
    </row>
    <row r="241" ht="30" customHeight="1">
      <c r="A241" s="28" t="inlineStr">
        <is>
          <t>CTO</t>
        </is>
      </c>
      <c r="B241" s="28" t="inlineStr">
        <is>
          <t>DEL-08</t>
        </is>
      </c>
      <c r="C241" s="28" t="inlineStr">
        <is>
          <t>Project delivery</t>
        </is>
      </c>
      <c r="D241" s="28" t="inlineStr">
        <is>
          <t>Change requests</t>
        </is>
      </c>
      <c r="E241" s="30" t="inlineStr">
        <is>
          <t>A</t>
        </is>
      </c>
      <c r="F241" s="28" t="inlineStr">
        <is>
          <t>Approves / signs off and owns the outcome; sees results in PM Home (change requests), Approvals inbox (change_request), Lost revenue.</t>
        </is>
      </c>
      <c r="G241" s="28" t="inlineStr">
        <is>
          <t>/projects/:id/changes</t>
        </is>
      </c>
      <c r="H241" s="29" t="inlineStr">
        <is>
          <t>Extended</t>
        </is>
      </c>
    </row>
    <row r="242" ht="30" customHeight="1">
      <c r="A242" s="28" t="inlineStr">
        <is>
          <t>CTO</t>
        </is>
      </c>
      <c r="B242" s="28" t="inlineStr">
        <is>
          <t>DEL-09</t>
        </is>
      </c>
      <c r="C242" s="28" t="inlineStr">
        <is>
          <t>Project delivery</t>
        </is>
      </c>
      <c r="D242" s="28" t="inlineStr">
        <is>
          <t>Margin and health monitoring</t>
        </is>
      </c>
      <c r="E242" s="30" t="inlineStr">
        <is>
          <t>A</t>
        </is>
      </c>
      <c r="F242" s="28" t="inlineStr">
        <is>
          <t>Approves / signs off and owns the outcome; sees results in PM Home (delivery control), CEO Home (project health), Insights.</t>
        </is>
      </c>
      <c r="G242" s="28" t="inlineStr">
        <is>
          <t>/projects/:id/money</t>
        </is>
      </c>
      <c r="H242" s="29" t="inlineStr">
        <is>
          <t>Live</t>
        </is>
      </c>
    </row>
    <row r="243" ht="17" customHeight="1">
      <c r="A243" s="28" t="inlineStr">
        <is>
          <t>CTO</t>
        </is>
      </c>
      <c r="B243" s="28" t="inlineStr">
        <is>
          <t>DEL-10</t>
        </is>
      </c>
      <c r="C243" s="28" t="inlineStr">
        <is>
          <t>Project delivery</t>
        </is>
      </c>
      <c r="D243" s="28" t="inlineStr">
        <is>
          <t>Client status report (money-free view)</t>
        </is>
      </c>
      <c r="E243" s="29" t="inlineStr">
        <is>
          <t>I</t>
        </is>
      </c>
      <c r="F243" s="28" t="inlineStr">
        <is>
          <t>Informed; sees the outcome in Client view page.</t>
        </is>
      </c>
      <c r="G243" s="28" t="inlineStr">
        <is>
          <t>/projects/:id/client-view</t>
        </is>
      </c>
      <c r="H243" s="29" t="inlineStr">
        <is>
          <t>Live</t>
        </is>
      </c>
    </row>
    <row r="244" ht="17" customHeight="1">
      <c r="A244" s="28" t="inlineStr">
        <is>
          <t>CTO</t>
        </is>
      </c>
      <c r="B244" s="28" t="inlineStr">
        <is>
          <t>DEL-11</t>
        </is>
      </c>
      <c r="C244" s="28" t="inlineStr">
        <is>
          <t>Project delivery</t>
        </is>
      </c>
      <c r="D244" s="28" t="inlineStr">
        <is>
          <t>Project closure</t>
        </is>
      </c>
      <c r="E244" s="30" t="inlineStr">
        <is>
          <t>A</t>
        </is>
      </c>
      <c r="F244" s="28" t="inlineStr">
        <is>
          <t>Approves / signs off and owns the outcome; sees results in Projects, P&amp;L.</t>
        </is>
      </c>
      <c r="G244" s="28" t="inlineStr">
        <is>
          <t>/projects/:id</t>
        </is>
      </c>
      <c r="H244" s="29" t="inlineStr">
        <is>
          <t>Live</t>
        </is>
      </c>
    </row>
    <row r="245" ht="17" customHeight="1">
      <c r="A245" s="28" t="inlineStr">
        <is>
          <t>CTO</t>
        </is>
      </c>
      <c r="B245" s="28" t="inlineStr">
        <is>
          <t>DEL-12</t>
        </is>
      </c>
      <c r="C245" s="28" t="inlineStr">
        <is>
          <t>Project delivery</t>
        </is>
      </c>
      <c r="D245" s="28" t="inlineStr">
        <is>
          <t>Resource requisition</t>
        </is>
      </c>
      <c r="E245" s="30" t="inlineStr">
        <is>
          <t>A</t>
        </is>
      </c>
      <c r="F245" s="28" t="inlineStr">
        <is>
          <t>Planned (not built yet). Approves / signs off and owns the outcome.</t>
        </is>
      </c>
      <c r="G245" s="28" t="inlineStr">
        <is>
          <t>-</t>
        </is>
      </c>
      <c r="H245" s="29" t="inlineStr">
        <is>
          <t>Planned</t>
        </is>
      </c>
    </row>
    <row r="246" ht="17" customHeight="1">
      <c r="A246" s="28" t="inlineStr">
        <is>
          <t>CTO</t>
        </is>
      </c>
      <c r="B246" s="28" t="inlineStr">
        <is>
          <t>DEL-13</t>
        </is>
      </c>
      <c r="C246" s="28" t="inlineStr">
        <is>
          <t>Project delivery</t>
        </is>
      </c>
      <c r="D246" s="28" t="inlineStr">
        <is>
          <t>Capacity planning and forecasting</t>
        </is>
      </c>
      <c r="E246" s="30" t="inlineStr">
        <is>
          <t>A</t>
        </is>
      </c>
      <c r="F246" s="28" t="inlineStr">
        <is>
          <t>Planned (not built yet). Approves / signs off and owns the outcome.</t>
        </is>
      </c>
      <c r="G246" s="28" t="inlineStr">
        <is>
          <t>-</t>
        </is>
      </c>
      <c r="H246" s="29" t="inlineStr">
        <is>
          <t>Planned</t>
        </is>
      </c>
    </row>
    <row r="247" ht="17" customHeight="1">
      <c r="A247" s="28" t="inlineStr">
        <is>
          <t>CTO</t>
        </is>
      </c>
      <c r="B247" s="28" t="inlineStr">
        <is>
          <t>DEL-14</t>
        </is>
      </c>
      <c r="C247" s="28" t="inlineStr">
        <is>
          <t>Project delivery</t>
        </is>
      </c>
      <c r="D247" s="28" t="inlineStr">
        <is>
          <t>Support / AMS ticketing with SLA</t>
        </is>
      </c>
      <c r="E247" s="30" t="inlineStr">
        <is>
          <t>A</t>
        </is>
      </c>
      <c r="F247" s="28" t="inlineStr">
        <is>
          <t>Planned (not built yet). Approves / signs off and owns the outcome.</t>
        </is>
      </c>
      <c r="G247" s="28" t="inlineStr">
        <is>
          <t>-</t>
        </is>
      </c>
      <c r="H247" s="29" t="inlineStr">
        <is>
          <t>Planned</t>
        </is>
      </c>
    </row>
    <row r="248" ht="30" customHeight="1">
      <c r="A248" s="28" t="inlineStr">
        <is>
          <t>CTO</t>
        </is>
      </c>
      <c r="B248" s="28" t="inlineStr">
        <is>
          <t>TSK-01</t>
        </is>
      </c>
      <c r="C248" s="28" t="inlineStr">
        <is>
          <t>Task governance</t>
        </is>
      </c>
      <c r="D248" s="28" t="inlineStr">
        <is>
          <t>Manager assigns a task</t>
        </is>
      </c>
      <c r="E248" s="30" t="inlineStr">
        <is>
          <t>A</t>
        </is>
      </c>
      <c r="F248" s="28" t="inlineStr">
        <is>
          <t>Approves / signs off and owns the outcome; sees results in Team tasks, My tasks, Employee Home (Today / This week).</t>
        </is>
      </c>
      <c r="G248" s="28" t="inlineStr">
        <is>
          <t>/team-tasks?tab=assign</t>
        </is>
      </c>
      <c r="H248" s="29" t="inlineStr">
        <is>
          <t>New in v3</t>
        </is>
      </c>
    </row>
    <row r="249" ht="30" customHeight="1">
      <c r="A249" s="28" t="inlineStr">
        <is>
          <t>CTO</t>
        </is>
      </c>
      <c r="B249" s="28" t="inlineStr">
        <is>
          <t>TSK-02</t>
        </is>
      </c>
      <c r="C249" s="28" t="inlineStr">
        <is>
          <t>Task governance</t>
        </is>
      </c>
      <c r="D249" s="28" t="inlineStr">
        <is>
          <t>Work my tasks (start, progress, covering)</t>
        </is>
      </c>
      <c r="E249" s="29" t="inlineStr">
        <is>
          <t>I</t>
        </is>
      </c>
      <c r="F249" s="28" t="inlineStr">
        <is>
          <t>Informed; sees the outcome in Employee Home (Today, Blockers, Others waiting on you).</t>
        </is>
      </c>
      <c r="G249" s="28" t="inlineStr">
        <is>
          <t>/my-tasks, task drawer</t>
        </is>
      </c>
      <c r="H249" s="29" t="inlineStr">
        <is>
          <t>Live</t>
        </is>
      </c>
    </row>
    <row r="250" ht="43" customHeight="1">
      <c r="A250" s="28" t="inlineStr">
        <is>
          <t>CTO</t>
        </is>
      </c>
      <c r="B250" s="28" t="inlineStr">
        <is>
          <t>TSK-03</t>
        </is>
      </c>
      <c r="C250" s="28" t="inlineStr">
        <is>
          <t>Task governance</t>
        </is>
      </c>
      <c r="D250" s="28" t="inlineStr">
        <is>
          <t>Report a blocker; comments and @mentions</t>
        </is>
      </c>
      <c r="E250" s="29" t="inlineStr">
        <is>
          <t>I</t>
        </is>
      </c>
      <c r="F250" s="28" t="inlineStr">
        <is>
          <t>Informed (NTF-14 task blocked (to PM); NTF-03 mention; NTF-14 "You can start a task"); sees the outcome in Insights &gt; Blocked, PM Home (Blocked), Employee Home (Blockers).</t>
        </is>
      </c>
      <c r="G250" s="28" t="inlineStr">
        <is>
          <t>Task drawer</t>
        </is>
      </c>
      <c r="H250" s="29" t="inlineStr">
        <is>
          <t>Live</t>
        </is>
      </c>
    </row>
    <row r="251" ht="43" customHeight="1">
      <c r="A251" s="28" t="inlineStr">
        <is>
          <t>CTO</t>
        </is>
      </c>
      <c r="B251" s="28" t="inlineStr">
        <is>
          <t>TSK-04</t>
        </is>
      </c>
      <c r="C251" s="28" t="inlineStr">
        <is>
          <t>Task governance</t>
        </is>
      </c>
      <c r="D251" s="28" t="inlineStr">
        <is>
          <t>Submit task for review</t>
        </is>
      </c>
      <c r="E251" s="29" t="inlineStr">
        <is>
          <t>I</t>
        </is>
      </c>
      <c r="F251" s="28" t="inlineStr">
        <is>
          <t>Informed (NTF-04 task waiting for your review / resubmitted); sees the outcome in Approvals inbox (task_review), Team tasks &gt; Review queue; Reports / Ask AI (task_reviews).</t>
        </is>
      </c>
      <c r="G251" s="28" t="inlineStr">
        <is>
          <t>Task drawer &gt; Submit for review</t>
        </is>
      </c>
      <c r="H251" s="29" t="inlineStr">
        <is>
          <t>New in v3</t>
        </is>
      </c>
    </row>
    <row r="252" ht="30" customHeight="1">
      <c r="A252" s="28" t="inlineStr">
        <is>
          <t>CTO</t>
        </is>
      </c>
      <c r="B252" s="28" t="inlineStr">
        <is>
          <t>TSK-05</t>
        </is>
      </c>
      <c r="C252" s="28" t="inlineStr">
        <is>
          <t>Task governance</t>
        </is>
      </c>
      <c r="D252" s="28" t="inlineStr">
        <is>
          <t>Delay reason capture</t>
        </is>
      </c>
      <c r="E252" s="29" t="inlineStr">
        <is>
          <t>I</t>
        </is>
      </c>
      <c r="F252" s="28" t="inlineStr">
        <is>
          <t>Informed; sees the outcome in Team tasks &gt; Performance (top reasons), Approvals inbox, My performance; Reports / Ask AI (tasks, task_reviews).</t>
        </is>
      </c>
      <c r="G252" s="28" t="inlineStr">
        <is>
          <t>Task drawer &gt; Submit for review</t>
        </is>
      </c>
      <c r="H252" s="29" t="inlineStr">
        <is>
          <t>New in v3</t>
        </is>
      </c>
    </row>
    <row r="253" ht="43" customHeight="1">
      <c r="A253" s="28" t="inlineStr">
        <is>
          <t>CTO</t>
        </is>
      </c>
      <c r="B253" s="28" t="inlineStr">
        <is>
          <t>TSK-06</t>
        </is>
      </c>
      <c r="C253" s="28" t="inlineStr">
        <is>
          <t>Task governance</t>
        </is>
      </c>
      <c r="D253" s="28" t="inlineStr">
        <is>
          <t>Approve task with quality rating</t>
        </is>
      </c>
      <c r="E253" s="30" t="inlineStr">
        <is>
          <t>A</t>
        </is>
      </c>
      <c r="F253" s="28" t="inlineStr">
        <is>
          <t>Approves / signs off and owns the outcome; sees results in CEO/PM/Employee Home (task delivery), Team tasks &gt; Performance, My performance, Appraisal metrics, Scorecard; Reports / Ask AI (tasks, task_reviews).</t>
        </is>
      </c>
      <c r="G253" s="28" t="inlineStr">
        <is>
          <t>/inbox, /team-tasks?tab=review, task drawer</t>
        </is>
      </c>
      <c r="H253" s="29" t="inlineStr">
        <is>
          <t>Extended</t>
        </is>
      </c>
    </row>
    <row r="254" ht="43" customHeight="1">
      <c r="A254" s="28" t="inlineStr">
        <is>
          <t>CTO</t>
        </is>
      </c>
      <c r="B254" s="28" t="inlineStr">
        <is>
          <t>TSK-07</t>
        </is>
      </c>
      <c r="C254" s="28" t="inlineStr">
        <is>
          <t>Task governance</t>
        </is>
      </c>
      <c r="D254" s="28" t="inlineStr">
        <is>
          <t>Send back with reason</t>
        </is>
      </c>
      <c r="E254" s="30" t="inlineStr">
        <is>
          <t>A</t>
        </is>
      </c>
      <c r="F254" s="28" t="inlineStr">
        <is>
          <t>Approves / signs off and owns the outcome; sees results in Team tasks (sent-back count, last reason), My performance; Reports / Ask AI (task_reviews).</t>
        </is>
      </c>
      <c r="G254" s="28" t="inlineStr">
        <is>
          <t>/inbox, task drawer</t>
        </is>
      </c>
      <c r="H254" s="29" t="inlineStr">
        <is>
          <t>Extended</t>
        </is>
      </c>
    </row>
    <row r="255" ht="30" customHeight="1">
      <c r="A255" s="28" t="inlineStr">
        <is>
          <t>CTO</t>
        </is>
      </c>
      <c r="B255" s="28" t="inlineStr">
        <is>
          <t>TSK-08</t>
        </is>
      </c>
      <c r="C255" s="28" t="inlineStr">
        <is>
          <t>Task governance</t>
        </is>
      </c>
      <c r="D255" s="28" t="inlineStr">
        <is>
          <t>Reschedule a task with reason</t>
        </is>
      </c>
      <c r="E255" s="30" t="inlineStr">
        <is>
          <t>A</t>
        </is>
      </c>
      <c r="F255" s="28" t="inlineStr">
        <is>
          <t>Approves / signs off and owns the outcome; sees results in Team tasks &gt; Team.</t>
        </is>
      </c>
      <c r="G255" s="28" t="inlineStr">
        <is>
          <t>Task drawer</t>
        </is>
      </c>
      <c r="H255" s="29" t="inlineStr">
        <is>
          <t>New in v3</t>
        </is>
      </c>
    </row>
    <row r="256" ht="43" customHeight="1">
      <c r="A256" s="28" t="inlineStr">
        <is>
          <t>CTO</t>
        </is>
      </c>
      <c r="B256" s="28" t="inlineStr">
        <is>
          <t>TSK-09</t>
        </is>
      </c>
      <c r="C256" s="28" t="inlineStr">
        <is>
          <t>Task governance</t>
        </is>
      </c>
      <c r="D256" s="28" t="inlineStr">
        <is>
          <t>Timeliness: early, on time or late</t>
        </is>
      </c>
      <c r="E256" s="29" t="inlineStr">
        <is>
          <t>I</t>
        </is>
      </c>
      <c r="F256" s="28" t="inlineStr">
        <is>
          <t>Informed; sees the outcome in CEO Home, HR &amp; operations Home, PM Home, Employee Home (task delivery panels), Team tasks &gt; Performance, Scorecard, Appraisals, Reports / Ask AI (tasks.timeliness).</t>
        </is>
      </c>
      <c r="G256" s="28" t="inlineStr">
        <is>
          <t>Computed (performance.ts)</t>
        </is>
      </c>
      <c r="H256" s="29" t="inlineStr">
        <is>
          <t>New in v3</t>
        </is>
      </c>
    </row>
    <row r="257" ht="30" customHeight="1">
      <c r="A257" s="28" t="inlineStr">
        <is>
          <t>CTO</t>
        </is>
      </c>
      <c r="B257" s="28" t="inlineStr">
        <is>
          <t>TSK-10</t>
        </is>
      </c>
      <c r="C257" s="28" t="inlineStr">
        <is>
          <t>Task governance</t>
        </is>
      </c>
      <c r="D257" s="28" t="inlineStr">
        <is>
          <t>Team task monitoring</t>
        </is>
      </c>
      <c r="E257" s="30" t="inlineStr">
        <is>
          <t>A</t>
        </is>
      </c>
      <c r="F257" s="28" t="inlineStr">
        <is>
          <t>Approves / signs off and owns the outcome; sees results in Team tasks; Reports / Ask AI (tasks).</t>
        </is>
      </c>
      <c r="G257" s="28" t="inlineStr">
        <is>
          <t>/team-tasks?tab=team</t>
        </is>
      </c>
      <c r="H257" s="29" t="inlineStr">
        <is>
          <t>New in v3</t>
        </is>
      </c>
    </row>
    <row r="258" ht="56" customHeight="1">
      <c r="A258" s="28" t="inlineStr">
        <is>
          <t>CTO</t>
        </is>
      </c>
      <c r="B258" s="28" t="inlineStr">
        <is>
          <t>TSK-11</t>
        </is>
      </c>
      <c r="C258" s="28" t="inlineStr">
        <is>
          <t>Task governance</t>
        </is>
      </c>
      <c r="D258" s="28" t="inlineStr">
        <is>
          <t>Team and company delivery performance</t>
        </is>
      </c>
      <c r="E258" s="30" t="inlineStr">
        <is>
          <t>A</t>
        </is>
      </c>
      <c r="F258" s="28" t="inlineStr">
        <is>
          <t>Approves / signs off and owns the outcome; sees results in CEO Home and HR &amp; operations Home (company, 90 days), PM Home (team), Employee Home (my delivery), CEO People panel (on-time %), Team tasks &gt; Performance, Reports / Ask AI (tasks, task_reviews).</t>
        </is>
      </c>
      <c r="G258" s="28" t="inlineStr">
        <is>
          <t>/team-tasks?tab=performance, /home</t>
        </is>
      </c>
      <c r="H258" s="29" t="inlineStr">
        <is>
          <t>New in v3</t>
        </is>
      </c>
    </row>
    <row r="259" ht="17" customHeight="1">
      <c r="A259" s="28" t="inlineStr">
        <is>
          <t>CTO</t>
        </is>
      </c>
      <c r="B259" s="28" t="inlineStr">
        <is>
          <t>TIM-05</t>
        </is>
      </c>
      <c r="C259" s="28" t="inlineStr">
        <is>
          <t>Time &amp; attendance</t>
        </is>
      </c>
      <c r="D259" s="28" t="inlineStr">
        <is>
          <t>Daily update with proof</t>
        </is>
      </c>
      <c r="E259" s="29" t="inlineStr">
        <is>
          <t>C</t>
        </is>
      </c>
      <c r="F259" s="28" t="inlineStr">
        <is>
          <t>Consulted: gives input, data or a decision when asked.</t>
        </is>
      </c>
      <c r="G259" s="28" t="inlineStr">
        <is>
          <t>/daily</t>
        </is>
      </c>
      <c r="H259" s="29" t="inlineStr">
        <is>
          <t>Live</t>
        </is>
      </c>
    </row>
    <row r="260" ht="30" customHeight="1">
      <c r="A260" s="28" t="inlineStr">
        <is>
          <t>CTO</t>
        </is>
      </c>
      <c r="B260" s="28" t="inlineStr">
        <is>
          <t>DOC-01</t>
        </is>
      </c>
      <c r="C260" s="28" t="inlineStr">
        <is>
          <t>Documents &amp; knowledge</t>
        </is>
      </c>
      <c r="D260" s="28" t="inlineStr">
        <is>
          <t>PM uploads a project document</t>
        </is>
      </c>
      <c r="E260" s="30" t="inlineStr">
        <is>
          <t>A</t>
        </is>
      </c>
      <c r="F260" s="28" t="inlineStr">
        <is>
          <t>Approves / signs off and owns the outcome; sees results in Project &gt; Documents, Documents library; Reports / Ask AI (documents).</t>
        </is>
      </c>
      <c r="G260" s="28" t="inlineStr">
        <is>
          <t>/projects/:id/documents</t>
        </is>
      </c>
      <c r="H260" s="29" t="inlineStr">
        <is>
          <t>New in v3</t>
        </is>
      </c>
    </row>
    <row r="261" ht="30" customHeight="1">
      <c r="A261" s="28" t="inlineStr">
        <is>
          <t>CTO</t>
        </is>
      </c>
      <c r="B261" s="28" t="inlineStr">
        <is>
          <t>DOC-02</t>
        </is>
      </c>
      <c r="C261" s="28" t="inlineStr">
        <is>
          <t>Documents &amp; knowledge</t>
        </is>
      </c>
      <c r="D261" s="28" t="inlineStr">
        <is>
          <t>Employees access project documents</t>
        </is>
      </c>
      <c r="E261" s="29" t="inlineStr">
        <is>
          <t>I</t>
        </is>
      </c>
      <c r="F261" s="28" t="inlineStr">
        <is>
          <t>Informed; sees the outcome in Documents; Reports / Ask AI (documents).</t>
        </is>
      </c>
      <c r="G261" s="28" t="inlineStr">
        <is>
          <t>/documents, /projects/:id/documents</t>
        </is>
      </c>
      <c r="H261" s="29" t="inlineStr">
        <is>
          <t>New in v3</t>
        </is>
      </c>
    </row>
    <row r="262" ht="17" customHeight="1">
      <c r="A262" s="28" t="inlineStr">
        <is>
          <t>CTO</t>
        </is>
      </c>
      <c r="B262" s="28" t="inlineStr">
        <is>
          <t>DOC-03</t>
        </is>
      </c>
      <c r="C262" s="28" t="inlineStr">
        <is>
          <t>Documents &amp; knowledge</t>
        </is>
      </c>
      <c r="D262" s="28" t="inlineStr">
        <is>
          <t>New version, archive and restore</t>
        </is>
      </c>
      <c r="E262" s="30" t="inlineStr">
        <is>
          <t>A</t>
        </is>
      </c>
      <c r="F262" s="28" t="inlineStr">
        <is>
          <t>Approves / signs off and owns the outcome; sees results in Documents.</t>
        </is>
      </c>
      <c r="G262" s="28" t="inlineStr">
        <is>
          <t>/documents</t>
        </is>
      </c>
      <c r="H262" s="29" t="inlineStr">
        <is>
          <t>New in v3</t>
        </is>
      </c>
    </row>
    <row r="263" ht="30" customHeight="1">
      <c r="A263" s="28" t="inlineStr">
        <is>
          <t>CTO</t>
        </is>
      </c>
      <c r="B263" s="28" t="inlineStr">
        <is>
          <t>DOC-04</t>
        </is>
      </c>
      <c r="C263" s="28" t="inlineStr">
        <is>
          <t>Documents &amp; knowledge</t>
        </is>
      </c>
      <c r="D263" s="28" t="inlineStr">
        <is>
          <t>Must-read acknowledgement</t>
        </is>
      </c>
      <c r="E263" s="30" t="inlineStr">
        <is>
          <t>A</t>
        </is>
      </c>
      <c r="F263" s="28" t="inlineStr">
        <is>
          <t>Approves / signs off and owns the outcome; sees results in Approvals inbox (document), Documents; Reports / Ask AI (documents).</t>
        </is>
      </c>
      <c r="G263" s="28" t="inlineStr">
        <is>
          <t>/inbox, /documents</t>
        </is>
      </c>
      <c r="H263" s="29" t="inlineStr">
        <is>
          <t>New in v3</t>
        </is>
      </c>
    </row>
    <row r="264" ht="30" customHeight="1">
      <c r="A264" s="28" t="inlineStr">
        <is>
          <t>CTO</t>
        </is>
      </c>
      <c r="B264" s="28" t="inlineStr">
        <is>
          <t>DOC-06</t>
        </is>
      </c>
      <c r="C264" s="28" t="inlineStr">
        <is>
          <t>Documents &amp; knowledge</t>
        </is>
      </c>
      <c r="D264" s="28" t="inlineStr">
        <is>
          <t>Knowledge base</t>
        </is>
      </c>
      <c r="E264" s="29" t="inlineStr">
        <is>
          <t>C</t>
        </is>
      </c>
      <c r="F264" s="28" t="inlineStr">
        <is>
          <t>Planned (not built yet). Consulted: gives input, data or a decision when asked.</t>
        </is>
      </c>
      <c r="G264" s="28" t="inlineStr">
        <is>
          <t>-</t>
        </is>
      </c>
      <c r="H264" s="29" t="inlineStr">
        <is>
          <t>Planned</t>
        </is>
      </c>
    </row>
    <row r="265" ht="17" customHeight="1">
      <c r="A265" s="28" t="inlineStr">
        <is>
          <t>CTO</t>
        </is>
      </c>
      <c r="B265" s="28" t="inlineStr">
        <is>
          <t>HR-01</t>
        </is>
      </c>
      <c r="C265" s="28" t="inlineStr">
        <is>
          <t>People &amp; HR</t>
        </is>
      </c>
      <c r="D265" s="28" t="inlineStr">
        <is>
          <t>Hiring openings</t>
        </is>
      </c>
      <c r="E265" s="29" t="inlineStr">
        <is>
          <t>R</t>
        </is>
      </c>
      <c r="F265" s="28" t="inlineStr">
        <is>
          <t>Does it: carries out "Hiring openings" in /openings.</t>
        </is>
      </c>
      <c r="G265" s="28" t="inlineStr">
        <is>
          <t>/openings</t>
        </is>
      </c>
      <c r="H265" s="29" t="inlineStr">
        <is>
          <t>Extended</t>
        </is>
      </c>
    </row>
    <row r="266" ht="17" customHeight="1">
      <c r="A266" s="28" t="inlineStr">
        <is>
          <t>CTO</t>
        </is>
      </c>
      <c r="B266" s="28" t="inlineStr">
        <is>
          <t>HR-02</t>
        </is>
      </c>
      <c r="C266" s="28" t="inlineStr">
        <is>
          <t>People &amp; HR</t>
        </is>
      </c>
      <c r="D266" s="28" t="inlineStr">
        <is>
          <t>Candidate pipeline</t>
        </is>
      </c>
      <c r="E266" s="29" t="inlineStr">
        <is>
          <t>C</t>
        </is>
      </c>
      <c r="F266" s="28" t="inlineStr">
        <is>
          <t>Consulted: gives input, data or a decision when asked.</t>
        </is>
      </c>
      <c r="G266" s="28" t="inlineStr">
        <is>
          <t>/recruitment</t>
        </is>
      </c>
      <c r="H266" s="29" t="inlineStr">
        <is>
          <t>New in v3</t>
        </is>
      </c>
    </row>
    <row r="267" ht="17" customHeight="1">
      <c r="A267" s="28" t="inlineStr">
        <is>
          <t>CTO</t>
        </is>
      </c>
      <c r="B267" s="28" t="inlineStr">
        <is>
          <t>HR-03</t>
        </is>
      </c>
      <c r="C267" s="28" t="inlineStr">
        <is>
          <t>People &amp; HR</t>
        </is>
      </c>
      <c r="D267" s="28" t="inlineStr">
        <is>
          <t>Interviews and feedback</t>
        </is>
      </c>
      <c r="E267" s="29" t="inlineStr">
        <is>
          <t>R</t>
        </is>
      </c>
      <c r="F267" s="28" t="inlineStr">
        <is>
          <t>Does it: carries out "Interviews and feedback" in /recruitment.</t>
        </is>
      </c>
      <c r="G267" s="28" t="inlineStr">
        <is>
          <t>/recruitment</t>
        </is>
      </c>
      <c r="H267" s="29" t="inlineStr">
        <is>
          <t>New in v3</t>
        </is>
      </c>
    </row>
    <row r="268" ht="17" customHeight="1">
      <c r="A268" s="28" t="inlineStr">
        <is>
          <t>CTO</t>
        </is>
      </c>
      <c r="B268" s="28" t="inlineStr">
        <is>
          <t>HR-04</t>
        </is>
      </c>
      <c r="C268" s="28" t="inlineStr">
        <is>
          <t>People &amp; HR</t>
        </is>
      </c>
      <c r="D268" s="28" t="inlineStr">
        <is>
          <t>Make an offer, or reject a candidate</t>
        </is>
      </c>
      <c r="E268" s="29" t="inlineStr">
        <is>
          <t>C</t>
        </is>
      </c>
      <c r="F268" s="28" t="inlineStr">
        <is>
          <t>Consulted: gives input, data or a decision when asked.</t>
        </is>
      </c>
      <c r="G268" s="28" t="inlineStr">
        <is>
          <t>/recruitment</t>
        </is>
      </c>
      <c r="H268" s="29" t="inlineStr">
        <is>
          <t>New in v3</t>
        </is>
      </c>
    </row>
    <row r="269" ht="30" customHeight="1">
      <c r="A269" s="28" t="inlineStr">
        <is>
          <t>CTO</t>
        </is>
      </c>
      <c r="B269" s="28" t="inlineStr">
        <is>
          <t>HR-05</t>
        </is>
      </c>
      <c r="C269" s="28" t="inlineStr">
        <is>
          <t>People &amp; HR</t>
        </is>
      </c>
      <c r="D269" s="28" t="inlineStr">
        <is>
          <t>Hire: invite and start onboarding</t>
        </is>
      </c>
      <c r="E269" s="29" t="inlineStr">
        <is>
          <t>I</t>
        </is>
      </c>
      <c r="F269" s="28" t="inlineStr">
        <is>
          <t>Informed (NTF-14 new joiner (HR); NTF-14 new team member (manager)); sees the outcome in HR Home, People; Reports / Ask AI (candidates).</t>
        </is>
      </c>
      <c r="G269" s="28" t="inlineStr">
        <is>
          <t>/recruitment</t>
        </is>
      </c>
      <c r="H269" s="29" t="inlineStr">
        <is>
          <t>New in v3</t>
        </is>
      </c>
    </row>
    <row r="270" ht="30" customHeight="1">
      <c r="A270" s="28" t="inlineStr">
        <is>
          <t>CTO</t>
        </is>
      </c>
      <c r="B270" s="28" t="inlineStr">
        <is>
          <t>HR-08</t>
        </is>
      </c>
      <c r="C270" s="28" t="inlineStr">
        <is>
          <t>People &amp; HR</t>
        </is>
      </c>
      <c r="D270" s="28" t="inlineStr">
        <is>
          <t>Goals and KRAs</t>
        </is>
      </c>
      <c r="E270" s="29" t="inlineStr">
        <is>
          <t>I</t>
        </is>
      </c>
      <c r="F270" s="28" t="inlineStr">
        <is>
          <t>Informed (NTF-05 goal approved); sees the outcome in My performance, Appraisal.</t>
        </is>
      </c>
      <c r="G270" s="28" t="inlineStr">
        <is>
          <t>/performance</t>
        </is>
      </c>
      <c r="H270" s="29" t="inlineStr">
        <is>
          <t>New in v3</t>
        </is>
      </c>
    </row>
    <row r="271" ht="17" customHeight="1">
      <c r="A271" s="28" t="inlineStr">
        <is>
          <t>CTO</t>
        </is>
      </c>
      <c r="B271" s="28" t="inlineStr">
        <is>
          <t>HR-09</t>
        </is>
      </c>
      <c r="C271" s="28" t="inlineStr">
        <is>
          <t>People &amp; HR</t>
        </is>
      </c>
      <c r="D271" s="28" t="inlineStr">
        <is>
          <t>Continuous feedback and praise</t>
        </is>
      </c>
      <c r="E271" s="29" t="inlineStr">
        <is>
          <t>C</t>
        </is>
      </c>
      <c r="F271" s="28" t="inlineStr">
        <is>
          <t>Consulted: gives input, data or a decision when asked.</t>
        </is>
      </c>
      <c r="G271" s="28" t="inlineStr">
        <is>
          <t>/performance</t>
        </is>
      </c>
      <c r="H271" s="29" t="inlineStr">
        <is>
          <t>New in v3</t>
        </is>
      </c>
    </row>
    <row r="272" ht="30" customHeight="1">
      <c r="A272" s="28" t="inlineStr">
        <is>
          <t>CTO</t>
        </is>
      </c>
      <c r="B272" s="28" t="inlineStr">
        <is>
          <t>HR-12</t>
        </is>
      </c>
      <c r="C272" s="28" t="inlineStr">
        <is>
          <t>People &amp; HR</t>
        </is>
      </c>
      <c r="D272" s="28" t="inlineStr">
        <is>
          <t>Manager review</t>
        </is>
      </c>
      <c r="E272" s="29" t="inlineStr">
        <is>
          <t>I</t>
        </is>
      </c>
      <c r="F272" s="28" t="inlineStr">
        <is>
          <t>Informed; sees the outcome in Approvals inbox (appraisal), Appraisals; Reports / Ask AI (appraisals).</t>
        </is>
      </c>
      <c r="G272" s="28" t="inlineStr">
        <is>
          <t>/appraisals/:id</t>
        </is>
      </c>
      <c r="H272" s="29" t="inlineStr">
        <is>
          <t>New in v3</t>
        </is>
      </c>
    </row>
    <row r="273" ht="30" customHeight="1">
      <c r="A273" s="28" t="inlineStr">
        <is>
          <t>CTO</t>
        </is>
      </c>
      <c r="B273" s="28" t="inlineStr">
        <is>
          <t>HR-14</t>
        </is>
      </c>
      <c r="C273" s="28" t="inlineStr">
        <is>
          <t>People &amp; HR</t>
        </is>
      </c>
      <c r="D273" s="28" t="inlineStr">
        <is>
          <t>Performance profile</t>
        </is>
      </c>
      <c r="E273" s="29" t="inlineStr">
        <is>
          <t>C</t>
        </is>
      </c>
      <c r="F273" s="28" t="inlineStr">
        <is>
          <t>Consulted: gives input, data or a decision when asked.</t>
        </is>
      </c>
      <c r="G273" s="28" t="inlineStr">
        <is>
          <t>/performance, /performance/:userId</t>
        </is>
      </c>
      <c r="H273" s="29" t="inlineStr">
        <is>
          <t>New in v3</t>
        </is>
      </c>
    </row>
    <row r="274" ht="30" customHeight="1">
      <c r="A274" s="28" t="inlineStr">
        <is>
          <t>CTO</t>
        </is>
      </c>
      <c r="B274" s="28" t="inlineStr">
        <is>
          <t>HR-16</t>
        </is>
      </c>
      <c r="C274" s="28" t="inlineStr">
        <is>
          <t>People &amp; HR</t>
        </is>
      </c>
      <c r="D274" s="28" t="inlineStr">
        <is>
          <t>Skills matrix and bench management</t>
        </is>
      </c>
      <c r="E274" s="29" t="inlineStr">
        <is>
          <t>R</t>
        </is>
      </c>
      <c r="F274" s="28" t="inlineStr">
        <is>
          <t>Planned (not built yet). Does it: carries out "Skills matrix and bench management".</t>
        </is>
      </c>
      <c r="G274" s="28" t="inlineStr">
        <is>
          <t>-</t>
        </is>
      </c>
      <c r="H274" s="29" t="inlineStr">
        <is>
          <t>Planned</t>
        </is>
      </c>
    </row>
    <row r="275" ht="30" customHeight="1">
      <c r="A275" s="28" t="inlineStr">
        <is>
          <t>CTO</t>
        </is>
      </c>
      <c r="B275" s="28" t="inlineStr">
        <is>
          <t>HR-17</t>
        </is>
      </c>
      <c r="C275" s="28" t="inlineStr">
        <is>
          <t>People &amp; HR</t>
        </is>
      </c>
      <c r="D275" s="28" t="inlineStr">
        <is>
          <t>Training and certification tracking</t>
        </is>
      </c>
      <c r="E275" s="29" t="inlineStr">
        <is>
          <t>C</t>
        </is>
      </c>
      <c r="F275" s="28" t="inlineStr">
        <is>
          <t>Planned (not built yet). Consulted: gives input, data or a decision when asked.</t>
        </is>
      </c>
      <c r="G275" s="28" t="inlineStr">
        <is>
          <t>-</t>
        </is>
      </c>
      <c r="H275" s="29" t="inlineStr">
        <is>
          <t>Planned</t>
        </is>
      </c>
    </row>
    <row r="276" ht="30" customHeight="1">
      <c r="A276" s="28" t="inlineStr">
        <is>
          <t>CTO</t>
        </is>
      </c>
      <c r="B276" s="28" t="inlineStr">
        <is>
          <t>FIN-01</t>
        </is>
      </c>
      <c r="C276" s="28" t="inlineStr">
        <is>
          <t>Finance</t>
        </is>
      </c>
      <c r="D276" s="28" t="inlineStr">
        <is>
          <t>Milestone invoicing</t>
        </is>
      </c>
      <c r="E276" s="29" t="inlineStr">
        <is>
          <t>I</t>
        </is>
      </c>
      <c r="F276" s="28" t="inlineStr">
        <is>
          <t>Informed; sees the outcome in CEO Home (revenue), P&amp;L, Invoices.</t>
        </is>
      </c>
      <c r="G276" s="28" t="inlineStr">
        <is>
          <t>/projects/:id/money, /finance/invoices</t>
        </is>
      </c>
      <c r="H276" s="29" t="inlineStr">
        <is>
          <t>Live</t>
        </is>
      </c>
    </row>
    <row r="277" ht="17" customHeight="1">
      <c r="A277" s="28" t="inlineStr">
        <is>
          <t>CTO</t>
        </is>
      </c>
      <c r="B277" s="28" t="inlineStr">
        <is>
          <t>FIN-03</t>
        </is>
      </c>
      <c r="C277" s="28" t="inlineStr">
        <is>
          <t>Finance</t>
        </is>
      </c>
      <c r="D277" s="28" t="inlineStr">
        <is>
          <t>Receivables, ageing and DSO</t>
        </is>
      </c>
      <c r="E277" s="29" t="inlineStr">
        <is>
          <t>I</t>
        </is>
      </c>
      <c r="F277" s="28" t="inlineStr">
        <is>
          <t>Informed; sees the outcome in Invoices, Client health, Lost revenue.</t>
        </is>
      </c>
      <c r="G277" s="28" t="inlineStr">
        <is>
          <t>/finance/invoices</t>
        </is>
      </c>
      <c r="H277" s="29" t="inlineStr">
        <is>
          <t>Live</t>
        </is>
      </c>
    </row>
    <row r="278" ht="30" customHeight="1">
      <c r="A278" s="28" t="inlineStr">
        <is>
          <t>CTO</t>
        </is>
      </c>
      <c r="B278" s="28" t="inlineStr">
        <is>
          <t>FIN-07</t>
        </is>
      </c>
      <c r="C278" s="28" t="inlineStr">
        <is>
          <t>Finance</t>
        </is>
      </c>
      <c r="D278" s="28" t="inlineStr">
        <is>
          <t>Timesheet-based billing for T&amp;M projects</t>
        </is>
      </c>
      <c r="E278" s="29" t="inlineStr">
        <is>
          <t>R</t>
        </is>
      </c>
      <c r="F278" s="28" t="inlineStr">
        <is>
          <t>Planned (not built yet). Does it: carries out "Timesheet-based billing for T&amp;M projects".</t>
        </is>
      </c>
      <c r="G278" s="28" t="inlineStr">
        <is>
          <t>-</t>
        </is>
      </c>
      <c r="H278" s="29" t="inlineStr">
        <is>
          <t>Planned</t>
        </is>
      </c>
    </row>
    <row r="279" ht="17" customHeight="1">
      <c r="A279" s="28" t="inlineStr">
        <is>
          <t>CTO</t>
        </is>
      </c>
      <c r="B279" s="28" t="inlineStr">
        <is>
          <t>SPD-01</t>
        </is>
      </c>
      <c r="C279" s="28" t="inlineStr">
        <is>
          <t>Spend &amp; procurement</t>
        </is>
      </c>
      <c r="D279" s="28" t="inlineStr">
        <is>
          <t>Submit an expense claim</t>
        </is>
      </c>
      <c r="E279" s="29" t="inlineStr">
        <is>
          <t>R</t>
        </is>
      </c>
      <c r="F279" s="28" t="inlineStr">
        <is>
          <t>Does it: carries out "Submit an expense claim" in /expenses.</t>
        </is>
      </c>
      <c r="G279" s="28" t="inlineStr">
        <is>
          <t>/expenses</t>
        </is>
      </c>
      <c r="H279" s="29" t="inlineStr">
        <is>
          <t>New in v3</t>
        </is>
      </c>
    </row>
    <row r="280" ht="30" customHeight="1">
      <c r="A280" s="28" t="inlineStr">
        <is>
          <t>CTO</t>
        </is>
      </c>
      <c r="B280" s="28" t="inlineStr">
        <is>
          <t>SPD-02</t>
        </is>
      </c>
      <c r="C280" s="28" t="inlineStr">
        <is>
          <t>Spend &amp; procurement</t>
        </is>
      </c>
      <c r="D280" s="28" t="inlineStr">
        <is>
          <t>Approve or reject an expense (two-step above Rs 25,000)</t>
        </is>
      </c>
      <c r="E280" s="29" t="inlineStr">
        <is>
          <t>R</t>
        </is>
      </c>
      <c r="F280" s="28" t="inlineStr">
        <is>
          <t>Does it: carries out "Approve or reject an expense (two-step above Rs 25,000)" in /expenses?tab=approve, /inbox.</t>
        </is>
      </c>
      <c r="G280" s="28" t="inlineStr">
        <is>
          <t>/expenses?tab=approve, /inbox</t>
        </is>
      </c>
      <c r="H280" s="29" t="inlineStr">
        <is>
          <t>Extended</t>
        </is>
      </c>
    </row>
    <row r="281" ht="30" customHeight="1">
      <c r="A281" s="28" t="inlineStr">
        <is>
          <t>CTO</t>
        </is>
      </c>
      <c r="B281" s="28" t="inlineStr">
        <is>
          <t>SPD-04</t>
        </is>
      </c>
      <c r="C281" s="28" t="inlineStr">
        <is>
          <t>Spend &amp; procurement</t>
        </is>
      </c>
      <c r="D281" s="28" t="inlineStr">
        <is>
          <t>Raise a purchase order</t>
        </is>
      </c>
      <c r="E281" s="29" t="inlineStr">
        <is>
          <t>I</t>
        </is>
      </c>
      <c r="F281" s="28" t="inlineStr">
        <is>
          <t>Informed (NTF-04 PO to approve); sees the outcome in Purchases &amp; vendors, Budgets (committed); Reports / Ask AI (purchases).</t>
        </is>
      </c>
      <c r="G281" s="28" t="inlineStr">
        <is>
          <t>/purchases</t>
        </is>
      </c>
      <c r="H281" s="29" t="inlineStr">
        <is>
          <t>New in v3</t>
        </is>
      </c>
    </row>
    <row r="282" ht="17" customHeight="1">
      <c r="A282" s="28" t="inlineStr">
        <is>
          <t>CTO</t>
        </is>
      </c>
      <c r="B282" s="28" t="inlineStr">
        <is>
          <t>SPD-08</t>
        </is>
      </c>
      <c r="C282" s="28" t="inlineStr">
        <is>
          <t>Spend &amp; procurement</t>
        </is>
      </c>
      <c r="D282" s="28" t="inlineStr">
        <is>
          <t>Annual budget and monthly phasing</t>
        </is>
      </c>
      <c r="E282" s="29" t="inlineStr">
        <is>
          <t>C</t>
        </is>
      </c>
      <c r="F282" s="28" t="inlineStr">
        <is>
          <t>Consulted: gives input, data or a decision when asked.</t>
        </is>
      </c>
      <c r="G282" s="28" t="inlineStr">
        <is>
          <t>/budgets</t>
        </is>
      </c>
      <c r="H282" s="29" t="inlineStr">
        <is>
          <t>Extended</t>
        </is>
      </c>
    </row>
    <row r="283" ht="17" customHeight="1">
      <c r="A283" s="28" t="inlineStr">
        <is>
          <t>CTO</t>
        </is>
      </c>
      <c r="B283" s="28" t="inlineStr">
        <is>
          <t>SPD-09</t>
        </is>
      </c>
      <c r="C283" s="28" t="inlineStr">
        <is>
          <t>Spend &amp; procurement</t>
        </is>
      </c>
      <c r="D283" s="28" t="inlineStr">
        <is>
          <t>Budget vs actual review</t>
        </is>
      </c>
      <c r="E283" s="29" t="inlineStr">
        <is>
          <t>C</t>
        </is>
      </c>
      <c r="F283" s="28" t="inlineStr">
        <is>
          <t>Consulted: gives input, data or a decision when asked.</t>
        </is>
      </c>
      <c r="G283" s="28" t="inlineStr">
        <is>
          <t>/budgets</t>
        </is>
      </c>
      <c r="H283" s="29" t="inlineStr">
        <is>
          <t>New in v3</t>
        </is>
      </c>
    </row>
    <row r="284" ht="30" customHeight="1">
      <c r="A284" s="28" t="inlineStr">
        <is>
          <t>CTO</t>
        </is>
      </c>
      <c r="B284" s="28" t="inlineStr">
        <is>
          <t>SPD-11</t>
        </is>
      </c>
      <c r="C284" s="28" t="inlineStr">
        <is>
          <t>Spend &amp; procurement</t>
        </is>
      </c>
      <c r="D284" s="28" t="inlineStr">
        <is>
          <t>Travel requests and advances</t>
        </is>
      </c>
      <c r="E284" s="29" t="inlineStr">
        <is>
          <t>R</t>
        </is>
      </c>
      <c r="F284" s="28" t="inlineStr">
        <is>
          <t>Planned (not built yet). Does it: carries out "Travel requests and advances".</t>
        </is>
      </c>
      <c r="G284" s="28" t="inlineStr">
        <is>
          <t>-</t>
        </is>
      </c>
      <c r="H284" s="29" t="inlineStr">
        <is>
          <t>Planned</t>
        </is>
      </c>
    </row>
    <row r="285" ht="30" customHeight="1">
      <c r="A285" s="28" t="inlineStr">
        <is>
          <t>CTO</t>
        </is>
      </c>
      <c r="B285" s="28" t="inlineStr">
        <is>
          <t>REV-03</t>
        </is>
      </c>
      <c r="C285" s="28" t="inlineStr">
        <is>
          <t>Revenue assurance</t>
        </is>
      </c>
      <c r="D285" s="28" t="inlineStr">
        <is>
          <t>Auto-detect: unbilled hours</t>
        </is>
      </c>
      <c r="E285" s="29" t="inlineStr">
        <is>
          <t>I</t>
        </is>
      </c>
      <c r="F285" s="28" t="inlineStr">
        <is>
          <t>Informed; sees the outcome in Lost revenue; Reports / Ask AI (revenue_leakage).</t>
        </is>
      </c>
      <c r="G285" s="28" t="inlineStr">
        <is>
          <t>/leakage</t>
        </is>
      </c>
      <c r="H285" s="29" t="inlineStr">
        <is>
          <t>New in v3</t>
        </is>
      </c>
    </row>
    <row r="286" ht="30" customHeight="1">
      <c r="A286" s="28" t="inlineStr">
        <is>
          <t>CTO</t>
        </is>
      </c>
      <c r="B286" s="28" t="inlineStr">
        <is>
          <t>REV-05</t>
        </is>
      </c>
      <c r="C286" s="28" t="inlineStr">
        <is>
          <t>Revenue assurance</t>
        </is>
      </c>
      <c r="D286" s="28" t="inlineStr">
        <is>
          <t>Auto-detect: scope creep</t>
        </is>
      </c>
      <c r="E286" s="29" t="inlineStr">
        <is>
          <t>I</t>
        </is>
      </c>
      <c r="F286" s="28" t="inlineStr">
        <is>
          <t>Informed; sees the outcome in Lost revenue; Reports / Ask AI (revenue_leakage).</t>
        </is>
      </c>
      <c r="G286" s="28" t="inlineStr">
        <is>
          <t>/leakage</t>
        </is>
      </c>
      <c r="H286" s="29" t="inlineStr">
        <is>
          <t>New in v3</t>
        </is>
      </c>
    </row>
    <row r="287" ht="30" customHeight="1">
      <c r="A287" s="28" t="inlineStr">
        <is>
          <t>CTO</t>
        </is>
      </c>
      <c r="B287" s="28" t="inlineStr">
        <is>
          <t>REV-06</t>
        </is>
      </c>
      <c r="C287" s="28" t="inlineStr">
        <is>
          <t>Revenue assurance</t>
        </is>
      </c>
      <c r="D287" s="28" t="inlineStr">
        <is>
          <t>Record discounts, write-offs, credit notes, penalties and churn</t>
        </is>
      </c>
      <c r="E287" s="29" t="inlineStr">
        <is>
          <t>C</t>
        </is>
      </c>
      <c r="F287" s="28" t="inlineStr">
        <is>
          <t>Consulted: gives input, data or a decision when asked.</t>
        </is>
      </c>
      <c r="G287" s="28" t="inlineStr">
        <is>
          <t>/leakage</t>
        </is>
      </c>
      <c r="H287" s="29" t="inlineStr">
        <is>
          <t>New in v3</t>
        </is>
      </c>
    </row>
    <row r="288" ht="17" customHeight="1">
      <c r="A288" s="28" t="inlineStr">
        <is>
          <t>CTO</t>
        </is>
      </c>
      <c r="B288" s="28" t="inlineStr">
        <is>
          <t>REV-07</t>
        </is>
      </c>
      <c r="C288" s="28" t="inlineStr">
        <is>
          <t>Revenue assurance</t>
        </is>
      </c>
      <c r="D288" s="28" t="inlineStr">
        <is>
          <t>Recovery tracking</t>
        </is>
      </c>
      <c r="E288" s="29" t="inlineStr">
        <is>
          <t>C</t>
        </is>
      </c>
      <c r="F288" s="28" t="inlineStr">
        <is>
          <t>Consulted: gives input, data or a decision when asked.</t>
        </is>
      </c>
      <c r="G288" s="28" t="inlineStr">
        <is>
          <t>/leakage</t>
        </is>
      </c>
      <c r="H288" s="29" t="inlineStr">
        <is>
          <t>New in v3</t>
        </is>
      </c>
    </row>
    <row r="289" ht="30" customHeight="1">
      <c r="A289" s="28" t="inlineStr">
        <is>
          <t>CTO</t>
        </is>
      </c>
      <c r="B289" s="28" t="inlineStr">
        <is>
          <t>REV-08</t>
        </is>
      </c>
      <c r="C289" s="28" t="inlineStr">
        <is>
          <t>Revenue assurance</t>
        </is>
      </c>
      <c r="D289" s="28" t="inlineStr">
        <is>
          <t>Discount approval workflow</t>
        </is>
      </c>
      <c r="E289" s="29" t="inlineStr">
        <is>
          <t>C</t>
        </is>
      </c>
      <c r="F289" s="28" t="inlineStr">
        <is>
          <t>Planned (not built yet). Consulted: gives input, data or a decision when asked.</t>
        </is>
      </c>
      <c r="G289" s="28" t="inlineStr">
        <is>
          <t>-</t>
        </is>
      </c>
      <c r="H289" s="29" t="inlineStr">
        <is>
          <t>Planned</t>
        </is>
      </c>
    </row>
    <row r="290" ht="30" customHeight="1">
      <c r="A290" s="28" t="inlineStr">
        <is>
          <t>CTO</t>
        </is>
      </c>
      <c r="B290" s="28" t="inlineStr">
        <is>
          <t>OPS-04</t>
        </is>
      </c>
      <c r="C290" s="28" t="inlineStr">
        <is>
          <t>Operations &amp; compliance</t>
        </is>
      </c>
      <c r="D290" s="28" t="inlineStr">
        <is>
          <t>ISO 9001 non-conformance and CAPA</t>
        </is>
      </c>
      <c r="E290" s="29" t="inlineStr">
        <is>
          <t>R</t>
        </is>
      </c>
      <c r="F290" s="28" t="inlineStr">
        <is>
          <t>Planned (not built yet). Does it: carries out "ISO 9001 non-conformance and CAPA".</t>
        </is>
      </c>
      <c r="G290" s="28" t="inlineStr">
        <is>
          <t>-</t>
        </is>
      </c>
      <c r="H290" s="29" t="inlineStr">
        <is>
          <t>Planned</t>
        </is>
      </c>
    </row>
    <row r="291" ht="30" customHeight="1">
      <c r="A291" s="28" t="inlineStr">
        <is>
          <t>CTO</t>
        </is>
      </c>
      <c r="B291" s="28" t="inlineStr">
        <is>
          <t>OPS-05</t>
        </is>
      </c>
      <c r="C291" s="28" t="inlineStr">
        <is>
          <t>Operations &amp; compliance</t>
        </is>
      </c>
      <c r="D291" s="28" t="inlineStr">
        <is>
          <t>Risk register (company and project)</t>
        </is>
      </c>
      <c r="E291" s="29" t="inlineStr">
        <is>
          <t>R</t>
        </is>
      </c>
      <c r="F291" s="28" t="inlineStr">
        <is>
          <t>Planned (not built yet). Does it: carries out "Risk register (company and project)".</t>
        </is>
      </c>
      <c r="G291" s="28" t="inlineStr">
        <is>
          <t>-</t>
        </is>
      </c>
      <c r="H291" s="29" t="inlineStr">
        <is>
          <t>Planned</t>
        </is>
      </c>
    </row>
    <row r="292" ht="30" customHeight="1">
      <c r="A292" s="28" t="inlineStr">
        <is>
          <t>CTO</t>
        </is>
      </c>
      <c r="B292" s="28" t="inlineStr">
        <is>
          <t>GOV-01</t>
        </is>
      </c>
      <c r="C292" s="28" t="inlineStr">
        <is>
          <t>Strategy &amp; governance</t>
        </is>
      </c>
      <c r="D292" s="28" t="inlineStr">
        <is>
          <t>Set objectives (company, team, personal)</t>
        </is>
      </c>
      <c r="E292" s="29" t="inlineStr">
        <is>
          <t>C</t>
        </is>
      </c>
      <c r="F292" s="28" t="inlineStr">
        <is>
          <t>Consulted: gives input, data or a decision when asked.</t>
        </is>
      </c>
      <c r="G292" s="28" t="inlineStr">
        <is>
          <t>/okrs</t>
        </is>
      </c>
      <c r="H292" s="29" t="inlineStr">
        <is>
          <t>New in v3</t>
        </is>
      </c>
    </row>
    <row r="293" ht="30" customHeight="1">
      <c r="A293" s="28" t="inlineStr">
        <is>
          <t>CTO</t>
        </is>
      </c>
      <c r="B293" s="28" t="inlineStr">
        <is>
          <t>GOV-02</t>
        </is>
      </c>
      <c r="C293" s="28" t="inlineStr">
        <is>
          <t>Strategy &amp; governance</t>
        </is>
      </c>
      <c r="D293" s="28" t="inlineStr">
        <is>
          <t>Key results with automatic measures and check-ins</t>
        </is>
      </c>
      <c r="E293" s="29" t="inlineStr">
        <is>
          <t>C</t>
        </is>
      </c>
      <c r="F293" s="28" t="inlineStr">
        <is>
          <t>Consulted: gives input, data or a decision when asked.</t>
        </is>
      </c>
      <c r="G293" s="28" t="inlineStr">
        <is>
          <t>/okrs</t>
        </is>
      </c>
      <c r="H293" s="29" t="inlineStr">
        <is>
          <t>New in v3</t>
        </is>
      </c>
    </row>
    <row r="294" ht="17" customHeight="1">
      <c r="A294" s="28" t="inlineStr">
        <is>
          <t>CTO</t>
        </is>
      </c>
      <c r="B294" s="28" t="inlineStr">
        <is>
          <t>GOV-03</t>
        </is>
      </c>
      <c r="C294" s="28" t="inlineStr">
        <is>
          <t>Strategy &amp; governance</t>
        </is>
      </c>
      <c r="D294" s="28" t="inlineStr">
        <is>
          <t>Approvals inbox</t>
        </is>
      </c>
      <c r="E294" s="29" t="inlineStr">
        <is>
          <t>R</t>
        </is>
      </c>
      <c r="F294" s="28" t="inlineStr">
        <is>
          <t>Does it: carries out "Approvals inbox" in /inbox.</t>
        </is>
      </c>
      <c r="G294" s="28" t="inlineStr">
        <is>
          <t>/inbox</t>
        </is>
      </c>
      <c r="H294" s="29" t="inlineStr">
        <is>
          <t>Extended</t>
        </is>
      </c>
    </row>
    <row r="295" ht="17" customHeight="1">
      <c r="A295" s="28" t="inlineStr">
        <is>
          <t>CTO</t>
        </is>
      </c>
      <c r="B295" s="28" t="inlineStr">
        <is>
          <t>GOV-05</t>
        </is>
      </c>
      <c r="C295" s="28" t="inlineStr">
        <is>
          <t>Strategy &amp; governance</t>
        </is>
      </c>
      <c r="D295" s="28" t="inlineStr">
        <is>
          <t>Notifications centre</t>
        </is>
      </c>
      <c r="E295" s="29" t="inlineStr">
        <is>
          <t>R</t>
        </is>
      </c>
      <c r="F295" s="28" t="inlineStr">
        <is>
          <t>Does it: carries out "Notifications centre" in /notifications.</t>
        </is>
      </c>
      <c r="G295" s="28" t="inlineStr">
        <is>
          <t>/notifications</t>
        </is>
      </c>
      <c r="H295" s="29" t="inlineStr">
        <is>
          <t>Live</t>
        </is>
      </c>
    </row>
    <row r="296" ht="17" customHeight="1">
      <c r="A296" s="28" t="inlineStr">
        <is>
          <t>CTO</t>
        </is>
      </c>
      <c r="B296" s="28" t="inlineStr">
        <is>
          <t>GOV-06</t>
        </is>
      </c>
      <c r="C296" s="28" t="inlineStr">
        <is>
          <t>Strategy &amp; governance</t>
        </is>
      </c>
      <c r="D296" s="28" t="inlineStr">
        <is>
          <t>Weekly scorecard</t>
        </is>
      </c>
      <c r="E296" s="29" t="inlineStr">
        <is>
          <t>R</t>
        </is>
      </c>
      <c r="F296" s="28" t="inlineStr">
        <is>
          <t>Does it: carries out "Weekly scorecard" in /scorecard.</t>
        </is>
      </c>
      <c r="G296" s="28" t="inlineStr">
        <is>
          <t>/scorecard</t>
        </is>
      </c>
      <c r="H296" s="29" t="inlineStr">
        <is>
          <t>Live</t>
        </is>
      </c>
    </row>
    <row r="297" ht="17" customHeight="1">
      <c r="A297" s="28" t="inlineStr">
        <is>
          <t>CTO</t>
        </is>
      </c>
      <c r="B297" s="28" t="inlineStr">
        <is>
          <t>ANA-02</t>
        </is>
      </c>
      <c r="C297" s="28" t="inlineStr">
        <is>
          <t>Analytics &amp; AI</t>
        </is>
      </c>
      <c r="D297" s="28" t="inlineStr">
        <is>
          <t>Project manager dashboard</t>
        </is>
      </c>
      <c r="E297" s="29" t="inlineStr">
        <is>
          <t>R</t>
        </is>
      </c>
      <c r="F297" s="28" t="inlineStr">
        <is>
          <t>Does it: carries out "Project manager dashboard" in /home.</t>
        </is>
      </c>
      <c r="G297" s="28" t="inlineStr">
        <is>
          <t>/home</t>
        </is>
      </c>
      <c r="H297" s="29" t="inlineStr">
        <is>
          <t>Extended</t>
        </is>
      </c>
    </row>
    <row r="298" ht="17" customHeight="1">
      <c r="A298" s="28" t="inlineStr">
        <is>
          <t>CTO</t>
        </is>
      </c>
      <c r="B298" s="28" t="inlineStr">
        <is>
          <t>ANA-06</t>
        </is>
      </c>
      <c r="C298" s="28" t="inlineStr">
        <is>
          <t>Analytics &amp; AI</t>
        </is>
      </c>
      <c r="D298" s="28" t="inlineStr">
        <is>
          <t>Insights views</t>
        </is>
      </c>
      <c r="E298" s="29" t="inlineStr">
        <is>
          <t>R</t>
        </is>
      </c>
      <c r="F298" s="28" t="inlineStr">
        <is>
          <t>Does it: carries out "Insights views" in /insights, /insights/:view.</t>
        </is>
      </c>
      <c r="G298" s="28" t="inlineStr">
        <is>
          <t>/insights, /insights/:view</t>
        </is>
      </c>
      <c r="H298" s="29" t="inlineStr">
        <is>
          <t>Live</t>
        </is>
      </c>
    </row>
    <row r="299" ht="30" customHeight="1">
      <c r="A299" s="28" t="inlineStr">
        <is>
          <t>CTO</t>
        </is>
      </c>
      <c r="B299" s="28" t="inlineStr">
        <is>
          <t>ANA-07</t>
        </is>
      </c>
      <c r="C299" s="28" t="inlineStr">
        <is>
          <t>Analytics &amp; AI</t>
        </is>
      </c>
      <c r="D299" s="28" t="inlineStr">
        <is>
          <t>Custom report builder and exports</t>
        </is>
      </c>
      <c r="E299" s="29" t="inlineStr">
        <is>
          <t>R</t>
        </is>
      </c>
      <c r="F299" s="28" t="inlineStr">
        <is>
          <t>Does it: carries out "Custom report builder and exports" in /reports, /reports/new, /reports/:id.</t>
        </is>
      </c>
      <c r="G299" s="28" t="inlineStr">
        <is>
          <t>/reports, /reports/new, /reports/:id</t>
        </is>
      </c>
      <c r="H299" s="29" t="inlineStr">
        <is>
          <t>Extended</t>
        </is>
      </c>
    </row>
    <row r="300" ht="17" customHeight="1">
      <c r="A300" s="28" t="inlineStr">
        <is>
          <t>CTO</t>
        </is>
      </c>
      <c r="B300" s="28" t="inlineStr">
        <is>
          <t>ANA-08</t>
        </is>
      </c>
      <c r="C300" s="28" t="inlineStr">
        <is>
          <t>Analytics &amp; AI</t>
        </is>
      </c>
      <c r="D300" s="28" t="inlineStr">
        <is>
          <t>Ask AI and AI report planning</t>
        </is>
      </c>
      <c r="E300" s="29" t="inlineStr">
        <is>
          <t>R</t>
        </is>
      </c>
      <c r="F300" s="28" t="inlineStr">
        <is>
          <t>Does it: carries out "Ask AI and AI report planning" in /ai.</t>
        </is>
      </c>
      <c r="G300" s="28" t="inlineStr">
        <is>
          <t>/ai</t>
        </is>
      </c>
      <c r="H300" s="29" t="inlineStr">
        <is>
          <t>Extended</t>
        </is>
      </c>
    </row>
    <row r="301" ht="17" customHeight="1">
      <c r="A301" s="28" t="inlineStr">
        <is>
          <t>CTO</t>
        </is>
      </c>
      <c r="B301" s="28" t="inlineStr">
        <is>
          <t>ANA-09</t>
        </is>
      </c>
      <c r="C301" s="28" t="inlineStr">
        <is>
          <t>Analytics &amp; AI</t>
        </is>
      </c>
      <c r="D301" s="28" t="inlineStr">
        <is>
          <t>Scheduled email reports</t>
        </is>
      </c>
      <c r="E301" s="29" t="inlineStr">
        <is>
          <t>R</t>
        </is>
      </c>
      <c r="F301" s="28" t="inlineStr">
        <is>
          <t>Planned (not built yet). Does it: carries out "Scheduled email reports".</t>
        </is>
      </c>
      <c r="G301" s="28" t="inlineStr">
        <is>
          <t>-</t>
        </is>
      </c>
      <c r="H301" s="29" t="inlineStr">
        <is>
          <t>Planned</t>
        </is>
      </c>
    </row>
    <row r="302" ht="30" customHeight="1">
      <c r="A302" s="28" t="inlineStr">
        <is>
          <t>CTO</t>
        </is>
      </c>
      <c r="B302" s="28" t="inlineStr">
        <is>
          <t>ANA-10</t>
        </is>
      </c>
      <c r="C302" s="28" t="inlineStr">
        <is>
          <t>Analytics &amp; AI</t>
        </is>
      </c>
      <c r="D302" s="28" t="inlineStr">
        <is>
          <t>Report datasets for v3 processes</t>
        </is>
      </c>
      <c r="E302" s="29" t="inlineStr">
        <is>
          <t>R</t>
        </is>
      </c>
      <c r="F302" s="28" t="inlineStr">
        <is>
          <t>Does it: carries out "Report datasets for v3 processes" in /reports/new, /ai.</t>
        </is>
      </c>
      <c r="G302" s="28" t="inlineStr">
        <is>
          <t>/reports/new, /ai</t>
        </is>
      </c>
      <c r="H302" s="29" t="inlineStr">
        <is>
          <t>New in v3</t>
        </is>
      </c>
    </row>
    <row r="303" ht="30" customHeight="1">
      <c r="A303" s="28" t="inlineStr">
        <is>
          <t>CTO</t>
        </is>
      </c>
      <c r="B303" s="28" t="inlineStr">
        <is>
          <t>ADM-01</t>
        </is>
      </c>
      <c r="C303" s="28" t="inlineStr">
        <is>
          <t>Access, master data &amp; controls</t>
        </is>
      </c>
      <c r="D303" s="28" t="inlineStr">
        <is>
          <t>Organisation profile</t>
        </is>
      </c>
      <c r="E303" s="29" t="inlineStr">
        <is>
          <t>I</t>
        </is>
      </c>
      <c r="F303" s="28" t="inlineStr">
        <is>
          <t>Informed (NTF-04 to checkers); sees the outcome in Setup checklist; welcome emails ({{company}}).</t>
        </is>
      </c>
      <c r="G303" s="28" t="inlineStr">
        <is>
          <t>/setup/org</t>
        </is>
      </c>
      <c r="H303" s="29" t="inlineStr">
        <is>
          <t>New in v4</t>
        </is>
      </c>
    </row>
    <row r="304" ht="30" customHeight="1">
      <c r="A304" s="28" t="inlineStr">
        <is>
          <t>CTO</t>
        </is>
      </c>
      <c r="B304" s="28" t="inlineStr">
        <is>
          <t>ADM-03</t>
        </is>
      </c>
      <c r="C304" s="28" t="inlineStr">
        <is>
          <t>Access, master data &amp; controls</t>
        </is>
      </c>
      <c r="D304" s="28" t="inlineStr">
        <is>
          <t>Departments and cost centres</t>
        </is>
      </c>
      <c r="E304" s="29" t="inlineStr">
        <is>
          <t>C</t>
        </is>
      </c>
      <c r="F304" s="28" t="inlineStr">
        <is>
          <t>Consulted: gives input, data or a decision when asked.</t>
        </is>
      </c>
      <c r="G304" s="28" t="inlineStr">
        <is>
          <t>/setup/departments, /setup/cost-centres</t>
        </is>
      </c>
      <c r="H304" s="29" t="inlineStr">
        <is>
          <t>New in v4</t>
        </is>
      </c>
    </row>
    <row r="305" ht="30" customHeight="1">
      <c r="A305" s="28" t="inlineStr">
        <is>
          <t>CTO</t>
        </is>
      </c>
      <c r="B305" s="28" t="inlineStr">
        <is>
          <t>ACC-01</t>
        </is>
      </c>
      <c r="C305" s="28" t="inlineStr">
        <is>
          <t>Access, master data &amp; controls</t>
        </is>
      </c>
      <c r="D305" s="28" t="inlineStr">
        <is>
          <t>Define roles and the permission matrix</t>
        </is>
      </c>
      <c r="E305" s="29" t="inlineStr">
        <is>
          <t>I</t>
        </is>
      </c>
      <c r="F305" s="28" t="inlineStr">
        <is>
          <t>Informed (NTF-04 to checkers; NTF-05 to maker); sees the outcome in Roles &amp; permissions sheet; Setup &gt; Roles.</t>
        </is>
      </c>
      <c r="G305" s="28" t="inlineStr">
        <is>
          <t>/setup/roles, /setup/roles/:key</t>
        </is>
      </c>
      <c r="H305" s="29" t="inlineStr">
        <is>
          <t>New in v4</t>
        </is>
      </c>
    </row>
    <row r="306" ht="30" customHeight="1">
      <c r="A306" s="28" t="inlineStr">
        <is>
          <t>CTO</t>
        </is>
      </c>
      <c r="B306" s="28" t="inlineStr">
        <is>
          <t>ACC-02</t>
        </is>
      </c>
      <c r="C306" s="28" t="inlineStr">
        <is>
          <t>Access, master data &amp; controls</t>
        </is>
      </c>
      <c r="D306" s="28" t="inlineStr">
        <is>
          <t>Clone and compare roles</t>
        </is>
      </c>
      <c r="E306" s="29" t="inlineStr">
        <is>
          <t>I</t>
        </is>
      </c>
      <c r="F306" s="28" t="inlineStr">
        <is>
          <t>Informed; sees the outcome in Setup &gt; Roles (Compare roles tab).</t>
        </is>
      </c>
      <c r="G306" s="28" t="inlineStr">
        <is>
          <t>/setup/roles?tab=compare</t>
        </is>
      </c>
      <c r="H306" s="29" t="inlineStr">
        <is>
          <t>New in v4</t>
        </is>
      </c>
    </row>
    <row r="307" ht="30" customHeight="1">
      <c r="A307" s="28" t="inlineStr">
        <is>
          <t>CTO</t>
        </is>
      </c>
      <c r="B307" s="28" t="inlineStr">
        <is>
          <t>ACC-05</t>
        </is>
      </c>
      <c r="C307" s="28" t="inlineStr">
        <is>
          <t>Access, master data &amp; controls</t>
        </is>
      </c>
      <c r="D307" s="28" t="inlineStr">
        <is>
          <t>First sign-in: forced password change</t>
        </is>
      </c>
      <c r="E307" s="29" t="inlineStr">
        <is>
          <t>R</t>
        </is>
      </c>
      <c r="F307" s="28" t="inlineStr">
        <is>
          <t>Does it: carries out "First sign-in: forced password change" in /welcome/password.</t>
        </is>
      </c>
      <c r="G307" s="28" t="inlineStr">
        <is>
          <t>/welcome/password</t>
        </is>
      </c>
      <c r="H307" s="29" t="inlineStr">
        <is>
          <t>New in v4</t>
        </is>
      </c>
    </row>
    <row r="308" ht="30" customHeight="1">
      <c r="A308" s="28" t="inlineStr">
        <is>
          <t>CTO</t>
        </is>
      </c>
      <c r="B308" s="28" t="inlineStr">
        <is>
          <t>ACC-09</t>
        </is>
      </c>
      <c r="C308" s="28" t="inlineStr">
        <is>
          <t>Access, master data &amp; controls</t>
        </is>
      </c>
      <c r="D308" s="28" t="inlineStr">
        <is>
          <t>One login: screens, actions and data scope by permission</t>
        </is>
      </c>
      <c r="E308" s="29" t="inlineStr">
        <is>
          <t>I</t>
        </is>
      </c>
      <c r="F308" s="28" t="inlineStr">
        <is>
          <t>Informed; sees the outcome in All.</t>
        </is>
      </c>
      <c r="G308" s="28" t="inlineStr">
        <is>
          <t>All screens</t>
        </is>
      </c>
      <c r="H308" s="29" t="inlineStr">
        <is>
          <t>New in v4</t>
        </is>
      </c>
    </row>
    <row r="309" ht="30" customHeight="1">
      <c r="A309" s="28" t="inlineStr">
        <is>
          <t>CTO</t>
        </is>
      </c>
      <c r="B309" s="28" t="inlineStr">
        <is>
          <t>MC-02</t>
        </is>
      </c>
      <c r="C309" s="28" t="inlineStr">
        <is>
          <t>Access, master data &amp; controls</t>
        </is>
      </c>
      <c r="D309" s="28" t="inlineStr">
        <is>
          <t>Check a change: approve or reject (checker)</t>
        </is>
      </c>
      <c r="E309" s="29" t="inlineStr">
        <is>
          <t>I</t>
        </is>
      </c>
      <c r="F309" s="28" t="inlineStr">
        <is>
          <t>Informed (NTF-05 to the maker); sees the outcome in Changes (To check, History); Audit trail.</t>
        </is>
      </c>
      <c r="G309" s="28" t="inlineStr">
        <is>
          <t>/changes</t>
        </is>
      </c>
      <c r="H309" s="29" t="inlineStr">
        <is>
          <t>New in v4</t>
        </is>
      </c>
    </row>
    <row r="310" ht="30" customHeight="1">
      <c r="A310" s="28" t="inlineStr">
        <is>
          <t>CTO</t>
        </is>
      </c>
      <c r="B310" s="28" t="inlineStr">
        <is>
          <t>WF-01</t>
        </is>
      </c>
      <c r="C310" s="28" t="inlineStr">
        <is>
          <t>Access, master data &amp; controls</t>
        </is>
      </c>
      <c r="D310" s="28" t="inlineStr">
        <is>
          <t>Configure an approval workflow</t>
        </is>
      </c>
      <c r="E310" s="29" t="inlineStr">
        <is>
          <t>C</t>
        </is>
      </c>
      <c r="F310" s="28" t="inlineStr">
        <is>
          <t>Consulted: gives input, data or a decision when asked.</t>
        </is>
      </c>
      <c r="G310" s="28" t="inlineStr">
        <is>
          <t>/setup/workflows</t>
        </is>
      </c>
      <c r="H310" s="29" t="inlineStr">
        <is>
          <t>New in v4</t>
        </is>
      </c>
    </row>
    <row r="311" ht="30" customHeight="1">
      <c r="A311" s="28" t="inlineStr">
        <is>
          <t>CTO</t>
        </is>
      </c>
      <c r="B311" s="28" t="inlineStr">
        <is>
          <t>WF-02</t>
        </is>
      </c>
      <c r="C311" s="28" t="inlineStr">
        <is>
          <t>Access, master data &amp; controls</t>
        </is>
      </c>
      <c r="D311" s="28" t="inlineStr">
        <is>
          <t>Test (simulate) a workflow</t>
        </is>
      </c>
      <c r="E311" s="29" t="inlineStr">
        <is>
          <t>I</t>
        </is>
      </c>
      <c r="F311" s="28" t="inlineStr">
        <is>
          <t>Informed; sees the outcome in Setup &gt; Approval workflows.</t>
        </is>
      </c>
      <c r="G311" s="28" t="inlineStr">
        <is>
          <t>/setup/workflows</t>
        </is>
      </c>
      <c r="H311" s="29" t="inlineStr">
        <is>
          <t>New in v4</t>
        </is>
      </c>
    </row>
    <row r="312" ht="30" customHeight="1">
      <c r="A312" s="28" t="inlineStr">
        <is>
          <t>CTO</t>
        </is>
      </c>
      <c r="B312" s="28" t="inlineStr">
        <is>
          <t>WF-03</t>
        </is>
      </c>
      <c r="C312" s="28" t="inlineStr">
        <is>
          <t>Access, master data &amp; controls</t>
        </is>
      </c>
      <c r="D312" s="28" t="inlineStr">
        <is>
          <t>Multi-step routing, SLA and escalation at run time</t>
        </is>
      </c>
      <c r="E312" s="29" t="inlineStr">
        <is>
          <t>R</t>
        </is>
      </c>
      <c r="F312" s="28" t="inlineStr">
        <is>
          <t>Does it: carries out "Multi-step routing, SLA and escalation at run time" in /inbox.</t>
        </is>
      </c>
      <c r="G312" s="28" t="inlineStr">
        <is>
          <t>/inbox</t>
        </is>
      </c>
      <c r="H312" s="29" t="inlineStr">
        <is>
          <t>New in v4</t>
        </is>
      </c>
    </row>
    <row r="313" ht="30" customHeight="1">
      <c r="A313" s="28" t="inlineStr">
        <is>
          <t>Project Manager</t>
        </is>
      </c>
      <c r="B313" s="28" t="inlineStr">
        <is>
          <t>WS-03</t>
        </is>
      </c>
      <c r="C313" s="28" t="inlineStr">
        <is>
          <t>Workspace &amp; access</t>
        </is>
      </c>
      <c r="D313" s="28" t="inlineStr">
        <is>
          <t>Sign in, lockout and password reset</t>
        </is>
      </c>
      <c r="E313" s="29" t="inlineStr">
        <is>
          <t>R</t>
        </is>
      </c>
      <c r="F313" s="28" t="inlineStr">
        <is>
          <t>Does it: carries out "Sign in, lockout and password reset" in /login, /reset-password.</t>
        </is>
      </c>
      <c r="G313" s="28" t="inlineStr">
        <is>
          <t>/login, /reset-password</t>
        </is>
      </c>
      <c r="H313" s="29" t="inlineStr">
        <is>
          <t>Extended</t>
        </is>
      </c>
    </row>
    <row r="314" ht="30" customHeight="1">
      <c r="A314" s="28" t="inlineStr">
        <is>
          <t>Project Manager</t>
        </is>
      </c>
      <c r="B314" s="28" t="inlineStr">
        <is>
          <t>WS-06</t>
        </is>
      </c>
      <c r="C314" s="28" t="inlineStr">
        <is>
          <t>Workspace &amp; access</t>
        </is>
      </c>
      <c r="D314" s="28" t="inlineStr">
        <is>
          <t>Approval delegation (cover during leave)</t>
        </is>
      </c>
      <c r="E314" s="29" t="inlineStr">
        <is>
          <t>R</t>
        </is>
      </c>
      <c r="F314" s="28" t="inlineStr">
        <is>
          <t>Does it: carries out "Approval delegation (cover during leave)" in /settings/delegations.</t>
        </is>
      </c>
      <c r="G314" s="28" t="inlineStr">
        <is>
          <t>/settings/delegations</t>
        </is>
      </c>
      <c r="H314" s="29" t="inlineStr">
        <is>
          <t>Extended</t>
        </is>
      </c>
    </row>
    <row r="315" ht="43" customHeight="1">
      <c r="A315" s="28" t="inlineStr">
        <is>
          <t>Project Manager</t>
        </is>
      </c>
      <c r="B315" s="28" t="inlineStr">
        <is>
          <t>WS-08</t>
        </is>
      </c>
      <c r="C315" s="28" t="inlineStr">
        <is>
          <t>Workspace &amp; access</t>
        </is>
      </c>
      <c r="D315" s="28" t="inlineStr">
        <is>
          <t>Security, two-step verification and personal settings</t>
        </is>
      </c>
      <c r="E315" s="29" t="inlineStr">
        <is>
          <t>R</t>
        </is>
      </c>
      <c r="F315" s="28" t="inlineStr">
        <is>
          <t>Does it: carries out "Security, two-step verification and personal settings" in /settings/security, /settings/profile, /settings/appearance.</t>
        </is>
      </c>
      <c r="G315" s="28" t="inlineStr">
        <is>
          <t>/settings/security, /settings/profile, /settings/appearance</t>
        </is>
      </c>
      <c r="H315" s="29" t="inlineStr">
        <is>
          <t>Live</t>
        </is>
      </c>
    </row>
    <row r="316" ht="30" customHeight="1">
      <c r="A316" s="28" t="inlineStr">
        <is>
          <t>Project Manager</t>
        </is>
      </c>
      <c r="B316" s="28" t="inlineStr">
        <is>
          <t>ORG-01</t>
        </is>
      </c>
      <c r="C316" s="28" t="inlineStr">
        <is>
          <t>Organisation &amp; master data</t>
        </is>
      </c>
      <c r="D316" s="28" t="inlineStr">
        <is>
          <t>Company rules and settings</t>
        </is>
      </c>
      <c r="E316" s="29" t="inlineStr">
        <is>
          <t>C</t>
        </is>
      </c>
      <c r="F316" s="28" t="inlineStr">
        <is>
          <t>Consulted: gives input, data or a decision when asked.</t>
        </is>
      </c>
      <c r="G316" s="28" t="inlineStr">
        <is>
          <t>/settings/company</t>
        </is>
      </c>
      <c r="H316" s="29" t="inlineStr">
        <is>
          <t>Extended</t>
        </is>
      </c>
    </row>
    <row r="317" ht="17" customHeight="1">
      <c r="A317" s="28" t="inlineStr">
        <is>
          <t>Project Manager</t>
        </is>
      </c>
      <c r="B317" s="28" t="inlineStr">
        <is>
          <t>SAL-04</t>
        </is>
      </c>
      <c r="C317" s="28" t="inlineStr">
        <is>
          <t>Sales &amp; CRM</t>
        </is>
      </c>
      <c r="D317" s="28" t="inlineStr">
        <is>
          <t>Close won and create the project</t>
        </is>
      </c>
      <c r="E317" s="29" t="inlineStr">
        <is>
          <t>C</t>
        </is>
      </c>
      <c r="F317" s="28" t="inlineStr">
        <is>
          <t>Consulted: gives input, data or a decision when asked.</t>
        </is>
      </c>
      <c r="G317" s="28" t="inlineStr">
        <is>
          <t>/sales/:id</t>
        </is>
      </c>
      <c r="H317" s="29" t="inlineStr">
        <is>
          <t>Live</t>
        </is>
      </c>
    </row>
    <row r="318" ht="30" customHeight="1">
      <c r="A318" s="28" t="inlineStr">
        <is>
          <t>Project Manager</t>
        </is>
      </c>
      <c r="B318" s="28" t="inlineStr">
        <is>
          <t>SAL-08</t>
        </is>
      </c>
      <c r="C318" s="28" t="inlineStr">
        <is>
          <t>Sales &amp; CRM</t>
        </is>
      </c>
      <c r="D318" s="28" t="inlineStr">
        <is>
          <t>Quotation and estimate builder</t>
        </is>
      </c>
      <c r="E318" s="29" t="inlineStr">
        <is>
          <t>C</t>
        </is>
      </c>
      <c r="F318" s="28" t="inlineStr">
        <is>
          <t>Planned (not built yet). Consulted: gives input, data or a decision when asked.</t>
        </is>
      </c>
      <c r="G318" s="28" t="inlineStr">
        <is>
          <t>-</t>
        </is>
      </c>
      <c r="H318" s="29" t="inlineStr">
        <is>
          <t>Planned</t>
        </is>
      </c>
    </row>
    <row r="319" ht="30" customHeight="1">
      <c r="A319" s="28" t="inlineStr">
        <is>
          <t>Project Manager</t>
        </is>
      </c>
      <c r="B319" s="28" t="inlineStr">
        <is>
          <t>CLI-01</t>
        </is>
      </c>
      <c r="C319" s="28" t="inlineStr">
        <is>
          <t>Client &amp; contract management</t>
        </is>
      </c>
      <c r="D319" s="28" t="inlineStr">
        <is>
          <t>Client master</t>
        </is>
      </c>
      <c r="E319" s="29" t="inlineStr">
        <is>
          <t>I</t>
        </is>
      </c>
      <c r="F319" s="28" t="inlineStr">
        <is>
          <t>Informed; sees the outcome in Clients &amp; contracts.</t>
        </is>
      </c>
      <c r="G319" s="28" t="inlineStr">
        <is>
          <t>/clients, /clients/:id</t>
        </is>
      </c>
      <c r="H319" s="29" t="inlineStr">
        <is>
          <t>New in v3</t>
        </is>
      </c>
    </row>
    <row r="320" ht="30" customHeight="1">
      <c r="A320" s="28" t="inlineStr">
        <is>
          <t>Project Manager</t>
        </is>
      </c>
      <c r="B320" s="28" t="inlineStr">
        <is>
          <t>CLI-02</t>
        </is>
      </c>
      <c r="C320" s="28" t="inlineStr">
        <is>
          <t>Client &amp; contract management</t>
        </is>
      </c>
      <c r="D320" s="28" t="inlineStr">
        <is>
          <t>Contract register</t>
        </is>
      </c>
      <c r="E320" s="29" t="inlineStr">
        <is>
          <t>C</t>
        </is>
      </c>
      <c r="F320" s="28" t="inlineStr">
        <is>
          <t>Consulted: gives input, data or a decision when asked.</t>
        </is>
      </c>
      <c r="G320" s="28" t="inlineStr">
        <is>
          <t>/clients/:id</t>
        </is>
      </c>
      <c r="H320" s="29" t="inlineStr">
        <is>
          <t>New in v3</t>
        </is>
      </c>
    </row>
    <row r="321" ht="30" customHeight="1">
      <c r="A321" s="28" t="inlineStr">
        <is>
          <t>Project Manager</t>
        </is>
      </c>
      <c r="B321" s="28" t="inlineStr">
        <is>
          <t>CLI-04</t>
        </is>
      </c>
      <c r="C321" s="28" t="inlineStr">
        <is>
          <t>Client &amp; contract management</t>
        </is>
      </c>
      <c r="D321" s="28" t="inlineStr">
        <is>
          <t>Client health and 360 view</t>
        </is>
      </c>
      <c r="E321" s="29" t="inlineStr">
        <is>
          <t>I</t>
        </is>
      </c>
      <c r="F321" s="28" t="inlineStr">
        <is>
          <t>Informed; sees the outcome in Clients &amp; contracts, CEO (via clients).</t>
        </is>
      </c>
      <c r="G321" s="28" t="inlineStr">
        <is>
          <t>/clients/:id</t>
        </is>
      </c>
      <c r="H321" s="29" t="inlineStr">
        <is>
          <t>New in v3</t>
        </is>
      </c>
    </row>
    <row r="322" ht="30" customHeight="1">
      <c r="A322" s="28" t="inlineStr">
        <is>
          <t>Project Manager</t>
        </is>
      </c>
      <c r="B322" s="28" t="inlineStr">
        <is>
          <t>CLI-05</t>
        </is>
      </c>
      <c r="C322" s="28" t="inlineStr">
        <is>
          <t>Client &amp; contract management</t>
        </is>
      </c>
      <c r="D322" s="28" t="inlineStr">
        <is>
          <t>Client portal and deliverable sign-off</t>
        </is>
      </c>
      <c r="E322" s="29" t="inlineStr">
        <is>
          <t>R</t>
        </is>
      </c>
      <c r="F322" s="28" t="inlineStr">
        <is>
          <t>Planned (not built yet). Does it: carries out "Client portal and deliverable sign-off".</t>
        </is>
      </c>
      <c r="G322" s="28" t="inlineStr">
        <is>
          <t>-</t>
        </is>
      </c>
      <c r="H322" s="29" t="inlineStr">
        <is>
          <t>Planned</t>
        </is>
      </c>
    </row>
    <row r="323" ht="30" customHeight="1">
      <c r="A323" s="28" t="inlineStr">
        <is>
          <t>Project Manager</t>
        </is>
      </c>
      <c r="B323" s="28" t="inlineStr">
        <is>
          <t>CLI-07</t>
        </is>
      </c>
      <c r="C323" s="28" t="inlineStr">
        <is>
          <t>Client &amp; contract management</t>
        </is>
      </c>
      <c r="D323" s="28" t="inlineStr">
        <is>
          <t>Customer satisfaction (CSAT / NPS)</t>
        </is>
      </c>
      <c r="E323" s="29" t="inlineStr">
        <is>
          <t>C</t>
        </is>
      </c>
      <c r="F323" s="28" t="inlineStr">
        <is>
          <t>Planned (not built yet). Consulted: gives input, data or a decision when asked.</t>
        </is>
      </c>
      <c r="G323" s="28" t="inlineStr">
        <is>
          <t>-</t>
        </is>
      </c>
      <c r="H323" s="29" t="inlineStr">
        <is>
          <t>Planned</t>
        </is>
      </c>
    </row>
    <row r="324" ht="17" customHeight="1">
      <c r="A324" s="28" t="inlineStr">
        <is>
          <t>Project Manager</t>
        </is>
      </c>
      <c r="B324" s="28" t="inlineStr">
        <is>
          <t>DEL-01</t>
        </is>
      </c>
      <c r="C324" s="28" t="inlineStr">
        <is>
          <t>Project delivery</t>
        </is>
      </c>
      <c r="D324" s="28" t="inlineStr">
        <is>
          <t>Create a project</t>
        </is>
      </c>
      <c r="E324" s="29" t="inlineStr">
        <is>
          <t>R</t>
        </is>
      </c>
      <c r="F324" s="28" t="inlineStr">
        <is>
          <t>Does it: carries out "Create a project" in /projects.</t>
        </is>
      </c>
      <c r="G324" s="28" t="inlineStr">
        <is>
          <t>/projects</t>
        </is>
      </c>
      <c r="H324" s="29" t="inlineStr">
        <is>
          <t>Live</t>
        </is>
      </c>
    </row>
    <row r="325" ht="30" customHeight="1">
      <c r="A325" s="28" t="inlineStr">
        <is>
          <t>Project Manager</t>
        </is>
      </c>
      <c r="B325" s="28" t="inlineStr">
        <is>
          <t>DEL-02</t>
        </is>
      </c>
      <c r="C325" s="28" t="inlineStr">
        <is>
          <t>Project delivery</t>
        </is>
      </c>
      <c r="D325" s="28" t="inlineStr">
        <is>
          <t>Milestones: plan, baseline and slip</t>
        </is>
      </c>
      <c r="E325" s="29" t="inlineStr">
        <is>
          <t>R</t>
        </is>
      </c>
      <c r="F325" s="28" t="inlineStr">
        <is>
          <t>Does it: carries out "Milestones: plan, baseline and slip" in /projects/:id/wbs.</t>
        </is>
      </c>
      <c r="G325" s="28" t="inlineStr">
        <is>
          <t>/projects/:id/wbs</t>
        </is>
      </c>
      <c r="H325" s="29" t="inlineStr">
        <is>
          <t>Live</t>
        </is>
      </c>
    </row>
    <row r="326" ht="30" customHeight="1">
      <c r="A326" s="28" t="inlineStr">
        <is>
          <t>Project Manager</t>
        </is>
      </c>
      <c r="B326" s="28" t="inlineStr">
        <is>
          <t>DEL-03</t>
        </is>
      </c>
      <c r="C326" s="28" t="inlineStr">
        <is>
          <t>Project delivery</t>
        </is>
      </c>
      <c r="D326" s="28" t="inlineStr">
        <is>
          <t>Build the WBS (tasks, owners, estimates, dependencies)</t>
        </is>
      </c>
      <c r="E326" s="29" t="inlineStr">
        <is>
          <t>R</t>
        </is>
      </c>
      <c r="F326" s="28" t="inlineStr">
        <is>
          <t>Does it: carries out "Build the WBS (tasks, owners, estimates, dependencies)" in /projects/:id/wbs.</t>
        </is>
      </c>
      <c r="G326" s="28" t="inlineStr">
        <is>
          <t>/projects/:id/wbs</t>
        </is>
      </c>
      <c r="H326" s="29" t="inlineStr">
        <is>
          <t>Extended</t>
        </is>
      </c>
    </row>
    <row r="327" ht="30" customHeight="1">
      <c r="A327" s="28" t="inlineStr">
        <is>
          <t>Project Manager</t>
        </is>
      </c>
      <c r="B327" s="28" t="inlineStr">
        <is>
          <t>DEL-04</t>
        </is>
      </c>
      <c r="C327" s="28" t="inlineStr">
        <is>
          <t>Project delivery</t>
        </is>
      </c>
      <c r="D327" s="28" t="inlineStr">
        <is>
          <t>Import a WBS from Excel/CSV</t>
        </is>
      </c>
      <c r="E327" s="29" t="inlineStr">
        <is>
          <t>R</t>
        </is>
      </c>
      <c r="F327" s="28" t="inlineStr">
        <is>
          <t>Does it: carries out "Import a WBS from Excel/CSV" in /projects/:id/import.</t>
        </is>
      </c>
      <c r="G327" s="28" t="inlineStr">
        <is>
          <t>/projects/:id/import</t>
        </is>
      </c>
      <c r="H327" s="29" t="inlineStr">
        <is>
          <t>Live</t>
        </is>
      </c>
    </row>
    <row r="328" ht="30" customHeight="1">
      <c r="A328" s="28" t="inlineStr">
        <is>
          <t>Project Manager</t>
        </is>
      </c>
      <c r="B328" s="28" t="inlineStr">
        <is>
          <t>DEL-05</t>
        </is>
      </c>
      <c r="C328" s="28" t="inlineStr">
        <is>
          <t>Project delivery</t>
        </is>
      </c>
      <c r="D328" s="28" t="inlineStr">
        <is>
          <t>Allocate people to milestones</t>
        </is>
      </c>
      <c r="E328" s="29" t="inlineStr">
        <is>
          <t>R</t>
        </is>
      </c>
      <c r="F328" s="28" t="inlineStr">
        <is>
          <t>Does it: carries out "Allocate people to milestones" in /projects/:id/team.</t>
        </is>
      </c>
      <c r="G328" s="28" t="inlineStr">
        <is>
          <t>/projects/:id/team</t>
        </is>
      </c>
      <c r="H328" s="29" t="inlineStr">
        <is>
          <t>Live</t>
        </is>
      </c>
    </row>
    <row r="329" ht="30" customHeight="1">
      <c r="A329" s="28" t="inlineStr">
        <is>
          <t>Project Manager</t>
        </is>
      </c>
      <c r="B329" s="28" t="inlineStr">
        <is>
          <t>DEL-06</t>
        </is>
      </c>
      <c r="C329" s="28" t="inlineStr">
        <is>
          <t>Project delivery</t>
        </is>
      </c>
      <c r="D329" s="28" t="inlineStr">
        <is>
          <t>Schedule, Gantt and critical path</t>
        </is>
      </c>
      <c r="E329" s="29" t="inlineStr">
        <is>
          <t>R</t>
        </is>
      </c>
      <c r="F329" s="28" t="inlineStr">
        <is>
          <t>Does it: carries out "Schedule, Gantt and critical path" in /projects/:id/schedule.</t>
        </is>
      </c>
      <c r="G329" s="28" t="inlineStr">
        <is>
          <t>/projects/:id/schedule</t>
        </is>
      </c>
      <c r="H329" s="29" t="inlineStr">
        <is>
          <t>Live</t>
        </is>
      </c>
    </row>
    <row r="330" ht="17" customHeight="1">
      <c r="A330" s="28" t="inlineStr">
        <is>
          <t>Project Manager</t>
        </is>
      </c>
      <c r="B330" s="28" t="inlineStr">
        <is>
          <t>DEL-07</t>
        </is>
      </c>
      <c r="C330" s="28" t="inlineStr">
        <is>
          <t>Project delivery</t>
        </is>
      </c>
      <c r="D330" s="28" t="inlineStr">
        <is>
          <t>Project status lifecycle</t>
        </is>
      </c>
      <c r="E330" s="29" t="inlineStr">
        <is>
          <t>R</t>
        </is>
      </c>
      <c r="F330" s="28" t="inlineStr">
        <is>
          <t>Does it: carries out "Project status lifecycle" in /projects/:id.</t>
        </is>
      </c>
      <c r="G330" s="28" t="inlineStr">
        <is>
          <t>/projects/:id</t>
        </is>
      </c>
      <c r="H330" s="29" t="inlineStr">
        <is>
          <t>Live</t>
        </is>
      </c>
    </row>
    <row r="331" ht="17" customHeight="1">
      <c r="A331" s="28" t="inlineStr">
        <is>
          <t>Project Manager</t>
        </is>
      </c>
      <c r="B331" s="28" t="inlineStr">
        <is>
          <t>DEL-08</t>
        </is>
      </c>
      <c r="C331" s="28" t="inlineStr">
        <is>
          <t>Project delivery</t>
        </is>
      </c>
      <c r="D331" s="28" t="inlineStr">
        <is>
          <t>Change requests</t>
        </is>
      </c>
      <c r="E331" s="29" t="inlineStr">
        <is>
          <t>R</t>
        </is>
      </c>
      <c r="F331" s="28" t="inlineStr">
        <is>
          <t>Does it: carries out "Change requests" in /projects/:id/changes.</t>
        </is>
      </c>
      <c r="G331" s="28" t="inlineStr">
        <is>
          <t>/projects/:id/changes</t>
        </is>
      </c>
      <c r="H331" s="29" t="inlineStr">
        <is>
          <t>Extended</t>
        </is>
      </c>
    </row>
    <row r="332" ht="30" customHeight="1">
      <c r="A332" s="28" t="inlineStr">
        <is>
          <t>Project Manager</t>
        </is>
      </c>
      <c r="B332" s="28" t="inlineStr">
        <is>
          <t>DEL-09</t>
        </is>
      </c>
      <c r="C332" s="28" t="inlineStr">
        <is>
          <t>Project delivery</t>
        </is>
      </c>
      <c r="D332" s="28" t="inlineStr">
        <is>
          <t>Margin and health monitoring</t>
        </is>
      </c>
      <c r="E332" s="29" t="inlineStr">
        <is>
          <t>I</t>
        </is>
      </c>
      <c r="F332" s="28" t="inlineStr">
        <is>
          <t>Informed; sees the outcome in PM Home (delivery control), CEO Home (project health), Insights.</t>
        </is>
      </c>
      <c r="G332" s="28" t="inlineStr">
        <is>
          <t>/projects/:id/money</t>
        </is>
      </c>
      <c r="H332" s="29" t="inlineStr">
        <is>
          <t>Live</t>
        </is>
      </c>
    </row>
    <row r="333" ht="30" customHeight="1">
      <c r="A333" s="28" t="inlineStr">
        <is>
          <t>Project Manager</t>
        </is>
      </c>
      <c r="B333" s="28" t="inlineStr">
        <is>
          <t>DEL-10</t>
        </is>
      </c>
      <c r="C333" s="28" t="inlineStr">
        <is>
          <t>Project delivery</t>
        </is>
      </c>
      <c r="D333" s="28" t="inlineStr">
        <is>
          <t>Client status report (money-free view)</t>
        </is>
      </c>
      <c r="E333" s="29" t="inlineStr">
        <is>
          <t>R</t>
        </is>
      </c>
      <c r="F333" s="28" t="inlineStr">
        <is>
          <t>Does it: carries out "Client status report (money-free view)" in /projects/:id/client-view.</t>
        </is>
      </c>
      <c r="G333" s="28" t="inlineStr">
        <is>
          <t>/projects/:id/client-view</t>
        </is>
      </c>
      <c r="H333" s="29" t="inlineStr">
        <is>
          <t>Live</t>
        </is>
      </c>
    </row>
    <row r="334" ht="17" customHeight="1">
      <c r="A334" s="28" t="inlineStr">
        <is>
          <t>Project Manager</t>
        </is>
      </c>
      <c r="B334" s="28" t="inlineStr">
        <is>
          <t>DEL-11</t>
        </is>
      </c>
      <c r="C334" s="28" t="inlineStr">
        <is>
          <t>Project delivery</t>
        </is>
      </c>
      <c r="D334" s="28" t="inlineStr">
        <is>
          <t>Project closure</t>
        </is>
      </c>
      <c r="E334" s="29" t="inlineStr">
        <is>
          <t>R</t>
        </is>
      </c>
      <c r="F334" s="28" t="inlineStr">
        <is>
          <t>Does it: carries out "Project closure" in /projects/:id.</t>
        </is>
      </c>
      <c r="G334" s="28" t="inlineStr">
        <is>
          <t>/projects/:id</t>
        </is>
      </c>
      <c r="H334" s="29" t="inlineStr">
        <is>
          <t>Live</t>
        </is>
      </c>
    </row>
    <row r="335" ht="17" customHeight="1">
      <c r="A335" s="28" t="inlineStr">
        <is>
          <t>Project Manager</t>
        </is>
      </c>
      <c r="B335" s="28" t="inlineStr">
        <is>
          <t>DEL-12</t>
        </is>
      </c>
      <c r="C335" s="28" t="inlineStr">
        <is>
          <t>Project delivery</t>
        </is>
      </c>
      <c r="D335" s="28" t="inlineStr">
        <is>
          <t>Resource requisition</t>
        </is>
      </c>
      <c r="E335" s="29" t="inlineStr">
        <is>
          <t>R</t>
        </is>
      </c>
      <c r="F335" s="28" t="inlineStr">
        <is>
          <t>Planned (not built yet). Does it: carries out "Resource requisition".</t>
        </is>
      </c>
      <c r="G335" s="28" t="inlineStr">
        <is>
          <t>-</t>
        </is>
      </c>
      <c r="H335" s="29" t="inlineStr">
        <is>
          <t>Planned</t>
        </is>
      </c>
    </row>
    <row r="336" ht="30" customHeight="1">
      <c r="A336" s="28" t="inlineStr">
        <is>
          <t>Project Manager</t>
        </is>
      </c>
      <c r="B336" s="28" t="inlineStr">
        <is>
          <t>DEL-13</t>
        </is>
      </c>
      <c r="C336" s="28" t="inlineStr">
        <is>
          <t>Project delivery</t>
        </is>
      </c>
      <c r="D336" s="28" t="inlineStr">
        <is>
          <t>Capacity planning and forecasting</t>
        </is>
      </c>
      <c r="E336" s="29" t="inlineStr">
        <is>
          <t>R</t>
        </is>
      </c>
      <c r="F336" s="28" t="inlineStr">
        <is>
          <t>Planned (not built yet). Does it: carries out "Capacity planning and forecasting".</t>
        </is>
      </c>
      <c r="G336" s="28" t="inlineStr">
        <is>
          <t>-</t>
        </is>
      </c>
      <c r="H336" s="29" t="inlineStr">
        <is>
          <t>Planned</t>
        </is>
      </c>
    </row>
    <row r="337" ht="30" customHeight="1">
      <c r="A337" s="28" t="inlineStr">
        <is>
          <t>Project Manager</t>
        </is>
      </c>
      <c r="B337" s="28" t="inlineStr">
        <is>
          <t>DEL-14</t>
        </is>
      </c>
      <c r="C337" s="28" t="inlineStr">
        <is>
          <t>Project delivery</t>
        </is>
      </c>
      <c r="D337" s="28" t="inlineStr">
        <is>
          <t>Support / AMS ticketing with SLA</t>
        </is>
      </c>
      <c r="E337" s="29" t="inlineStr">
        <is>
          <t>R</t>
        </is>
      </c>
      <c r="F337" s="28" t="inlineStr">
        <is>
          <t>Planned (not built yet). Does it: carries out "Support / AMS ticketing with SLA".</t>
        </is>
      </c>
      <c r="G337" s="28" t="inlineStr">
        <is>
          <t>-</t>
        </is>
      </c>
      <c r="H337" s="29" t="inlineStr">
        <is>
          <t>Planned</t>
        </is>
      </c>
    </row>
    <row r="338" ht="17" customHeight="1">
      <c r="A338" s="28" t="inlineStr">
        <is>
          <t>Project Manager</t>
        </is>
      </c>
      <c r="B338" s="28" t="inlineStr">
        <is>
          <t>TSK-01</t>
        </is>
      </c>
      <c r="C338" s="28" t="inlineStr">
        <is>
          <t>Task governance</t>
        </is>
      </c>
      <c r="D338" s="28" t="inlineStr">
        <is>
          <t>Manager assigns a task</t>
        </is>
      </c>
      <c r="E338" s="29" t="inlineStr">
        <is>
          <t>R</t>
        </is>
      </c>
      <c r="F338" s="28" t="inlineStr">
        <is>
          <t>Assigns tasks to anyone on projects they manage.</t>
        </is>
      </c>
      <c r="G338" s="28" t="inlineStr">
        <is>
          <t>/team-tasks?tab=assign</t>
        </is>
      </c>
      <c r="H338" s="29" t="inlineStr">
        <is>
          <t>New in v3</t>
        </is>
      </c>
    </row>
    <row r="339" ht="30" customHeight="1">
      <c r="A339" s="28" t="inlineStr">
        <is>
          <t>Project Manager</t>
        </is>
      </c>
      <c r="B339" s="28" t="inlineStr">
        <is>
          <t>TSK-02</t>
        </is>
      </c>
      <c r="C339" s="28" t="inlineStr">
        <is>
          <t>Task governance</t>
        </is>
      </c>
      <c r="D339" s="28" t="inlineStr">
        <is>
          <t>Work my tasks (start, progress, covering)</t>
        </is>
      </c>
      <c r="E339" s="29" t="inlineStr">
        <is>
          <t>C</t>
        </is>
      </c>
      <c r="F339" s="28" t="inlineStr">
        <is>
          <t>Consulted: gives input, data or a decision when asked.</t>
        </is>
      </c>
      <c r="G339" s="28" t="inlineStr">
        <is>
          <t>/my-tasks, task drawer</t>
        </is>
      </c>
      <c r="H339" s="29" t="inlineStr">
        <is>
          <t>Live</t>
        </is>
      </c>
    </row>
    <row r="340" ht="30" customHeight="1">
      <c r="A340" s="28" t="inlineStr">
        <is>
          <t>Project Manager</t>
        </is>
      </c>
      <c r="B340" s="28" t="inlineStr">
        <is>
          <t>TSK-03</t>
        </is>
      </c>
      <c r="C340" s="28" t="inlineStr">
        <is>
          <t>Task governance</t>
        </is>
      </c>
      <c r="D340" s="28" t="inlineStr">
        <is>
          <t>Report a blocker; comments and @mentions</t>
        </is>
      </c>
      <c r="E340" s="30" t="inlineStr">
        <is>
          <t>A</t>
        </is>
      </c>
      <c r="F340" s="28" t="inlineStr">
        <is>
          <t>Approves / signs off and owns the outcome; sees results in Insights &gt; Blocked, PM Home (Blocked), Employee Home (Blockers).</t>
        </is>
      </c>
      <c r="G340" s="28" t="inlineStr">
        <is>
          <t>Task drawer</t>
        </is>
      </c>
      <c r="H340" s="29" t="inlineStr">
        <is>
          <t>Live</t>
        </is>
      </c>
    </row>
    <row r="341" ht="30" customHeight="1">
      <c r="A341" s="28" t="inlineStr">
        <is>
          <t>Project Manager</t>
        </is>
      </c>
      <c r="B341" s="28" t="inlineStr">
        <is>
          <t>TSK-04</t>
        </is>
      </c>
      <c r="C341" s="28" t="inlineStr">
        <is>
          <t>Task governance</t>
        </is>
      </c>
      <c r="D341" s="28" t="inlineStr">
        <is>
          <t>Submit task for review</t>
        </is>
      </c>
      <c r="E341" s="29" t="inlineStr">
        <is>
          <t>C</t>
        </is>
      </c>
      <c r="F341" s="28" t="inlineStr">
        <is>
          <t>Consulted: gives input, data or a decision when asked.</t>
        </is>
      </c>
      <c r="G341" s="28" t="inlineStr">
        <is>
          <t>Task drawer &gt; Submit for review</t>
        </is>
      </c>
      <c r="H341" s="29" t="inlineStr">
        <is>
          <t>New in v3</t>
        </is>
      </c>
    </row>
    <row r="342" ht="30" customHeight="1">
      <c r="A342" s="28" t="inlineStr">
        <is>
          <t>Project Manager</t>
        </is>
      </c>
      <c r="B342" s="28" t="inlineStr">
        <is>
          <t>TSK-05</t>
        </is>
      </c>
      <c r="C342" s="28" t="inlineStr">
        <is>
          <t>Task governance</t>
        </is>
      </c>
      <c r="D342" s="28" t="inlineStr">
        <is>
          <t>Delay reason capture</t>
        </is>
      </c>
      <c r="E342" s="29" t="inlineStr">
        <is>
          <t>I</t>
        </is>
      </c>
      <c r="F342" s="28" t="inlineStr">
        <is>
          <t>Informed; sees the outcome in Team tasks &gt; Performance (top reasons), Approvals inbox, My performance; Reports / Ask AI (tasks, task_reviews).</t>
        </is>
      </c>
      <c r="G342" s="28" t="inlineStr">
        <is>
          <t>Task drawer &gt; Submit for review</t>
        </is>
      </c>
      <c r="H342" s="29" t="inlineStr">
        <is>
          <t>New in v3</t>
        </is>
      </c>
    </row>
    <row r="343" ht="30" customHeight="1">
      <c r="A343" s="28" t="inlineStr">
        <is>
          <t>Project Manager</t>
        </is>
      </c>
      <c r="B343" s="28" t="inlineStr">
        <is>
          <t>TSK-06</t>
        </is>
      </c>
      <c r="C343" s="28" t="inlineStr">
        <is>
          <t>Task governance</t>
        </is>
      </c>
      <c r="D343" s="28" t="inlineStr">
        <is>
          <t>Approve task with quality rating</t>
        </is>
      </c>
      <c r="E343" s="29" t="inlineStr">
        <is>
          <t>R</t>
        </is>
      </c>
      <c r="F343" s="28" t="inlineStr">
        <is>
          <t>Reviews project tasks by default.</t>
        </is>
      </c>
      <c r="G343" s="28" t="inlineStr">
        <is>
          <t>/inbox, /team-tasks?tab=review, task drawer</t>
        </is>
      </c>
      <c r="H343" s="29" t="inlineStr">
        <is>
          <t>Extended</t>
        </is>
      </c>
    </row>
    <row r="344" ht="17" customHeight="1">
      <c r="A344" s="28" t="inlineStr">
        <is>
          <t>Project Manager</t>
        </is>
      </c>
      <c r="B344" s="28" t="inlineStr">
        <is>
          <t>TSK-07</t>
        </is>
      </c>
      <c r="C344" s="28" t="inlineStr">
        <is>
          <t>Task governance</t>
        </is>
      </c>
      <c r="D344" s="28" t="inlineStr">
        <is>
          <t>Send back with reason</t>
        </is>
      </c>
      <c r="E344" s="29" t="inlineStr">
        <is>
          <t>R</t>
        </is>
      </c>
      <c r="F344" s="28" t="inlineStr">
        <is>
          <t>Does it: carries out "Send back with reason" in /inbox, task drawer.</t>
        </is>
      </c>
      <c r="G344" s="28" t="inlineStr">
        <is>
          <t>/inbox, task drawer</t>
        </is>
      </c>
      <c r="H344" s="29" t="inlineStr">
        <is>
          <t>Extended</t>
        </is>
      </c>
    </row>
    <row r="345" ht="17" customHeight="1">
      <c r="A345" s="28" t="inlineStr">
        <is>
          <t>Project Manager</t>
        </is>
      </c>
      <c r="B345" s="28" t="inlineStr">
        <is>
          <t>TSK-08</t>
        </is>
      </c>
      <c r="C345" s="28" t="inlineStr">
        <is>
          <t>Task governance</t>
        </is>
      </c>
      <c r="D345" s="28" t="inlineStr">
        <is>
          <t>Reschedule a task with reason</t>
        </is>
      </c>
      <c r="E345" s="29" t="inlineStr">
        <is>
          <t>R</t>
        </is>
      </c>
      <c r="F345" s="28" t="inlineStr">
        <is>
          <t>Does it: carries out "Reschedule a task with reason" in Task drawer.</t>
        </is>
      </c>
      <c r="G345" s="28" t="inlineStr">
        <is>
          <t>Task drawer</t>
        </is>
      </c>
      <c r="H345" s="29" t="inlineStr">
        <is>
          <t>New in v3</t>
        </is>
      </c>
    </row>
    <row r="346" ht="43" customHeight="1">
      <c r="A346" s="28" t="inlineStr">
        <is>
          <t>Project Manager</t>
        </is>
      </c>
      <c r="B346" s="28" t="inlineStr">
        <is>
          <t>TSK-09</t>
        </is>
      </c>
      <c r="C346" s="28" t="inlineStr">
        <is>
          <t>Task governance</t>
        </is>
      </c>
      <c r="D346" s="28" t="inlineStr">
        <is>
          <t>Timeliness: early, on time or late</t>
        </is>
      </c>
      <c r="E346" s="29" t="inlineStr">
        <is>
          <t>I</t>
        </is>
      </c>
      <c r="F346" s="28" t="inlineStr">
        <is>
          <t>Informed; sees the outcome in CEO Home, HR &amp; operations Home, PM Home, Employee Home (task delivery panels), Team tasks &gt; Performance, Scorecard, Appraisals, Reports / Ask AI (tasks.timeliness).</t>
        </is>
      </c>
      <c r="G346" s="28" t="inlineStr">
        <is>
          <t>Computed (performance.ts)</t>
        </is>
      </c>
      <c r="H346" s="29" t="inlineStr">
        <is>
          <t>New in v3</t>
        </is>
      </c>
    </row>
    <row r="347" ht="17" customHeight="1">
      <c r="A347" s="28" t="inlineStr">
        <is>
          <t>Project Manager</t>
        </is>
      </c>
      <c r="B347" s="28" t="inlineStr">
        <is>
          <t>TSK-10</t>
        </is>
      </c>
      <c r="C347" s="28" t="inlineStr">
        <is>
          <t>Task governance</t>
        </is>
      </c>
      <c r="D347" s="28" t="inlineStr">
        <is>
          <t>Team task monitoring</t>
        </is>
      </c>
      <c r="E347" s="29" t="inlineStr">
        <is>
          <t>R</t>
        </is>
      </c>
      <c r="F347" s="28" t="inlineStr">
        <is>
          <t>Does it: carries out "Team task monitoring" in /team-tasks?tab=team.</t>
        </is>
      </c>
      <c r="G347" s="28" t="inlineStr">
        <is>
          <t>/team-tasks?tab=team</t>
        </is>
      </c>
      <c r="H347" s="29" t="inlineStr">
        <is>
          <t>New in v3</t>
        </is>
      </c>
    </row>
    <row r="348" ht="30" customHeight="1">
      <c r="A348" s="28" t="inlineStr">
        <is>
          <t>Project Manager</t>
        </is>
      </c>
      <c r="B348" s="28" t="inlineStr">
        <is>
          <t>TSK-11</t>
        </is>
      </c>
      <c r="C348" s="28" t="inlineStr">
        <is>
          <t>Task governance</t>
        </is>
      </c>
      <c r="D348" s="28" t="inlineStr">
        <is>
          <t>Team and company delivery performance</t>
        </is>
      </c>
      <c r="E348" s="29" t="inlineStr">
        <is>
          <t>R</t>
        </is>
      </c>
      <c r="F348" s="28" t="inlineStr">
        <is>
          <t>Does it: carries out "Team and company delivery performance" in /team-tasks?tab=performance, /home.</t>
        </is>
      </c>
      <c r="G348" s="28" t="inlineStr">
        <is>
          <t>/team-tasks?tab=performance, /home</t>
        </is>
      </c>
      <c r="H348" s="29" t="inlineStr">
        <is>
          <t>New in v3</t>
        </is>
      </c>
    </row>
    <row r="349" ht="17" customHeight="1">
      <c r="A349" s="28" t="inlineStr">
        <is>
          <t>Project Manager</t>
        </is>
      </c>
      <c r="B349" s="28" t="inlineStr">
        <is>
          <t>TIM-05</t>
        </is>
      </c>
      <c r="C349" s="28" t="inlineStr">
        <is>
          <t>Time &amp; attendance</t>
        </is>
      </c>
      <c r="D349" s="28" t="inlineStr">
        <is>
          <t>Daily update with proof</t>
        </is>
      </c>
      <c r="E349" s="29" t="inlineStr">
        <is>
          <t>C</t>
        </is>
      </c>
      <c r="F349" s="28" t="inlineStr">
        <is>
          <t>Consulted: gives input, data or a decision when asked.</t>
        </is>
      </c>
      <c r="G349" s="28" t="inlineStr">
        <is>
          <t>/daily</t>
        </is>
      </c>
      <c r="H349" s="29" t="inlineStr">
        <is>
          <t>Live</t>
        </is>
      </c>
    </row>
    <row r="350" ht="30" customHeight="1">
      <c r="A350" s="28" t="inlineStr">
        <is>
          <t>Project Manager</t>
        </is>
      </c>
      <c r="B350" s="28" t="inlineStr">
        <is>
          <t>DOC-01</t>
        </is>
      </c>
      <c r="C350" s="28" t="inlineStr">
        <is>
          <t>Documents &amp; knowledge</t>
        </is>
      </c>
      <c r="D350" s="28" t="inlineStr">
        <is>
          <t>PM uploads a project document</t>
        </is>
      </c>
      <c r="E350" s="29" t="inlineStr">
        <is>
          <t>R</t>
        </is>
      </c>
      <c r="F350" s="28" t="inlineStr">
        <is>
          <t>Does it: carries out "PM uploads a project document" in /projects/:id/documents.</t>
        </is>
      </c>
      <c r="G350" s="28" t="inlineStr">
        <is>
          <t>/projects/:id/documents</t>
        </is>
      </c>
      <c r="H350" s="29" t="inlineStr">
        <is>
          <t>New in v3</t>
        </is>
      </c>
    </row>
    <row r="351" ht="30" customHeight="1">
      <c r="A351" s="28" t="inlineStr">
        <is>
          <t>Project Manager</t>
        </is>
      </c>
      <c r="B351" s="28" t="inlineStr">
        <is>
          <t>DOC-02</t>
        </is>
      </c>
      <c r="C351" s="28" t="inlineStr">
        <is>
          <t>Documents &amp; knowledge</t>
        </is>
      </c>
      <c r="D351" s="28" t="inlineStr">
        <is>
          <t>Employees access project documents</t>
        </is>
      </c>
      <c r="E351" s="29" t="inlineStr">
        <is>
          <t>R</t>
        </is>
      </c>
      <c r="F351" s="28" t="inlineStr">
        <is>
          <t>Does it: carries out "Employees access project documents" in /documents, /projects/:id/documents.</t>
        </is>
      </c>
      <c r="G351" s="28" t="inlineStr">
        <is>
          <t>/documents, /projects/:id/documents</t>
        </is>
      </c>
      <c r="H351" s="29" t="inlineStr">
        <is>
          <t>New in v3</t>
        </is>
      </c>
    </row>
    <row r="352" ht="17" customHeight="1">
      <c r="A352" s="28" t="inlineStr">
        <is>
          <t>Project Manager</t>
        </is>
      </c>
      <c r="B352" s="28" t="inlineStr">
        <is>
          <t>DOC-03</t>
        </is>
      </c>
      <c r="C352" s="28" t="inlineStr">
        <is>
          <t>Documents &amp; knowledge</t>
        </is>
      </c>
      <c r="D352" s="28" t="inlineStr">
        <is>
          <t>New version, archive and restore</t>
        </is>
      </c>
      <c r="E352" s="29" t="inlineStr">
        <is>
          <t>R</t>
        </is>
      </c>
      <c r="F352" s="28" t="inlineStr">
        <is>
          <t>Does it: carries out "New version, archive and restore" in /documents.</t>
        </is>
      </c>
      <c r="G352" s="28" t="inlineStr">
        <is>
          <t>/documents</t>
        </is>
      </c>
      <c r="H352" s="29" t="inlineStr">
        <is>
          <t>New in v3</t>
        </is>
      </c>
    </row>
    <row r="353" ht="17" customHeight="1">
      <c r="A353" s="28" t="inlineStr">
        <is>
          <t>Project Manager</t>
        </is>
      </c>
      <c r="B353" s="28" t="inlineStr">
        <is>
          <t>DOC-04</t>
        </is>
      </c>
      <c r="C353" s="28" t="inlineStr">
        <is>
          <t>Documents &amp; knowledge</t>
        </is>
      </c>
      <c r="D353" s="28" t="inlineStr">
        <is>
          <t>Must-read acknowledgement</t>
        </is>
      </c>
      <c r="E353" s="29" t="inlineStr">
        <is>
          <t>R</t>
        </is>
      </c>
      <c r="F353" s="28" t="inlineStr">
        <is>
          <t>Does it: carries out "Must-read acknowledgement" in /inbox, /documents.</t>
        </is>
      </c>
      <c r="G353" s="28" t="inlineStr">
        <is>
          <t>/inbox, /documents</t>
        </is>
      </c>
      <c r="H353" s="29" t="inlineStr">
        <is>
          <t>New in v3</t>
        </is>
      </c>
    </row>
    <row r="354" ht="30" customHeight="1">
      <c r="A354" s="28" t="inlineStr">
        <is>
          <t>Project Manager</t>
        </is>
      </c>
      <c r="B354" s="28" t="inlineStr">
        <is>
          <t>DOC-06</t>
        </is>
      </c>
      <c r="C354" s="28" t="inlineStr">
        <is>
          <t>Documents &amp; knowledge</t>
        </is>
      </c>
      <c r="D354" s="28" t="inlineStr">
        <is>
          <t>Knowledge base</t>
        </is>
      </c>
      <c r="E354" s="29" t="inlineStr">
        <is>
          <t>C</t>
        </is>
      </c>
      <c r="F354" s="28" t="inlineStr">
        <is>
          <t>Planned (not built yet). Consulted: gives input, data or a decision when asked.</t>
        </is>
      </c>
      <c r="G354" s="28" t="inlineStr">
        <is>
          <t>-</t>
        </is>
      </c>
      <c r="H354" s="29" t="inlineStr">
        <is>
          <t>Planned</t>
        </is>
      </c>
    </row>
    <row r="355" ht="17" customHeight="1">
      <c r="A355" s="28" t="inlineStr">
        <is>
          <t>Project Manager</t>
        </is>
      </c>
      <c r="B355" s="28" t="inlineStr">
        <is>
          <t>HR-01</t>
        </is>
      </c>
      <c r="C355" s="28" t="inlineStr">
        <is>
          <t>People &amp; HR</t>
        </is>
      </c>
      <c r="D355" s="28" t="inlineStr">
        <is>
          <t>Hiring openings</t>
        </is>
      </c>
      <c r="E355" s="29" t="inlineStr">
        <is>
          <t>R</t>
        </is>
      </c>
      <c r="F355" s="28" t="inlineStr">
        <is>
          <t>Does it: carries out "Hiring openings" in /openings.</t>
        </is>
      </c>
      <c r="G355" s="28" t="inlineStr">
        <is>
          <t>/openings</t>
        </is>
      </c>
      <c r="H355" s="29" t="inlineStr">
        <is>
          <t>Extended</t>
        </is>
      </c>
    </row>
    <row r="356" ht="17" customHeight="1">
      <c r="A356" s="28" t="inlineStr">
        <is>
          <t>Project Manager</t>
        </is>
      </c>
      <c r="B356" s="28" t="inlineStr">
        <is>
          <t>HR-02</t>
        </is>
      </c>
      <c r="C356" s="28" t="inlineStr">
        <is>
          <t>People &amp; HR</t>
        </is>
      </c>
      <c r="D356" s="28" t="inlineStr">
        <is>
          <t>Candidate pipeline</t>
        </is>
      </c>
      <c r="E356" s="29" t="inlineStr">
        <is>
          <t>C</t>
        </is>
      </c>
      <c r="F356" s="28" t="inlineStr">
        <is>
          <t>Consulted: gives input, data or a decision when asked.</t>
        </is>
      </c>
      <c r="G356" s="28" t="inlineStr">
        <is>
          <t>/recruitment</t>
        </is>
      </c>
      <c r="H356" s="29" t="inlineStr">
        <is>
          <t>New in v3</t>
        </is>
      </c>
    </row>
    <row r="357" ht="17" customHeight="1">
      <c r="A357" s="28" t="inlineStr">
        <is>
          <t>Project Manager</t>
        </is>
      </c>
      <c r="B357" s="28" t="inlineStr">
        <is>
          <t>HR-03</t>
        </is>
      </c>
      <c r="C357" s="28" t="inlineStr">
        <is>
          <t>People &amp; HR</t>
        </is>
      </c>
      <c r="D357" s="28" t="inlineStr">
        <is>
          <t>Interviews and feedback</t>
        </is>
      </c>
      <c r="E357" s="29" t="inlineStr">
        <is>
          <t>R</t>
        </is>
      </c>
      <c r="F357" s="28" t="inlineStr">
        <is>
          <t>Interviews (technical round) and gives feedback.</t>
        </is>
      </c>
      <c r="G357" s="28" t="inlineStr">
        <is>
          <t>/recruitment</t>
        </is>
      </c>
      <c r="H357" s="29" t="inlineStr">
        <is>
          <t>New in v3</t>
        </is>
      </c>
    </row>
    <row r="358" ht="17" customHeight="1">
      <c r="A358" s="28" t="inlineStr">
        <is>
          <t>Project Manager</t>
        </is>
      </c>
      <c r="B358" s="28" t="inlineStr">
        <is>
          <t>HR-04</t>
        </is>
      </c>
      <c r="C358" s="28" t="inlineStr">
        <is>
          <t>People &amp; HR</t>
        </is>
      </c>
      <c r="D358" s="28" t="inlineStr">
        <is>
          <t>Make an offer, or reject a candidate</t>
        </is>
      </c>
      <c r="E358" s="29" t="inlineStr">
        <is>
          <t>C</t>
        </is>
      </c>
      <c r="F358" s="28" t="inlineStr">
        <is>
          <t>Consulted: gives input, data or a decision when asked.</t>
        </is>
      </c>
      <c r="G358" s="28" t="inlineStr">
        <is>
          <t>/recruitment</t>
        </is>
      </c>
      <c r="H358" s="29" t="inlineStr">
        <is>
          <t>New in v3</t>
        </is>
      </c>
    </row>
    <row r="359" ht="30" customHeight="1">
      <c r="A359" s="28" t="inlineStr">
        <is>
          <t>Project Manager</t>
        </is>
      </c>
      <c r="B359" s="28" t="inlineStr">
        <is>
          <t>HR-05</t>
        </is>
      </c>
      <c r="C359" s="28" t="inlineStr">
        <is>
          <t>People &amp; HR</t>
        </is>
      </c>
      <c r="D359" s="28" t="inlineStr">
        <is>
          <t>Hire: invite and start onboarding</t>
        </is>
      </c>
      <c r="E359" s="29" t="inlineStr">
        <is>
          <t>I</t>
        </is>
      </c>
      <c r="F359" s="28" t="inlineStr">
        <is>
          <t>Informed (NTF-14 new joiner (HR); NTF-14 new team member (manager)); sees the outcome in HR Home, People; Reports / Ask AI (candidates).</t>
        </is>
      </c>
      <c r="G359" s="28" t="inlineStr">
        <is>
          <t>/recruitment</t>
        </is>
      </c>
      <c r="H359" s="29" t="inlineStr">
        <is>
          <t>New in v3</t>
        </is>
      </c>
    </row>
    <row r="360" ht="30" customHeight="1">
      <c r="A360" s="28" t="inlineStr">
        <is>
          <t>Project Manager</t>
        </is>
      </c>
      <c r="B360" s="28" t="inlineStr">
        <is>
          <t>HR-08</t>
        </is>
      </c>
      <c r="C360" s="28" t="inlineStr">
        <is>
          <t>People &amp; HR</t>
        </is>
      </c>
      <c r="D360" s="28" t="inlineStr">
        <is>
          <t>Goals and KRAs</t>
        </is>
      </c>
      <c r="E360" s="29" t="inlineStr">
        <is>
          <t>I</t>
        </is>
      </c>
      <c r="F360" s="28" t="inlineStr">
        <is>
          <t>Informed (NTF-05 goal approved); sees the outcome in My performance, Appraisal.</t>
        </is>
      </c>
      <c r="G360" s="28" t="inlineStr">
        <is>
          <t>/performance</t>
        </is>
      </c>
      <c r="H360" s="29" t="inlineStr">
        <is>
          <t>New in v3</t>
        </is>
      </c>
    </row>
    <row r="361" ht="17" customHeight="1">
      <c r="A361" s="28" t="inlineStr">
        <is>
          <t>Project Manager</t>
        </is>
      </c>
      <c r="B361" s="28" t="inlineStr">
        <is>
          <t>HR-09</t>
        </is>
      </c>
      <c r="C361" s="28" t="inlineStr">
        <is>
          <t>People &amp; HR</t>
        </is>
      </c>
      <c r="D361" s="28" t="inlineStr">
        <is>
          <t>Continuous feedback and praise</t>
        </is>
      </c>
      <c r="E361" s="29" t="inlineStr">
        <is>
          <t>C</t>
        </is>
      </c>
      <c r="F361" s="28" t="inlineStr">
        <is>
          <t>Consulted: gives input, data or a decision when asked.</t>
        </is>
      </c>
      <c r="G361" s="28" t="inlineStr">
        <is>
          <t>/performance</t>
        </is>
      </c>
      <c r="H361" s="29" t="inlineStr">
        <is>
          <t>New in v3</t>
        </is>
      </c>
    </row>
    <row r="362" ht="30" customHeight="1">
      <c r="A362" s="28" t="inlineStr">
        <is>
          <t>Project Manager</t>
        </is>
      </c>
      <c r="B362" s="28" t="inlineStr">
        <is>
          <t>HR-12</t>
        </is>
      </c>
      <c r="C362" s="28" t="inlineStr">
        <is>
          <t>People &amp; HR</t>
        </is>
      </c>
      <c r="D362" s="28" t="inlineStr">
        <is>
          <t>Manager review</t>
        </is>
      </c>
      <c r="E362" s="29" t="inlineStr">
        <is>
          <t>I</t>
        </is>
      </c>
      <c r="F362" s="28" t="inlineStr">
        <is>
          <t>Informed; sees the outcome in Approvals inbox (appraisal), Appraisals; Reports / Ask AI (appraisals).</t>
        </is>
      </c>
      <c r="G362" s="28" t="inlineStr">
        <is>
          <t>/appraisals/:id</t>
        </is>
      </c>
      <c r="H362" s="29" t="inlineStr">
        <is>
          <t>New in v3</t>
        </is>
      </c>
    </row>
    <row r="363" ht="30" customHeight="1">
      <c r="A363" s="28" t="inlineStr">
        <is>
          <t>Project Manager</t>
        </is>
      </c>
      <c r="B363" s="28" t="inlineStr">
        <is>
          <t>HR-14</t>
        </is>
      </c>
      <c r="C363" s="28" t="inlineStr">
        <is>
          <t>People &amp; HR</t>
        </is>
      </c>
      <c r="D363" s="28" t="inlineStr">
        <is>
          <t>Performance profile</t>
        </is>
      </c>
      <c r="E363" s="29" t="inlineStr">
        <is>
          <t>C</t>
        </is>
      </c>
      <c r="F363" s="28" t="inlineStr">
        <is>
          <t>Consulted: gives input, data or a decision when asked.</t>
        </is>
      </c>
      <c r="G363" s="28" t="inlineStr">
        <is>
          <t>/performance, /performance/:userId</t>
        </is>
      </c>
      <c r="H363" s="29" t="inlineStr">
        <is>
          <t>New in v3</t>
        </is>
      </c>
    </row>
    <row r="364" ht="30" customHeight="1">
      <c r="A364" s="28" t="inlineStr">
        <is>
          <t>Project Manager</t>
        </is>
      </c>
      <c r="B364" s="28" t="inlineStr">
        <is>
          <t>HR-16</t>
        </is>
      </c>
      <c r="C364" s="28" t="inlineStr">
        <is>
          <t>People &amp; HR</t>
        </is>
      </c>
      <c r="D364" s="28" t="inlineStr">
        <is>
          <t>Skills matrix and bench management</t>
        </is>
      </c>
      <c r="E364" s="29" t="inlineStr">
        <is>
          <t>R</t>
        </is>
      </c>
      <c r="F364" s="28" t="inlineStr">
        <is>
          <t>Planned (not built yet). Does it: carries out "Skills matrix and bench management".</t>
        </is>
      </c>
      <c r="G364" s="28" t="inlineStr">
        <is>
          <t>-</t>
        </is>
      </c>
      <c r="H364" s="29" t="inlineStr">
        <is>
          <t>Planned</t>
        </is>
      </c>
    </row>
    <row r="365" ht="30" customHeight="1">
      <c r="A365" s="28" t="inlineStr">
        <is>
          <t>Project Manager</t>
        </is>
      </c>
      <c r="B365" s="28" t="inlineStr">
        <is>
          <t>HR-17</t>
        </is>
      </c>
      <c r="C365" s="28" t="inlineStr">
        <is>
          <t>People &amp; HR</t>
        </is>
      </c>
      <c r="D365" s="28" t="inlineStr">
        <is>
          <t>Training and certification tracking</t>
        </is>
      </c>
      <c r="E365" s="29" t="inlineStr">
        <is>
          <t>C</t>
        </is>
      </c>
      <c r="F365" s="28" t="inlineStr">
        <is>
          <t>Planned (not built yet). Consulted: gives input, data or a decision when asked.</t>
        </is>
      </c>
      <c r="G365" s="28" t="inlineStr">
        <is>
          <t>-</t>
        </is>
      </c>
      <c r="H365" s="29" t="inlineStr">
        <is>
          <t>Planned</t>
        </is>
      </c>
    </row>
    <row r="366" ht="30" customHeight="1">
      <c r="A366" s="28" t="inlineStr">
        <is>
          <t>Project Manager</t>
        </is>
      </c>
      <c r="B366" s="28" t="inlineStr">
        <is>
          <t>FIN-01</t>
        </is>
      </c>
      <c r="C366" s="28" t="inlineStr">
        <is>
          <t>Finance</t>
        </is>
      </c>
      <c r="D366" s="28" t="inlineStr">
        <is>
          <t>Milestone invoicing</t>
        </is>
      </c>
      <c r="E366" s="29" t="inlineStr">
        <is>
          <t>I</t>
        </is>
      </c>
      <c r="F366" s="28" t="inlineStr">
        <is>
          <t>Informed; sees the outcome in CEO Home (revenue), P&amp;L, Invoices.</t>
        </is>
      </c>
      <c r="G366" s="28" t="inlineStr">
        <is>
          <t>/projects/:id/money, /finance/invoices</t>
        </is>
      </c>
      <c r="H366" s="29" t="inlineStr">
        <is>
          <t>Live</t>
        </is>
      </c>
    </row>
    <row r="367" ht="17" customHeight="1">
      <c r="A367" s="28" t="inlineStr">
        <is>
          <t>Project Manager</t>
        </is>
      </c>
      <c r="B367" s="28" t="inlineStr">
        <is>
          <t>FIN-03</t>
        </is>
      </c>
      <c r="C367" s="28" t="inlineStr">
        <is>
          <t>Finance</t>
        </is>
      </c>
      <c r="D367" s="28" t="inlineStr">
        <is>
          <t>Receivables, ageing and DSO</t>
        </is>
      </c>
      <c r="E367" s="29" t="inlineStr">
        <is>
          <t>I</t>
        </is>
      </c>
      <c r="F367" s="28" t="inlineStr">
        <is>
          <t>Informed; sees the outcome in Invoices, Client health, Lost revenue.</t>
        </is>
      </c>
      <c r="G367" s="28" t="inlineStr">
        <is>
          <t>/finance/invoices</t>
        </is>
      </c>
      <c r="H367" s="29" t="inlineStr">
        <is>
          <t>Live</t>
        </is>
      </c>
    </row>
    <row r="368" ht="30" customHeight="1">
      <c r="A368" s="28" t="inlineStr">
        <is>
          <t>Project Manager</t>
        </is>
      </c>
      <c r="B368" s="28" t="inlineStr">
        <is>
          <t>FIN-07</t>
        </is>
      </c>
      <c r="C368" s="28" t="inlineStr">
        <is>
          <t>Finance</t>
        </is>
      </c>
      <c r="D368" s="28" t="inlineStr">
        <is>
          <t>Timesheet-based billing for T&amp;M projects</t>
        </is>
      </c>
      <c r="E368" s="29" t="inlineStr">
        <is>
          <t>R</t>
        </is>
      </c>
      <c r="F368" s="28" t="inlineStr">
        <is>
          <t>Planned (not built yet). Does it: carries out "Timesheet-based billing for T&amp;M projects".</t>
        </is>
      </c>
      <c r="G368" s="28" t="inlineStr">
        <is>
          <t>-</t>
        </is>
      </c>
      <c r="H368" s="29" t="inlineStr">
        <is>
          <t>Planned</t>
        </is>
      </c>
    </row>
    <row r="369" ht="17" customHeight="1">
      <c r="A369" s="28" t="inlineStr">
        <is>
          <t>Project Manager</t>
        </is>
      </c>
      <c r="B369" s="28" t="inlineStr">
        <is>
          <t>SPD-01</t>
        </is>
      </c>
      <c r="C369" s="28" t="inlineStr">
        <is>
          <t>Spend &amp; procurement</t>
        </is>
      </c>
      <c r="D369" s="28" t="inlineStr">
        <is>
          <t>Submit an expense claim</t>
        </is>
      </c>
      <c r="E369" s="29" t="inlineStr">
        <is>
          <t>R</t>
        </is>
      </c>
      <c r="F369" s="28" t="inlineStr">
        <is>
          <t>Does it: carries out "Submit an expense claim" in /expenses.</t>
        </is>
      </c>
      <c r="G369" s="28" t="inlineStr">
        <is>
          <t>/expenses</t>
        </is>
      </c>
      <c r="H369" s="29" t="inlineStr">
        <is>
          <t>New in v3</t>
        </is>
      </c>
    </row>
    <row r="370" ht="30" customHeight="1">
      <c r="A370" s="28" t="inlineStr">
        <is>
          <t>Project Manager</t>
        </is>
      </c>
      <c r="B370" s="28" t="inlineStr">
        <is>
          <t>SPD-02</t>
        </is>
      </c>
      <c r="C370" s="28" t="inlineStr">
        <is>
          <t>Spend &amp; procurement</t>
        </is>
      </c>
      <c r="D370" s="28" t="inlineStr">
        <is>
          <t>Approve or reject an expense (two-step above Rs 25,000)</t>
        </is>
      </c>
      <c r="E370" s="29" t="inlineStr">
        <is>
          <t>R</t>
        </is>
      </c>
      <c r="F370" s="28" t="inlineStr">
        <is>
          <t>Does it: carries out "Approve or reject an expense (two-step above Rs 25,000)" in /expenses?tab=approve, /inbox.</t>
        </is>
      </c>
      <c r="G370" s="28" t="inlineStr">
        <is>
          <t>/expenses?tab=approve, /inbox</t>
        </is>
      </c>
      <c r="H370" s="29" t="inlineStr">
        <is>
          <t>Extended</t>
        </is>
      </c>
    </row>
    <row r="371" ht="30" customHeight="1">
      <c r="A371" s="28" t="inlineStr">
        <is>
          <t>Project Manager</t>
        </is>
      </c>
      <c r="B371" s="28" t="inlineStr">
        <is>
          <t>SPD-04</t>
        </is>
      </c>
      <c r="C371" s="28" t="inlineStr">
        <is>
          <t>Spend &amp; procurement</t>
        </is>
      </c>
      <c r="D371" s="28" t="inlineStr">
        <is>
          <t>Raise a purchase order</t>
        </is>
      </c>
      <c r="E371" s="29" t="inlineStr">
        <is>
          <t>I</t>
        </is>
      </c>
      <c r="F371" s="28" t="inlineStr">
        <is>
          <t>Informed (NTF-04 PO to approve); sees the outcome in Purchases &amp; vendors, Budgets (committed); Reports / Ask AI (purchases).</t>
        </is>
      </c>
      <c r="G371" s="28" t="inlineStr">
        <is>
          <t>/purchases</t>
        </is>
      </c>
      <c r="H371" s="29" t="inlineStr">
        <is>
          <t>New in v3</t>
        </is>
      </c>
    </row>
    <row r="372" ht="17" customHeight="1">
      <c r="A372" s="28" t="inlineStr">
        <is>
          <t>Project Manager</t>
        </is>
      </c>
      <c r="B372" s="28" t="inlineStr">
        <is>
          <t>SPD-08</t>
        </is>
      </c>
      <c r="C372" s="28" t="inlineStr">
        <is>
          <t>Spend &amp; procurement</t>
        </is>
      </c>
      <c r="D372" s="28" t="inlineStr">
        <is>
          <t>Annual budget and monthly phasing</t>
        </is>
      </c>
      <c r="E372" s="29" t="inlineStr">
        <is>
          <t>C</t>
        </is>
      </c>
      <c r="F372" s="28" t="inlineStr">
        <is>
          <t>Consulted: gives input, data or a decision when asked.</t>
        </is>
      </c>
      <c r="G372" s="28" t="inlineStr">
        <is>
          <t>/budgets</t>
        </is>
      </c>
      <c r="H372" s="29" t="inlineStr">
        <is>
          <t>Extended</t>
        </is>
      </c>
    </row>
    <row r="373" ht="17" customHeight="1">
      <c r="A373" s="28" t="inlineStr">
        <is>
          <t>Project Manager</t>
        </is>
      </c>
      <c r="B373" s="28" t="inlineStr">
        <is>
          <t>SPD-09</t>
        </is>
      </c>
      <c r="C373" s="28" t="inlineStr">
        <is>
          <t>Spend &amp; procurement</t>
        </is>
      </c>
      <c r="D373" s="28" t="inlineStr">
        <is>
          <t>Budget vs actual review</t>
        </is>
      </c>
      <c r="E373" s="29" t="inlineStr">
        <is>
          <t>C</t>
        </is>
      </c>
      <c r="F373" s="28" t="inlineStr">
        <is>
          <t>Consulted: gives input, data or a decision when asked.</t>
        </is>
      </c>
      <c r="G373" s="28" t="inlineStr">
        <is>
          <t>/budgets</t>
        </is>
      </c>
      <c r="H373" s="29" t="inlineStr">
        <is>
          <t>New in v3</t>
        </is>
      </c>
    </row>
    <row r="374" ht="30" customHeight="1">
      <c r="A374" s="28" t="inlineStr">
        <is>
          <t>Project Manager</t>
        </is>
      </c>
      <c r="B374" s="28" t="inlineStr">
        <is>
          <t>SPD-11</t>
        </is>
      </c>
      <c r="C374" s="28" t="inlineStr">
        <is>
          <t>Spend &amp; procurement</t>
        </is>
      </c>
      <c r="D374" s="28" t="inlineStr">
        <is>
          <t>Travel requests and advances</t>
        </is>
      </c>
      <c r="E374" s="29" t="inlineStr">
        <is>
          <t>R</t>
        </is>
      </c>
      <c r="F374" s="28" t="inlineStr">
        <is>
          <t>Planned (not built yet). Does it: carries out "Travel requests and advances".</t>
        </is>
      </c>
      <c r="G374" s="28" t="inlineStr">
        <is>
          <t>-</t>
        </is>
      </c>
      <c r="H374" s="29" t="inlineStr">
        <is>
          <t>Planned</t>
        </is>
      </c>
    </row>
    <row r="375" ht="30" customHeight="1">
      <c r="A375" s="28" t="inlineStr">
        <is>
          <t>Project Manager</t>
        </is>
      </c>
      <c r="B375" s="28" t="inlineStr">
        <is>
          <t>REV-03</t>
        </is>
      </c>
      <c r="C375" s="28" t="inlineStr">
        <is>
          <t>Revenue assurance</t>
        </is>
      </c>
      <c r="D375" s="28" t="inlineStr">
        <is>
          <t>Auto-detect: unbilled hours</t>
        </is>
      </c>
      <c r="E375" s="29" t="inlineStr">
        <is>
          <t>I</t>
        </is>
      </c>
      <c r="F375" s="28" t="inlineStr">
        <is>
          <t>Informed; sees the outcome in Lost revenue; Reports / Ask AI (revenue_leakage).</t>
        </is>
      </c>
      <c r="G375" s="28" t="inlineStr">
        <is>
          <t>/leakage</t>
        </is>
      </c>
      <c r="H375" s="29" t="inlineStr">
        <is>
          <t>New in v3</t>
        </is>
      </c>
    </row>
    <row r="376" ht="30" customHeight="1">
      <c r="A376" s="28" t="inlineStr">
        <is>
          <t>Project Manager</t>
        </is>
      </c>
      <c r="B376" s="28" t="inlineStr">
        <is>
          <t>REV-05</t>
        </is>
      </c>
      <c r="C376" s="28" t="inlineStr">
        <is>
          <t>Revenue assurance</t>
        </is>
      </c>
      <c r="D376" s="28" t="inlineStr">
        <is>
          <t>Auto-detect: scope creep</t>
        </is>
      </c>
      <c r="E376" s="29" t="inlineStr">
        <is>
          <t>I</t>
        </is>
      </c>
      <c r="F376" s="28" t="inlineStr">
        <is>
          <t>Informed; sees the outcome in Lost revenue; Reports / Ask AI (revenue_leakage).</t>
        </is>
      </c>
      <c r="G376" s="28" t="inlineStr">
        <is>
          <t>/leakage</t>
        </is>
      </c>
      <c r="H376" s="29" t="inlineStr">
        <is>
          <t>New in v3</t>
        </is>
      </c>
    </row>
    <row r="377" ht="30" customHeight="1">
      <c r="A377" s="28" t="inlineStr">
        <is>
          <t>Project Manager</t>
        </is>
      </c>
      <c r="B377" s="28" t="inlineStr">
        <is>
          <t>REV-06</t>
        </is>
      </c>
      <c r="C377" s="28" t="inlineStr">
        <is>
          <t>Revenue assurance</t>
        </is>
      </c>
      <c r="D377" s="28" t="inlineStr">
        <is>
          <t>Record discounts, write-offs, credit notes, penalties and churn</t>
        </is>
      </c>
      <c r="E377" s="29" t="inlineStr">
        <is>
          <t>C</t>
        </is>
      </c>
      <c r="F377" s="28" t="inlineStr">
        <is>
          <t>Consulted: gives input, data or a decision when asked.</t>
        </is>
      </c>
      <c r="G377" s="28" t="inlineStr">
        <is>
          <t>/leakage</t>
        </is>
      </c>
      <c r="H377" s="29" t="inlineStr">
        <is>
          <t>New in v3</t>
        </is>
      </c>
    </row>
    <row r="378" ht="17" customHeight="1">
      <c r="A378" s="28" t="inlineStr">
        <is>
          <t>Project Manager</t>
        </is>
      </c>
      <c r="B378" s="28" t="inlineStr">
        <is>
          <t>REV-07</t>
        </is>
      </c>
      <c r="C378" s="28" t="inlineStr">
        <is>
          <t>Revenue assurance</t>
        </is>
      </c>
      <c r="D378" s="28" t="inlineStr">
        <is>
          <t>Recovery tracking</t>
        </is>
      </c>
      <c r="E378" s="29" t="inlineStr">
        <is>
          <t>C</t>
        </is>
      </c>
      <c r="F378" s="28" t="inlineStr">
        <is>
          <t>Consulted: gives input, data or a decision when asked.</t>
        </is>
      </c>
      <c r="G378" s="28" t="inlineStr">
        <is>
          <t>/leakage</t>
        </is>
      </c>
      <c r="H378" s="29" t="inlineStr">
        <is>
          <t>New in v3</t>
        </is>
      </c>
    </row>
    <row r="379" ht="30" customHeight="1">
      <c r="A379" s="28" t="inlineStr">
        <is>
          <t>Project Manager</t>
        </is>
      </c>
      <c r="B379" s="28" t="inlineStr">
        <is>
          <t>REV-08</t>
        </is>
      </c>
      <c r="C379" s="28" t="inlineStr">
        <is>
          <t>Revenue assurance</t>
        </is>
      </c>
      <c r="D379" s="28" t="inlineStr">
        <is>
          <t>Discount approval workflow</t>
        </is>
      </c>
      <c r="E379" s="29" t="inlineStr">
        <is>
          <t>C</t>
        </is>
      </c>
      <c r="F379" s="28" t="inlineStr">
        <is>
          <t>Planned (not built yet). Consulted: gives input, data or a decision when asked.</t>
        </is>
      </c>
      <c r="G379" s="28" t="inlineStr">
        <is>
          <t>-</t>
        </is>
      </c>
      <c r="H379" s="29" t="inlineStr">
        <is>
          <t>Planned</t>
        </is>
      </c>
    </row>
    <row r="380" ht="30" customHeight="1">
      <c r="A380" s="28" t="inlineStr">
        <is>
          <t>Project Manager</t>
        </is>
      </c>
      <c r="B380" s="28" t="inlineStr">
        <is>
          <t>OPS-04</t>
        </is>
      </c>
      <c r="C380" s="28" t="inlineStr">
        <is>
          <t>Operations &amp; compliance</t>
        </is>
      </c>
      <c r="D380" s="28" t="inlineStr">
        <is>
          <t>ISO 9001 non-conformance and CAPA</t>
        </is>
      </c>
      <c r="E380" s="29" t="inlineStr">
        <is>
          <t>R</t>
        </is>
      </c>
      <c r="F380" s="28" t="inlineStr">
        <is>
          <t>Planned (not built yet). Does it: carries out "ISO 9001 non-conformance and CAPA".</t>
        </is>
      </c>
      <c r="G380" s="28" t="inlineStr">
        <is>
          <t>-</t>
        </is>
      </c>
      <c r="H380" s="29" t="inlineStr">
        <is>
          <t>Planned</t>
        </is>
      </c>
    </row>
    <row r="381" ht="30" customHeight="1">
      <c r="A381" s="28" t="inlineStr">
        <is>
          <t>Project Manager</t>
        </is>
      </c>
      <c r="B381" s="28" t="inlineStr">
        <is>
          <t>OPS-05</t>
        </is>
      </c>
      <c r="C381" s="28" t="inlineStr">
        <is>
          <t>Operations &amp; compliance</t>
        </is>
      </c>
      <c r="D381" s="28" t="inlineStr">
        <is>
          <t>Risk register (company and project)</t>
        </is>
      </c>
      <c r="E381" s="29" t="inlineStr">
        <is>
          <t>R</t>
        </is>
      </c>
      <c r="F381" s="28" t="inlineStr">
        <is>
          <t>Planned (not built yet). Does it: carries out "Risk register (company and project)".</t>
        </is>
      </c>
      <c r="G381" s="28" t="inlineStr">
        <is>
          <t>-</t>
        </is>
      </c>
      <c r="H381" s="29" t="inlineStr">
        <is>
          <t>Planned</t>
        </is>
      </c>
    </row>
    <row r="382" ht="30" customHeight="1">
      <c r="A382" s="28" t="inlineStr">
        <is>
          <t>Project Manager</t>
        </is>
      </c>
      <c r="B382" s="28" t="inlineStr">
        <is>
          <t>GOV-01</t>
        </is>
      </c>
      <c r="C382" s="28" t="inlineStr">
        <is>
          <t>Strategy &amp; governance</t>
        </is>
      </c>
      <c r="D382" s="28" t="inlineStr">
        <is>
          <t>Set objectives (company, team, personal)</t>
        </is>
      </c>
      <c r="E382" s="29" t="inlineStr">
        <is>
          <t>C</t>
        </is>
      </c>
      <c r="F382" s="28" t="inlineStr">
        <is>
          <t>Consulted: gives input, data or a decision when asked.</t>
        </is>
      </c>
      <c r="G382" s="28" t="inlineStr">
        <is>
          <t>/okrs</t>
        </is>
      </c>
      <c r="H382" s="29" t="inlineStr">
        <is>
          <t>New in v3</t>
        </is>
      </c>
    </row>
    <row r="383" ht="30" customHeight="1">
      <c r="A383" s="28" t="inlineStr">
        <is>
          <t>Project Manager</t>
        </is>
      </c>
      <c r="B383" s="28" t="inlineStr">
        <is>
          <t>GOV-02</t>
        </is>
      </c>
      <c r="C383" s="28" t="inlineStr">
        <is>
          <t>Strategy &amp; governance</t>
        </is>
      </c>
      <c r="D383" s="28" t="inlineStr">
        <is>
          <t>Key results with automatic measures and check-ins</t>
        </is>
      </c>
      <c r="E383" s="29" t="inlineStr">
        <is>
          <t>C</t>
        </is>
      </c>
      <c r="F383" s="28" t="inlineStr">
        <is>
          <t>Consulted: gives input, data or a decision when asked.</t>
        </is>
      </c>
      <c r="G383" s="28" t="inlineStr">
        <is>
          <t>/okrs</t>
        </is>
      </c>
      <c r="H383" s="29" t="inlineStr">
        <is>
          <t>New in v3</t>
        </is>
      </c>
    </row>
    <row r="384" ht="17" customHeight="1">
      <c r="A384" s="28" t="inlineStr">
        <is>
          <t>Project Manager</t>
        </is>
      </c>
      <c r="B384" s="28" t="inlineStr">
        <is>
          <t>GOV-03</t>
        </is>
      </c>
      <c r="C384" s="28" t="inlineStr">
        <is>
          <t>Strategy &amp; governance</t>
        </is>
      </c>
      <c r="D384" s="28" t="inlineStr">
        <is>
          <t>Approvals inbox</t>
        </is>
      </c>
      <c r="E384" s="29" t="inlineStr">
        <is>
          <t>R</t>
        </is>
      </c>
      <c r="F384" s="28" t="inlineStr">
        <is>
          <t>Does it: carries out "Approvals inbox" in /inbox.</t>
        </is>
      </c>
      <c r="G384" s="28" t="inlineStr">
        <is>
          <t>/inbox</t>
        </is>
      </c>
      <c r="H384" s="29" t="inlineStr">
        <is>
          <t>Extended</t>
        </is>
      </c>
    </row>
    <row r="385" ht="17" customHeight="1">
      <c r="A385" s="28" t="inlineStr">
        <is>
          <t>Project Manager</t>
        </is>
      </c>
      <c r="B385" s="28" t="inlineStr">
        <is>
          <t>GOV-05</t>
        </is>
      </c>
      <c r="C385" s="28" t="inlineStr">
        <is>
          <t>Strategy &amp; governance</t>
        </is>
      </c>
      <c r="D385" s="28" t="inlineStr">
        <is>
          <t>Notifications centre</t>
        </is>
      </c>
      <c r="E385" s="29" t="inlineStr">
        <is>
          <t>R</t>
        </is>
      </c>
      <c r="F385" s="28" t="inlineStr">
        <is>
          <t>Does it: carries out "Notifications centre" in /notifications.</t>
        </is>
      </c>
      <c r="G385" s="28" t="inlineStr">
        <is>
          <t>/notifications</t>
        </is>
      </c>
      <c r="H385" s="29" t="inlineStr">
        <is>
          <t>Live</t>
        </is>
      </c>
    </row>
    <row r="386" ht="17" customHeight="1">
      <c r="A386" s="28" t="inlineStr">
        <is>
          <t>Project Manager</t>
        </is>
      </c>
      <c r="B386" s="28" t="inlineStr">
        <is>
          <t>GOV-06</t>
        </is>
      </c>
      <c r="C386" s="28" t="inlineStr">
        <is>
          <t>Strategy &amp; governance</t>
        </is>
      </c>
      <c r="D386" s="28" t="inlineStr">
        <is>
          <t>Weekly scorecard</t>
        </is>
      </c>
      <c r="E386" s="29" t="inlineStr">
        <is>
          <t>R</t>
        </is>
      </c>
      <c r="F386" s="28" t="inlineStr">
        <is>
          <t>Does it: carries out "Weekly scorecard" in /scorecard.</t>
        </is>
      </c>
      <c r="G386" s="28" t="inlineStr">
        <is>
          <t>/scorecard</t>
        </is>
      </c>
      <c r="H386" s="29" t="inlineStr">
        <is>
          <t>Live</t>
        </is>
      </c>
    </row>
    <row r="387" ht="17" customHeight="1">
      <c r="A387" s="28" t="inlineStr">
        <is>
          <t>Project Manager</t>
        </is>
      </c>
      <c r="B387" s="28" t="inlineStr">
        <is>
          <t>ANA-02</t>
        </is>
      </c>
      <c r="C387" s="28" t="inlineStr">
        <is>
          <t>Analytics &amp; AI</t>
        </is>
      </c>
      <c r="D387" s="28" t="inlineStr">
        <is>
          <t>Project manager dashboard</t>
        </is>
      </c>
      <c r="E387" s="29" t="inlineStr">
        <is>
          <t>R</t>
        </is>
      </c>
      <c r="F387" s="28" t="inlineStr">
        <is>
          <t>Does it: carries out "Project manager dashboard" in /home.</t>
        </is>
      </c>
      <c r="G387" s="28" t="inlineStr">
        <is>
          <t>/home</t>
        </is>
      </c>
      <c r="H387" s="29" t="inlineStr">
        <is>
          <t>Extended</t>
        </is>
      </c>
    </row>
    <row r="388" ht="17" customHeight="1">
      <c r="A388" s="28" t="inlineStr">
        <is>
          <t>Project Manager</t>
        </is>
      </c>
      <c r="B388" s="28" t="inlineStr">
        <is>
          <t>ANA-06</t>
        </is>
      </c>
      <c r="C388" s="28" t="inlineStr">
        <is>
          <t>Analytics &amp; AI</t>
        </is>
      </c>
      <c r="D388" s="28" t="inlineStr">
        <is>
          <t>Insights views</t>
        </is>
      </c>
      <c r="E388" s="29" t="inlineStr">
        <is>
          <t>R</t>
        </is>
      </c>
      <c r="F388" s="28" t="inlineStr">
        <is>
          <t>Does it: carries out "Insights views" in /insights, /insights/:view.</t>
        </is>
      </c>
      <c r="G388" s="28" t="inlineStr">
        <is>
          <t>/insights, /insights/:view</t>
        </is>
      </c>
      <c r="H388" s="29" t="inlineStr">
        <is>
          <t>Live</t>
        </is>
      </c>
    </row>
    <row r="389" ht="30" customHeight="1">
      <c r="A389" s="28" t="inlineStr">
        <is>
          <t>Project Manager</t>
        </is>
      </c>
      <c r="B389" s="28" t="inlineStr">
        <is>
          <t>ANA-07</t>
        </is>
      </c>
      <c r="C389" s="28" t="inlineStr">
        <is>
          <t>Analytics &amp; AI</t>
        </is>
      </c>
      <c r="D389" s="28" t="inlineStr">
        <is>
          <t>Custom report builder and exports</t>
        </is>
      </c>
      <c r="E389" s="29" t="inlineStr">
        <is>
          <t>R</t>
        </is>
      </c>
      <c r="F389" s="28" t="inlineStr">
        <is>
          <t>Does it: carries out "Custom report builder and exports" in /reports, /reports/new, /reports/:id.</t>
        </is>
      </c>
      <c r="G389" s="28" t="inlineStr">
        <is>
          <t>/reports, /reports/new, /reports/:id</t>
        </is>
      </c>
      <c r="H389" s="29" t="inlineStr">
        <is>
          <t>Extended</t>
        </is>
      </c>
    </row>
    <row r="390" ht="17" customHeight="1">
      <c r="A390" s="28" t="inlineStr">
        <is>
          <t>Project Manager</t>
        </is>
      </c>
      <c r="B390" s="28" t="inlineStr">
        <is>
          <t>ANA-08</t>
        </is>
      </c>
      <c r="C390" s="28" t="inlineStr">
        <is>
          <t>Analytics &amp; AI</t>
        </is>
      </c>
      <c r="D390" s="28" t="inlineStr">
        <is>
          <t>Ask AI and AI report planning</t>
        </is>
      </c>
      <c r="E390" s="29" t="inlineStr">
        <is>
          <t>R</t>
        </is>
      </c>
      <c r="F390" s="28" t="inlineStr">
        <is>
          <t>Does it: carries out "Ask AI and AI report planning" in /ai.</t>
        </is>
      </c>
      <c r="G390" s="28" t="inlineStr">
        <is>
          <t>/ai</t>
        </is>
      </c>
      <c r="H390" s="29" t="inlineStr">
        <is>
          <t>Extended</t>
        </is>
      </c>
    </row>
    <row r="391" ht="17" customHeight="1">
      <c r="A391" s="28" t="inlineStr">
        <is>
          <t>Project Manager</t>
        </is>
      </c>
      <c r="B391" s="28" t="inlineStr">
        <is>
          <t>ANA-09</t>
        </is>
      </c>
      <c r="C391" s="28" t="inlineStr">
        <is>
          <t>Analytics &amp; AI</t>
        </is>
      </c>
      <c r="D391" s="28" t="inlineStr">
        <is>
          <t>Scheduled email reports</t>
        </is>
      </c>
      <c r="E391" s="29" t="inlineStr">
        <is>
          <t>R</t>
        </is>
      </c>
      <c r="F391" s="28" t="inlineStr">
        <is>
          <t>Planned (not built yet). Does it: carries out "Scheduled email reports".</t>
        </is>
      </c>
      <c r="G391" s="28" t="inlineStr">
        <is>
          <t>-</t>
        </is>
      </c>
      <c r="H391" s="29" t="inlineStr">
        <is>
          <t>Planned</t>
        </is>
      </c>
    </row>
    <row r="392" ht="30" customHeight="1">
      <c r="A392" s="28" t="inlineStr">
        <is>
          <t>Project Manager</t>
        </is>
      </c>
      <c r="B392" s="28" t="inlineStr">
        <is>
          <t>ANA-10</t>
        </is>
      </c>
      <c r="C392" s="28" t="inlineStr">
        <is>
          <t>Analytics &amp; AI</t>
        </is>
      </c>
      <c r="D392" s="28" t="inlineStr">
        <is>
          <t>Report datasets for v3 processes</t>
        </is>
      </c>
      <c r="E392" s="29" t="inlineStr">
        <is>
          <t>R</t>
        </is>
      </c>
      <c r="F392" s="28" t="inlineStr">
        <is>
          <t>Does it: carries out "Report datasets for v3 processes" in /reports/new, /ai.</t>
        </is>
      </c>
      <c r="G392" s="28" t="inlineStr">
        <is>
          <t>/reports/new, /ai</t>
        </is>
      </c>
      <c r="H392" s="29" t="inlineStr">
        <is>
          <t>New in v3</t>
        </is>
      </c>
    </row>
    <row r="393" ht="30" customHeight="1">
      <c r="A393" s="28" t="inlineStr">
        <is>
          <t>Project Manager</t>
        </is>
      </c>
      <c r="B393" s="28" t="inlineStr">
        <is>
          <t>ACC-05</t>
        </is>
      </c>
      <c r="C393" s="28" t="inlineStr">
        <is>
          <t>Access, master data &amp; controls</t>
        </is>
      </c>
      <c r="D393" s="28" t="inlineStr">
        <is>
          <t>First sign-in: forced password change</t>
        </is>
      </c>
      <c r="E393" s="29" t="inlineStr">
        <is>
          <t>R</t>
        </is>
      </c>
      <c r="F393" s="28" t="inlineStr">
        <is>
          <t>Does it: carries out "First sign-in: forced password change" in /welcome/password.</t>
        </is>
      </c>
      <c r="G393" s="28" t="inlineStr">
        <is>
          <t>/welcome/password</t>
        </is>
      </c>
      <c r="H393" s="29" t="inlineStr">
        <is>
          <t>New in v4</t>
        </is>
      </c>
    </row>
    <row r="394" ht="30" customHeight="1">
      <c r="A394" s="28" t="inlineStr">
        <is>
          <t>Project Manager</t>
        </is>
      </c>
      <c r="B394" s="28" t="inlineStr">
        <is>
          <t>ACC-09</t>
        </is>
      </c>
      <c r="C394" s="28" t="inlineStr">
        <is>
          <t>Access, master data &amp; controls</t>
        </is>
      </c>
      <c r="D394" s="28" t="inlineStr">
        <is>
          <t>One login: screens, actions and data scope by permission</t>
        </is>
      </c>
      <c r="E394" s="29" t="inlineStr">
        <is>
          <t>I</t>
        </is>
      </c>
      <c r="F394" s="28" t="inlineStr">
        <is>
          <t>Informed; sees the outcome in All.</t>
        </is>
      </c>
      <c r="G394" s="28" t="inlineStr">
        <is>
          <t>All screens</t>
        </is>
      </c>
      <c r="H394" s="29" t="inlineStr">
        <is>
          <t>New in v4</t>
        </is>
      </c>
    </row>
    <row r="395" ht="30" customHeight="1">
      <c r="A395" s="28" t="inlineStr">
        <is>
          <t>Project Manager</t>
        </is>
      </c>
      <c r="B395" s="28" t="inlineStr">
        <is>
          <t>WF-03</t>
        </is>
      </c>
      <c r="C395" s="28" t="inlineStr">
        <is>
          <t>Access, master data &amp; controls</t>
        </is>
      </c>
      <c r="D395" s="28" t="inlineStr">
        <is>
          <t>Multi-step routing, SLA and escalation at run time</t>
        </is>
      </c>
      <c r="E395" s="29" t="inlineStr">
        <is>
          <t>R</t>
        </is>
      </c>
      <c r="F395" s="28" t="inlineStr">
        <is>
          <t>Does it: carries out "Multi-step routing, SLA and escalation at run time" in /inbox.</t>
        </is>
      </c>
      <c r="G395" s="28" t="inlineStr">
        <is>
          <t>/inbox</t>
        </is>
      </c>
      <c r="H395" s="29" t="inlineStr">
        <is>
          <t>New in v4</t>
        </is>
      </c>
    </row>
    <row r="396" ht="17" customHeight="1">
      <c r="A396" s="28" t="inlineStr">
        <is>
          <t>HR Manager</t>
        </is>
      </c>
      <c r="B396" s="28" t="inlineStr">
        <is>
          <t>WS-02</t>
        </is>
      </c>
      <c r="C396" s="28" t="inlineStr">
        <is>
          <t>Workspace &amp; access</t>
        </is>
      </c>
      <c r="D396" s="28" t="inlineStr">
        <is>
          <t>Onboarding checklist and sample data</t>
        </is>
      </c>
      <c r="E396" s="29" t="inlineStr">
        <is>
          <t>C</t>
        </is>
      </c>
      <c r="F396" s="28" t="inlineStr">
        <is>
          <t>Consulted: gives input, data or a decision when asked.</t>
        </is>
      </c>
      <c r="G396" s="28" t="inlineStr">
        <is>
          <t>/home, /onboarding</t>
        </is>
      </c>
      <c r="H396" s="29" t="inlineStr">
        <is>
          <t>Extended</t>
        </is>
      </c>
    </row>
    <row r="397" ht="30" customHeight="1">
      <c r="A397" s="28" t="inlineStr">
        <is>
          <t>HR Manager</t>
        </is>
      </c>
      <c r="B397" s="28" t="inlineStr">
        <is>
          <t>WS-03</t>
        </is>
      </c>
      <c r="C397" s="28" t="inlineStr">
        <is>
          <t>Workspace &amp; access</t>
        </is>
      </c>
      <c r="D397" s="28" t="inlineStr">
        <is>
          <t>Sign in, lockout and password reset</t>
        </is>
      </c>
      <c r="E397" s="29" t="inlineStr">
        <is>
          <t>R</t>
        </is>
      </c>
      <c r="F397" s="28" t="inlineStr">
        <is>
          <t>Does it: carries out "Sign in, lockout and password reset" in /login, /reset-password.</t>
        </is>
      </c>
      <c r="G397" s="28" t="inlineStr">
        <is>
          <t>/login, /reset-password</t>
        </is>
      </c>
      <c r="H397" s="29" t="inlineStr">
        <is>
          <t>Extended</t>
        </is>
      </c>
    </row>
    <row r="398" ht="30" customHeight="1">
      <c r="A398" s="28" t="inlineStr">
        <is>
          <t>HR Manager</t>
        </is>
      </c>
      <c r="B398" s="28" t="inlineStr">
        <is>
          <t>WS-04</t>
        </is>
      </c>
      <c r="C398" s="28" t="inlineStr">
        <is>
          <t>Workspace &amp; access</t>
        </is>
      </c>
      <c r="D398" s="28" t="inlineStr">
        <is>
          <t>Invite people (single or bulk CSV) and accept invitation</t>
        </is>
      </c>
      <c r="E398" s="30" t="inlineStr">
        <is>
          <t>A</t>
        </is>
      </c>
      <c r="F398" s="28" t="inlineStr">
        <is>
          <t>Approves / signs off and owns the outcome; sees results in People list; HR dashboard headcount.</t>
        </is>
      </c>
      <c r="G398" s="28" t="inlineStr">
        <is>
          <t>/people, /invite/:token</t>
        </is>
      </c>
      <c r="H398" s="29" t="inlineStr">
        <is>
          <t>Extended</t>
        </is>
      </c>
    </row>
    <row r="399" ht="30" customHeight="1">
      <c r="A399" s="28" t="inlineStr">
        <is>
          <t>HR Manager</t>
        </is>
      </c>
      <c r="B399" s="28" t="inlineStr">
        <is>
          <t>WS-05</t>
        </is>
      </c>
      <c r="C399" s="28" t="inlineStr">
        <is>
          <t>Workspace &amp; access</t>
        </is>
      </c>
      <c r="D399" s="28" t="inlineStr">
        <is>
          <t>Roles, reporting lines and access grants</t>
        </is>
      </c>
      <c r="E399" s="29" t="inlineStr">
        <is>
          <t>C</t>
        </is>
      </c>
      <c r="F399" s="28" t="inlineStr">
        <is>
          <t>Consulted: gives input, data or a decision when asked.</t>
        </is>
      </c>
      <c r="G399" s="28" t="inlineStr">
        <is>
          <t>/people</t>
        </is>
      </c>
      <c r="H399" s="29" t="inlineStr">
        <is>
          <t>Extended</t>
        </is>
      </c>
    </row>
    <row r="400" ht="43" customHeight="1">
      <c r="A400" s="28" t="inlineStr">
        <is>
          <t>HR Manager</t>
        </is>
      </c>
      <c r="B400" s="28" t="inlineStr">
        <is>
          <t>WS-08</t>
        </is>
      </c>
      <c r="C400" s="28" t="inlineStr">
        <is>
          <t>Workspace &amp; access</t>
        </is>
      </c>
      <c r="D400" s="28" t="inlineStr">
        <is>
          <t>Security, two-step verification and personal settings</t>
        </is>
      </c>
      <c r="E400" s="29" t="inlineStr">
        <is>
          <t>R</t>
        </is>
      </c>
      <c r="F400" s="28" t="inlineStr">
        <is>
          <t>Does it: carries out "Security, two-step verification and personal settings" in /settings/security, /settings/profile, /settings/appearance.</t>
        </is>
      </c>
      <c r="G400" s="28" t="inlineStr">
        <is>
          <t>/settings/security, /settings/profile, /settings/appearance</t>
        </is>
      </c>
      <c r="H400" s="29" t="inlineStr">
        <is>
          <t>Live</t>
        </is>
      </c>
    </row>
    <row r="401" ht="17" customHeight="1">
      <c r="A401" s="28" t="inlineStr">
        <is>
          <t>HR Manager</t>
        </is>
      </c>
      <c r="B401" s="28" t="inlineStr">
        <is>
          <t>WS-09</t>
        </is>
      </c>
      <c r="C401" s="28" t="inlineStr">
        <is>
          <t>Workspace &amp; access</t>
        </is>
      </c>
      <c r="D401" s="28" t="inlineStr">
        <is>
          <t>Deactivate or reactivate a person</t>
        </is>
      </c>
      <c r="E401" s="30" t="inlineStr">
        <is>
          <t>A</t>
        </is>
      </c>
      <c r="F401" s="28" t="inlineStr">
        <is>
          <t>Approves / signs off and owns the outcome; sees results in HR dashboard.</t>
        </is>
      </c>
      <c r="G401" s="28" t="inlineStr">
        <is>
          <t>/people</t>
        </is>
      </c>
      <c r="H401" s="29" t="inlineStr">
        <is>
          <t>Extended</t>
        </is>
      </c>
    </row>
    <row r="402" ht="30" customHeight="1">
      <c r="A402" s="28" t="inlineStr">
        <is>
          <t>HR Manager</t>
        </is>
      </c>
      <c r="B402" s="28" t="inlineStr">
        <is>
          <t>WS-13</t>
        </is>
      </c>
      <c r="C402" s="28" t="inlineStr">
        <is>
          <t>Workspace &amp; access</t>
        </is>
      </c>
      <c r="D402" s="28" t="inlineStr">
        <is>
          <t>Single sign-on and custom roles</t>
        </is>
      </c>
      <c r="E402" s="29" t="inlineStr">
        <is>
          <t>C</t>
        </is>
      </c>
      <c r="F402" s="28" t="inlineStr">
        <is>
          <t>Planned (not built yet). Consulted: gives input, data or a decision when asked.</t>
        </is>
      </c>
      <c r="G402" s="28" t="inlineStr">
        <is>
          <t>-</t>
        </is>
      </c>
      <c r="H402" s="29" t="inlineStr">
        <is>
          <t>Planned</t>
        </is>
      </c>
    </row>
    <row r="403" ht="30" customHeight="1">
      <c r="A403" s="28" t="inlineStr">
        <is>
          <t>HR Manager</t>
        </is>
      </c>
      <c r="B403" s="28" t="inlineStr">
        <is>
          <t>ORG-01</t>
        </is>
      </c>
      <c r="C403" s="28" t="inlineStr">
        <is>
          <t>Organisation &amp; master data</t>
        </is>
      </c>
      <c r="D403" s="28" t="inlineStr">
        <is>
          <t>Company rules and settings</t>
        </is>
      </c>
      <c r="E403" s="29" t="inlineStr">
        <is>
          <t>C</t>
        </is>
      </c>
      <c r="F403" s="28" t="inlineStr">
        <is>
          <t>Consulted: gives input, data or a decision when asked.</t>
        </is>
      </c>
      <c r="G403" s="28" t="inlineStr">
        <is>
          <t>/settings/company</t>
        </is>
      </c>
      <c r="H403" s="29" t="inlineStr">
        <is>
          <t>Extended</t>
        </is>
      </c>
    </row>
    <row r="404" ht="30" customHeight="1">
      <c r="A404" s="28" t="inlineStr">
        <is>
          <t>HR Manager</t>
        </is>
      </c>
      <c r="B404" s="28" t="inlineStr">
        <is>
          <t>ORG-02</t>
        </is>
      </c>
      <c r="C404" s="28" t="inlineStr">
        <is>
          <t>Organisation &amp; master data</t>
        </is>
      </c>
      <c r="D404" s="28" t="inlineStr">
        <is>
          <t>Working calendar and holidays</t>
        </is>
      </c>
      <c r="E404" s="29" t="inlineStr">
        <is>
          <t>R</t>
        </is>
      </c>
      <c r="F404" s="28" t="inlineStr">
        <is>
          <t>Does it: carries out "Working calendar and holidays" in /settings/holidays.</t>
        </is>
      </c>
      <c r="G404" s="28" t="inlineStr">
        <is>
          <t>/settings/holidays</t>
        </is>
      </c>
      <c r="H404" s="29" t="inlineStr">
        <is>
          <t>Extended</t>
        </is>
      </c>
    </row>
    <row r="405" ht="30" customHeight="1">
      <c r="A405" s="28" t="inlineStr">
        <is>
          <t>HR Manager</t>
        </is>
      </c>
      <c r="B405" s="28" t="inlineStr">
        <is>
          <t>ORG-03</t>
        </is>
      </c>
      <c r="C405" s="28" t="inlineStr">
        <is>
          <t>Organisation &amp; master data</t>
        </is>
      </c>
      <c r="D405" s="28" t="inlineStr">
        <is>
          <t>Cost rates (CTC history)</t>
        </is>
      </c>
      <c r="E405" s="29" t="inlineStr">
        <is>
          <t>C</t>
        </is>
      </c>
      <c r="F405" s="28" t="inlineStr">
        <is>
          <t>Consulted: gives input, data or a decision when asked.</t>
        </is>
      </c>
      <c r="G405" s="28" t="inlineStr">
        <is>
          <t>/settings/cost-rates</t>
        </is>
      </c>
      <c r="H405" s="29" t="inlineStr">
        <is>
          <t>Extended</t>
        </is>
      </c>
    </row>
    <row r="406" ht="30" customHeight="1">
      <c r="A406" s="28" t="inlineStr">
        <is>
          <t>HR Manager</t>
        </is>
      </c>
      <c r="B406" s="28" t="inlineStr">
        <is>
          <t>ORG-04</t>
        </is>
      </c>
      <c r="C406" s="28" t="inlineStr">
        <is>
          <t>Organisation &amp; master data</t>
        </is>
      </c>
      <c r="D406" s="28" t="inlineStr">
        <is>
          <t>Vendor master (onboard, block, unblock)</t>
        </is>
      </c>
      <c r="E406" s="29" t="inlineStr">
        <is>
          <t>R</t>
        </is>
      </c>
      <c r="F406" s="28" t="inlineStr">
        <is>
          <t>Does it: carries out "Vendor master (onboard, block, unblock)" in /purchases (Vendors tab).</t>
        </is>
      </c>
      <c r="G406" s="28" t="inlineStr">
        <is>
          <t>/purchases (Vendors tab)</t>
        </is>
      </c>
      <c r="H406" s="29" t="inlineStr">
        <is>
          <t>Extended</t>
        </is>
      </c>
    </row>
    <row r="407" ht="30" customHeight="1">
      <c r="A407" s="28" t="inlineStr">
        <is>
          <t>HR Manager</t>
        </is>
      </c>
      <c r="B407" s="28" t="inlineStr">
        <is>
          <t>ORG-05</t>
        </is>
      </c>
      <c r="C407" s="28" t="inlineStr">
        <is>
          <t>Organisation &amp; master data</t>
        </is>
      </c>
      <c r="D407" s="28" t="inlineStr">
        <is>
          <t>Product, category and service catalogue maintenance</t>
        </is>
      </c>
      <c r="E407" s="29" t="inlineStr">
        <is>
          <t>C</t>
        </is>
      </c>
      <c r="F407" s="28" t="inlineStr">
        <is>
          <t>Planned (not built yet). Consulted: gives input, data or a decision when asked.</t>
        </is>
      </c>
      <c r="G407" s="28" t="inlineStr">
        <is>
          <t>-</t>
        </is>
      </c>
      <c r="H407" s="29" t="inlineStr">
        <is>
          <t>Planned</t>
        </is>
      </c>
    </row>
    <row r="408" ht="17" customHeight="1">
      <c r="A408" s="28" t="inlineStr">
        <is>
          <t>HR Manager</t>
        </is>
      </c>
      <c r="B408" s="28" t="inlineStr">
        <is>
          <t>DEL-12</t>
        </is>
      </c>
      <c r="C408" s="28" t="inlineStr">
        <is>
          <t>Project delivery</t>
        </is>
      </c>
      <c r="D408" s="28" t="inlineStr">
        <is>
          <t>Resource requisition</t>
        </is>
      </c>
      <c r="E408" s="29" t="inlineStr">
        <is>
          <t>R</t>
        </is>
      </c>
      <c r="F408" s="28" t="inlineStr">
        <is>
          <t>Planned (not built yet). Does it: carries out "Resource requisition".</t>
        </is>
      </c>
      <c r="G408" s="28" t="inlineStr">
        <is>
          <t>-</t>
        </is>
      </c>
      <c r="H408" s="29" t="inlineStr">
        <is>
          <t>Planned</t>
        </is>
      </c>
    </row>
    <row r="409" ht="30" customHeight="1">
      <c r="A409" s="28" t="inlineStr">
        <is>
          <t>HR Manager</t>
        </is>
      </c>
      <c r="B409" s="28" t="inlineStr">
        <is>
          <t>DEL-13</t>
        </is>
      </c>
      <c r="C409" s="28" t="inlineStr">
        <is>
          <t>Project delivery</t>
        </is>
      </c>
      <c r="D409" s="28" t="inlineStr">
        <is>
          <t>Capacity planning and forecasting</t>
        </is>
      </c>
      <c r="E409" s="29" t="inlineStr">
        <is>
          <t>C</t>
        </is>
      </c>
      <c r="F409" s="28" t="inlineStr">
        <is>
          <t>Planned (not built yet). Consulted: gives input, data or a decision when asked.</t>
        </is>
      </c>
      <c r="G409" s="28" t="inlineStr">
        <is>
          <t>-</t>
        </is>
      </c>
      <c r="H409" s="29" t="inlineStr">
        <is>
          <t>Planned</t>
        </is>
      </c>
    </row>
    <row r="410" ht="17" customHeight="1">
      <c r="A410" s="28" t="inlineStr">
        <is>
          <t>HR Manager</t>
        </is>
      </c>
      <c r="B410" s="28" t="inlineStr">
        <is>
          <t>TSK-01</t>
        </is>
      </c>
      <c r="C410" s="28" t="inlineStr">
        <is>
          <t>Task governance</t>
        </is>
      </c>
      <c r="D410" s="28" t="inlineStr">
        <is>
          <t>Manager assigns a task</t>
        </is>
      </c>
      <c r="E410" s="29" t="inlineStr">
        <is>
          <t>R</t>
        </is>
      </c>
      <c r="F410" s="28" t="inlineStr">
        <is>
          <t>Can assign to own reports (if any).</t>
        </is>
      </c>
      <c r="G410" s="28" t="inlineStr">
        <is>
          <t>/team-tasks?tab=assign</t>
        </is>
      </c>
      <c r="H410" s="29" t="inlineStr">
        <is>
          <t>New in v3</t>
        </is>
      </c>
    </row>
    <row r="411" ht="30" customHeight="1">
      <c r="A411" s="28" t="inlineStr">
        <is>
          <t>HR Manager</t>
        </is>
      </c>
      <c r="B411" s="28" t="inlineStr">
        <is>
          <t>TSK-02</t>
        </is>
      </c>
      <c r="C411" s="28" t="inlineStr">
        <is>
          <t>Task governance</t>
        </is>
      </c>
      <c r="D411" s="28" t="inlineStr">
        <is>
          <t>Work my tasks (start, progress, covering)</t>
        </is>
      </c>
      <c r="E411" s="29" t="inlineStr">
        <is>
          <t>C</t>
        </is>
      </c>
      <c r="F411" s="28" t="inlineStr">
        <is>
          <t>Consulted: gives input, data or a decision when asked.</t>
        </is>
      </c>
      <c r="G411" s="28" t="inlineStr">
        <is>
          <t>/my-tasks, task drawer</t>
        </is>
      </c>
      <c r="H411" s="29" t="inlineStr">
        <is>
          <t>Live</t>
        </is>
      </c>
    </row>
    <row r="412" ht="30" customHeight="1">
      <c r="A412" s="28" t="inlineStr">
        <is>
          <t>HR Manager</t>
        </is>
      </c>
      <c r="B412" s="28" t="inlineStr">
        <is>
          <t>TSK-04</t>
        </is>
      </c>
      <c r="C412" s="28" t="inlineStr">
        <is>
          <t>Task governance</t>
        </is>
      </c>
      <c r="D412" s="28" t="inlineStr">
        <is>
          <t>Submit task for review</t>
        </is>
      </c>
      <c r="E412" s="29" t="inlineStr">
        <is>
          <t>C</t>
        </is>
      </c>
      <c r="F412" s="28" t="inlineStr">
        <is>
          <t>Consulted: gives input, data or a decision when asked.</t>
        </is>
      </c>
      <c r="G412" s="28" t="inlineStr">
        <is>
          <t>Task drawer &gt; Submit for review</t>
        </is>
      </c>
      <c r="H412" s="29" t="inlineStr">
        <is>
          <t>New in v3</t>
        </is>
      </c>
    </row>
    <row r="413" ht="30" customHeight="1">
      <c r="A413" s="28" t="inlineStr">
        <is>
          <t>HR Manager</t>
        </is>
      </c>
      <c r="B413" s="28" t="inlineStr">
        <is>
          <t>TSK-05</t>
        </is>
      </c>
      <c r="C413" s="28" t="inlineStr">
        <is>
          <t>Task governance</t>
        </is>
      </c>
      <c r="D413" s="28" t="inlineStr">
        <is>
          <t>Delay reason capture</t>
        </is>
      </c>
      <c r="E413" s="29" t="inlineStr">
        <is>
          <t>C</t>
        </is>
      </c>
      <c r="F413" s="28" t="inlineStr">
        <is>
          <t>Consulted: gives input, data or a decision when asked.</t>
        </is>
      </c>
      <c r="G413" s="28" t="inlineStr">
        <is>
          <t>Task drawer &gt; Submit for review</t>
        </is>
      </c>
      <c r="H413" s="29" t="inlineStr">
        <is>
          <t>New in v3</t>
        </is>
      </c>
    </row>
    <row r="414" ht="30" customHeight="1">
      <c r="A414" s="28" t="inlineStr">
        <is>
          <t>HR Manager</t>
        </is>
      </c>
      <c r="B414" s="28" t="inlineStr">
        <is>
          <t>TSK-06</t>
        </is>
      </c>
      <c r="C414" s="28" t="inlineStr">
        <is>
          <t>Task governance</t>
        </is>
      </c>
      <c r="D414" s="28" t="inlineStr">
        <is>
          <t>Approve task with quality rating</t>
        </is>
      </c>
      <c r="E414" s="29" t="inlineStr">
        <is>
          <t>R</t>
        </is>
      </c>
      <c r="F414" s="28" t="inlineStr">
        <is>
          <t>Does it: carries out "Approve task with quality rating" in /inbox, /team-tasks?tab=review, task drawer.</t>
        </is>
      </c>
      <c r="G414" s="28" t="inlineStr">
        <is>
          <t>/inbox, /team-tasks?tab=review, task drawer</t>
        </is>
      </c>
      <c r="H414" s="29" t="inlineStr">
        <is>
          <t>Extended</t>
        </is>
      </c>
    </row>
    <row r="415" ht="17" customHeight="1">
      <c r="A415" s="28" t="inlineStr">
        <is>
          <t>HR Manager</t>
        </is>
      </c>
      <c r="B415" s="28" t="inlineStr">
        <is>
          <t>TSK-07</t>
        </is>
      </c>
      <c r="C415" s="28" t="inlineStr">
        <is>
          <t>Task governance</t>
        </is>
      </c>
      <c r="D415" s="28" t="inlineStr">
        <is>
          <t>Send back with reason</t>
        </is>
      </c>
      <c r="E415" s="29" t="inlineStr">
        <is>
          <t>R</t>
        </is>
      </c>
      <c r="F415" s="28" t="inlineStr">
        <is>
          <t>Does it: carries out "Send back with reason" in /inbox, task drawer.</t>
        </is>
      </c>
      <c r="G415" s="28" t="inlineStr">
        <is>
          <t>/inbox, task drawer</t>
        </is>
      </c>
      <c r="H415" s="29" t="inlineStr">
        <is>
          <t>Extended</t>
        </is>
      </c>
    </row>
    <row r="416" ht="43" customHeight="1">
      <c r="A416" s="28" t="inlineStr">
        <is>
          <t>HR Manager</t>
        </is>
      </c>
      <c r="B416" s="28" t="inlineStr">
        <is>
          <t>TSK-09</t>
        </is>
      </c>
      <c r="C416" s="28" t="inlineStr">
        <is>
          <t>Task governance</t>
        </is>
      </c>
      <c r="D416" s="28" t="inlineStr">
        <is>
          <t>Timeliness: early, on time or late</t>
        </is>
      </c>
      <c r="E416" s="29" t="inlineStr">
        <is>
          <t>I</t>
        </is>
      </c>
      <c r="F416" s="28" t="inlineStr">
        <is>
          <t>Informed; sees the outcome in CEO Home, HR &amp; operations Home, PM Home, Employee Home (task delivery panels), Team tasks &gt; Performance, Scorecard, Appraisals, Reports / Ask AI (tasks.timeliness).</t>
        </is>
      </c>
      <c r="G416" s="28" t="inlineStr">
        <is>
          <t>Computed (performance.ts)</t>
        </is>
      </c>
      <c r="H416" s="29" t="inlineStr">
        <is>
          <t>New in v3</t>
        </is>
      </c>
    </row>
    <row r="417" ht="17" customHeight="1">
      <c r="A417" s="28" t="inlineStr">
        <is>
          <t>HR Manager</t>
        </is>
      </c>
      <c r="B417" s="28" t="inlineStr">
        <is>
          <t>TSK-10</t>
        </is>
      </c>
      <c r="C417" s="28" t="inlineStr">
        <is>
          <t>Task governance</t>
        </is>
      </c>
      <c r="D417" s="28" t="inlineStr">
        <is>
          <t>Team task monitoring</t>
        </is>
      </c>
      <c r="E417" s="29" t="inlineStr">
        <is>
          <t>C</t>
        </is>
      </c>
      <c r="F417" s="28" t="inlineStr">
        <is>
          <t>Consulted: gives input, data or a decision when asked.</t>
        </is>
      </c>
      <c r="G417" s="28" t="inlineStr">
        <is>
          <t>/team-tasks?tab=team</t>
        </is>
      </c>
      <c r="H417" s="29" t="inlineStr">
        <is>
          <t>New in v3</t>
        </is>
      </c>
    </row>
    <row r="418" ht="30" customHeight="1">
      <c r="A418" s="28" t="inlineStr">
        <is>
          <t>HR Manager</t>
        </is>
      </c>
      <c r="B418" s="28" t="inlineStr">
        <is>
          <t>TSK-11</t>
        </is>
      </c>
      <c r="C418" s="28" t="inlineStr">
        <is>
          <t>Task governance</t>
        </is>
      </c>
      <c r="D418" s="28" t="inlineStr">
        <is>
          <t>Team and company delivery performance</t>
        </is>
      </c>
      <c r="E418" s="29" t="inlineStr">
        <is>
          <t>R</t>
        </is>
      </c>
      <c r="F418" s="28" t="inlineStr">
        <is>
          <t>Does it: carries out "Team and company delivery performance" in /team-tasks?tab=performance, /home.</t>
        </is>
      </c>
      <c r="G418" s="28" t="inlineStr">
        <is>
          <t>/team-tasks?tab=performance, /home</t>
        </is>
      </c>
      <c r="H418" s="29" t="inlineStr">
        <is>
          <t>New in v3</t>
        </is>
      </c>
    </row>
    <row r="419" ht="17" customHeight="1">
      <c r="A419" s="28" t="inlineStr">
        <is>
          <t>HR Manager</t>
        </is>
      </c>
      <c r="B419" s="28" t="inlineStr">
        <is>
          <t>TIM-01</t>
        </is>
      </c>
      <c r="C419" s="28" t="inlineStr">
        <is>
          <t>Time &amp; attendance</t>
        </is>
      </c>
      <c r="D419" s="28" t="inlineStr">
        <is>
          <t>Weekly timesheet entry</t>
        </is>
      </c>
      <c r="E419" s="29" t="inlineStr">
        <is>
          <t>R</t>
        </is>
      </c>
      <c r="F419" s="28" t="inlineStr">
        <is>
          <t>Does it: carries out "Weekly timesheet entry" in /timesheet.</t>
        </is>
      </c>
      <c r="G419" s="28" t="inlineStr">
        <is>
          <t>/timesheet</t>
        </is>
      </c>
      <c r="H419" s="29" t="inlineStr">
        <is>
          <t>Live</t>
        </is>
      </c>
    </row>
    <row r="420" ht="17" customHeight="1">
      <c r="A420" s="28" t="inlineStr">
        <is>
          <t>HR Manager</t>
        </is>
      </c>
      <c r="B420" s="28" t="inlineStr">
        <is>
          <t>TIM-02</t>
        </is>
      </c>
      <c r="C420" s="28" t="inlineStr">
        <is>
          <t>Time &amp; attendance</t>
        </is>
      </c>
      <c r="D420" s="28" t="inlineStr">
        <is>
          <t>Submit the week</t>
        </is>
      </c>
      <c r="E420" s="29" t="inlineStr">
        <is>
          <t>R</t>
        </is>
      </c>
      <c r="F420" s="28" t="inlineStr">
        <is>
          <t>Does it: carries out "Submit the week" in /timesheet.</t>
        </is>
      </c>
      <c r="G420" s="28" t="inlineStr">
        <is>
          <t>/timesheet</t>
        </is>
      </c>
      <c r="H420" s="29" t="inlineStr">
        <is>
          <t>Live</t>
        </is>
      </c>
    </row>
    <row r="421" ht="17" customHeight="1">
      <c r="A421" s="28" t="inlineStr">
        <is>
          <t>HR Manager</t>
        </is>
      </c>
      <c r="B421" s="28" t="inlineStr">
        <is>
          <t>TIM-03</t>
        </is>
      </c>
      <c r="C421" s="28" t="inlineStr">
        <is>
          <t>Time &amp; attendance</t>
        </is>
      </c>
      <c r="D421" s="28" t="inlineStr">
        <is>
          <t>Timesheet approval and SLA</t>
        </is>
      </c>
      <c r="E421" s="29" t="inlineStr">
        <is>
          <t>C</t>
        </is>
      </c>
      <c r="F421" s="28" t="inlineStr">
        <is>
          <t>Consulted: gives input, data or a decision when asked.</t>
        </is>
      </c>
      <c r="G421" s="28" t="inlineStr">
        <is>
          <t>/approvals, /inbox, /team</t>
        </is>
      </c>
      <c r="H421" s="29" t="inlineStr">
        <is>
          <t>Extended</t>
        </is>
      </c>
    </row>
    <row r="422" ht="30" customHeight="1">
      <c r="A422" s="28" t="inlineStr">
        <is>
          <t>HR Manager</t>
        </is>
      </c>
      <c r="B422" s="28" t="inlineStr">
        <is>
          <t>TIM-04</t>
        </is>
      </c>
      <c r="C422" s="28" t="inlineStr">
        <is>
          <t>Time &amp; attendance</t>
        </is>
      </c>
      <c r="D422" s="28" t="inlineStr">
        <is>
          <t>Weekly lock and unlock request</t>
        </is>
      </c>
      <c r="E422" s="29" t="inlineStr">
        <is>
          <t>R</t>
        </is>
      </c>
      <c r="F422" s="28" t="inlineStr">
        <is>
          <t>Does it: carries out "Weekly lock and unlock request" in /timesheet, /approvals, /inbox.</t>
        </is>
      </c>
      <c r="G422" s="28" t="inlineStr">
        <is>
          <t>/timesheet, /approvals, /inbox</t>
        </is>
      </c>
      <c r="H422" s="29" t="inlineStr">
        <is>
          <t>Live</t>
        </is>
      </c>
    </row>
    <row r="423" ht="17" customHeight="1">
      <c r="A423" s="28" t="inlineStr">
        <is>
          <t>HR Manager</t>
        </is>
      </c>
      <c r="B423" s="28" t="inlineStr">
        <is>
          <t>TIM-05</t>
        </is>
      </c>
      <c r="C423" s="28" t="inlineStr">
        <is>
          <t>Time &amp; attendance</t>
        </is>
      </c>
      <c r="D423" s="28" t="inlineStr">
        <is>
          <t>Daily update with proof</t>
        </is>
      </c>
      <c r="E423" s="29" t="inlineStr">
        <is>
          <t>R</t>
        </is>
      </c>
      <c r="F423" s="28" t="inlineStr">
        <is>
          <t>Does it: carries out "Daily update with proof" in /daily.</t>
        </is>
      </c>
      <c r="G423" s="28" t="inlineStr">
        <is>
          <t>/daily</t>
        </is>
      </c>
      <c r="H423" s="29" t="inlineStr">
        <is>
          <t>Live</t>
        </is>
      </c>
    </row>
    <row r="424" ht="17" customHeight="1">
      <c r="A424" s="28" t="inlineStr">
        <is>
          <t>HR Manager</t>
        </is>
      </c>
      <c r="B424" s="28" t="inlineStr">
        <is>
          <t>TIM-06</t>
        </is>
      </c>
      <c r="C424" s="28" t="inlineStr">
        <is>
          <t>Time &amp; attendance</t>
        </is>
      </c>
      <c r="D424" s="28" t="inlineStr">
        <is>
          <t>Apply for leave</t>
        </is>
      </c>
      <c r="E424" s="29" t="inlineStr">
        <is>
          <t>R</t>
        </is>
      </c>
      <c r="F424" s="28" t="inlineStr">
        <is>
          <t>Does it: carries out "Apply for leave" in /leave.</t>
        </is>
      </c>
      <c r="G424" s="28" t="inlineStr">
        <is>
          <t>/leave</t>
        </is>
      </c>
      <c r="H424" s="29" t="inlineStr">
        <is>
          <t>New in v3</t>
        </is>
      </c>
    </row>
    <row r="425" ht="17" customHeight="1">
      <c r="A425" s="28" t="inlineStr">
        <is>
          <t>HR Manager</t>
        </is>
      </c>
      <c r="B425" s="28" t="inlineStr">
        <is>
          <t>TIM-07</t>
        </is>
      </c>
      <c r="C425" s="28" t="inlineStr">
        <is>
          <t>Time &amp; attendance</t>
        </is>
      </c>
      <c r="D425" s="28" t="inlineStr">
        <is>
          <t>Approve, reject or cancel leave</t>
        </is>
      </c>
      <c r="E425" s="29" t="inlineStr">
        <is>
          <t>C</t>
        </is>
      </c>
      <c r="F425" s="28" t="inlineStr">
        <is>
          <t>Consulted: gives input, data or a decision when asked.</t>
        </is>
      </c>
      <c r="G425" s="28" t="inlineStr">
        <is>
          <t>/leave, /inbox</t>
        </is>
      </c>
      <c r="H425" s="29" t="inlineStr">
        <is>
          <t>Extended</t>
        </is>
      </c>
    </row>
    <row r="426" ht="17" customHeight="1">
      <c r="A426" s="28" t="inlineStr">
        <is>
          <t>HR Manager</t>
        </is>
      </c>
      <c r="B426" s="28" t="inlineStr">
        <is>
          <t>TIM-08</t>
        </is>
      </c>
      <c r="C426" s="28" t="inlineStr">
        <is>
          <t>Time &amp; attendance</t>
        </is>
      </c>
      <c r="D426" s="28" t="inlineStr">
        <is>
          <t>Leave policy and balances</t>
        </is>
      </c>
      <c r="E426" s="29" t="inlineStr">
        <is>
          <t>R</t>
        </is>
      </c>
      <c r="F426" s="28" t="inlineStr">
        <is>
          <t>Does it: carries out "Leave policy and balances" in /leave (policy).</t>
        </is>
      </c>
      <c r="G426" s="28" t="inlineStr">
        <is>
          <t>/leave (policy)</t>
        </is>
      </c>
      <c r="H426" s="29" t="inlineStr">
        <is>
          <t>New in v3</t>
        </is>
      </c>
    </row>
    <row r="427" ht="30" customHeight="1">
      <c r="A427" s="28" t="inlineStr">
        <is>
          <t>HR Manager</t>
        </is>
      </c>
      <c r="B427" s="28" t="inlineStr">
        <is>
          <t>TIM-09</t>
        </is>
      </c>
      <c r="C427" s="28" t="inlineStr">
        <is>
          <t>Time &amp; attendance</t>
        </is>
      </c>
      <c r="D427" s="28" t="inlineStr">
        <is>
          <t>HR leave entry and leave in timesheet</t>
        </is>
      </c>
      <c r="E427" s="29" t="inlineStr">
        <is>
          <t>R</t>
        </is>
      </c>
      <c r="F427" s="28" t="inlineStr">
        <is>
          <t>Does it: carries out "HR leave entry and leave in timesheet" in /leave, /timesheet.</t>
        </is>
      </c>
      <c r="G427" s="28" t="inlineStr">
        <is>
          <t>/leave, /timesheet</t>
        </is>
      </c>
      <c r="H427" s="29" t="inlineStr">
        <is>
          <t>Live</t>
        </is>
      </c>
    </row>
    <row r="428" ht="30" customHeight="1">
      <c r="A428" s="28" t="inlineStr">
        <is>
          <t>HR Manager</t>
        </is>
      </c>
      <c r="B428" s="28" t="inlineStr">
        <is>
          <t>TIM-10</t>
        </is>
      </c>
      <c r="C428" s="28" t="inlineStr">
        <is>
          <t>Time &amp; attendance</t>
        </is>
      </c>
      <c r="D428" s="28" t="inlineStr">
        <is>
          <t>Compensatory off accrual</t>
        </is>
      </c>
      <c r="E428" s="29" t="inlineStr">
        <is>
          <t>C</t>
        </is>
      </c>
      <c r="F428" s="28" t="inlineStr">
        <is>
          <t>Planned (not built yet). Consulted: gives input, data or a decision when asked.</t>
        </is>
      </c>
      <c r="G428" s="28" t="inlineStr">
        <is>
          <t>-</t>
        </is>
      </c>
      <c r="H428" s="29" t="inlineStr">
        <is>
          <t>Planned</t>
        </is>
      </c>
    </row>
    <row r="429" ht="30" customHeight="1">
      <c r="A429" s="28" t="inlineStr">
        <is>
          <t>HR Manager</t>
        </is>
      </c>
      <c r="B429" s="28" t="inlineStr">
        <is>
          <t>TIM-11</t>
        </is>
      </c>
      <c r="C429" s="28" t="inlineStr">
        <is>
          <t>Time &amp; attendance</t>
        </is>
      </c>
      <c r="D429" s="28" t="inlineStr">
        <is>
          <t>Attendance capture (office / WFH / client site)</t>
        </is>
      </c>
      <c r="E429" s="29" t="inlineStr">
        <is>
          <t>R</t>
        </is>
      </c>
      <c r="F429" s="28" t="inlineStr">
        <is>
          <t>Planned (not built yet). Does it: carries out "Attendance capture (office / WFH / client site)".</t>
        </is>
      </c>
      <c r="G429" s="28" t="inlineStr">
        <is>
          <t>-</t>
        </is>
      </c>
      <c r="H429" s="29" t="inlineStr">
        <is>
          <t>Planned</t>
        </is>
      </c>
    </row>
    <row r="430" ht="30" customHeight="1">
      <c r="A430" s="28" t="inlineStr">
        <is>
          <t>HR Manager</t>
        </is>
      </c>
      <c r="B430" s="28" t="inlineStr">
        <is>
          <t>DOC-01</t>
        </is>
      </c>
      <c r="C430" s="28" t="inlineStr">
        <is>
          <t>Documents &amp; knowledge</t>
        </is>
      </c>
      <c r="D430" s="28" t="inlineStr">
        <is>
          <t>PM uploads a project document</t>
        </is>
      </c>
      <c r="E430" s="29" t="inlineStr">
        <is>
          <t>I</t>
        </is>
      </c>
      <c r="F430" s="28" t="inlineStr">
        <is>
          <t>Informed (NTF-14 must-read document (to audience)); sees the outcome in Project &gt; Documents, Documents library; Reports / Ask AI (documents).</t>
        </is>
      </c>
      <c r="G430" s="28" t="inlineStr">
        <is>
          <t>/projects/:id/documents</t>
        </is>
      </c>
      <c r="H430" s="29" t="inlineStr">
        <is>
          <t>New in v3</t>
        </is>
      </c>
    </row>
    <row r="431" ht="30" customHeight="1">
      <c r="A431" s="28" t="inlineStr">
        <is>
          <t>HR Manager</t>
        </is>
      </c>
      <c r="B431" s="28" t="inlineStr">
        <is>
          <t>DOC-02</t>
        </is>
      </c>
      <c r="C431" s="28" t="inlineStr">
        <is>
          <t>Documents &amp; knowledge</t>
        </is>
      </c>
      <c r="D431" s="28" t="inlineStr">
        <is>
          <t>Employees access project documents</t>
        </is>
      </c>
      <c r="E431" s="29" t="inlineStr">
        <is>
          <t>R</t>
        </is>
      </c>
      <c r="F431" s="28" t="inlineStr">
        <is>
          <t>Does it: carries out "Employees access project documents" in /documents, /projects/:id/documents.</t>
        </is>
      </c>
      <c r="G431" s="28" t="inlineStr">
        <is>
          <t>/documents, /projects/:id/documents</t>
        </is>
      </c>
      <c r="H431" s="29" t="inlineStr">
        <is>
          <t>New in v3</t>
        </is>
      </c>
    </row>
    <row r="432" ht="17" customHeight="1">
      <c r="A432" s="28" t="inlineStr">
        <is>
          <t>HR Manager</t>
        </is>
      </c>
      <c r="B432" s="28" t="inlineStr">
        <is>
          <t>DOC-03</t>
        </is>
      </c>
      <c r="C432" s="28" t="inlineStr">
        <is>
          <t>Documents &amp; knowledge</t>
        </is>
      </c>
      <c r="D432" s="28" t="inlineStr">
        <is>
          <t>New version, archive and restore</t>
        </is>
      </c>
      <c r="E432" s="29" t="inlineStr">
        <is>
          <t>I</t>
        </is>
      </c>
      <c r="F432" s="28" t="inlineStr">
        <is>
          <t>Informed (NTF-14 must-read (new version)); sees the outcome in Documents.</t>
        </is>
      </c>
      <c r="G432" s="28" t="inlineStr">
        <is>
          <t>/documents</t>
        </is>
      </c>
      <c r="H432" s="29" t="inlineStr">
        <is>
          <t>New in v3</t>
        </is>
      </c>
    </row>
    <row r="433" ht="17" customHeight="1">
      <c r="A433" s="28" t="inlineStr">
        <is>
          <t>HR Manager</t>
        </is>
      </c>
      <c r="B433" s="28" t="inlineStr">
        <is>
          <t>DOC-04</t>
        </is>
      </c>
      <c r="C433" s="28" t="inlineStr">
        <is>
          <t>Documents &amp; knowledge</t>
        </is>
      </c>
      <c r="D433" s="28" t="inlineStr">
        <is>
          <t>Must-read acknowledgement</t>
        </is>
      </c>
      <c r="E433" s="29" t="inlineStr">
        <is>
          <t>R</t>
        </is>
      </c>
      <c r="F433" s="28" t="inlineStr">
        <is>
          <t>Does it: carries out "Must-read acknowledgement" in /inbox, /documents.</t>
        </is>
      </c>
      <c r="G433" s="28" t="inlineStr">
        <is>
          <t>/inbox, /documents</t>
        </is>
      </c>
      <c r="H433" s="29" t="inlineStr">
        <is>
          <t>New in v3</t>
        </is>
      </c>
    </row>
    <row r="434" ht="17" customHeight="1">
      <c r="A434" s="28" t="inlineStr">
        <is>
          <t>HR Manager</t>
        </is>
      </c>
      <c r="B434" s="28" t="inlineStr">
        <is>
          <t>DOC-05</t>
        </is>
      </c>
      <c r="C434" s="28" t="inlineStr">
        <is>
          <t>Documents &amp; knowledge</t>
        </is>
      </c>
      <c r="D434" s="28" t="inlineStr">
        <is>
          <t>Company library and policies</t>
        </is>
      </c>
      <c r="E434" s="29" t="inlineStr">
        <is>
          <t>R</t>
        </is>
      </c>
      <c r="F434" s="28" t="inlineStr">
        <is>
          <t>Does it: carries out "Company library and policies" in /documents.</t>
        </is>
      </c>
      <c r="G434" s="28" t="inlineStr">
        <is>
          <t>/documents</t>
        </is>
      </c>
      <c r="H434" s="29" t="inlineStr">
        <is>
          <t>New in v3</t>
        </is>
      </c>
    </row>
    <row r="435" ht="30" customHeight="1">
      <c r="A435" s="28" t="inlineStr">
        <is>
          <t>HR Manager</t>
        </is>
      </c>
      <c r="B435" s="28" t="inlineStr">
        <is>
          <t>DOC-06</t>
        </is>
      </c>
      <c r="C435" s="28" t="inlineStr">
        <is>
          <t>Documents &amp; knowledge</t>
        </is>
      </c>
      <c r="D435" s="28" t="inlineStr">
        <is>
          <t>Knowledge base</t>
        </is>
      </c>
      <c r="E435" s="29" t="inlineStr">
        <is>
          <t>C</t>
        </is>
      </c>
      <c r="F435" s="28" t="inlineStr">
        <is>
          <t>Planned (not built yet). Consulted: gives input, data or a decision when asked.</t>
        </is>
      </c>
      <c r="G435" s="28" t="inlineStr">
        <is>
          <t>-</t>
        </is>
      </c>
      <c r="H435" s="29" t="inlineStr">
        <is>
          <t>Planned</t>
        </is>
      </c>
    </row>
    <row r="436" ht="30" customHeight="1">
      <c r="A436" s="28" t="inlineStr">
        <is>
          <t>HR Manager</t>
        </is>
      </c>
      <c r="B436" s="28" t="inlineStr">
        <is>
          <t>DOC-07</t>
        </is>
      </c>
      <c r="C436" s="28" t="inlineStr">
        <is>
          <t>Documents &amp; knowledge</t>
        </is>
      </c>
      <c r="D436" s="28" t="inlineStr">
        <is>
          <t>Policy attestation cycles</t>
        </is>
      </c>
      <c r="E436" s="29" t="inlineStr">
        <is>
          <t>R</t>
        </is>
      </c>
      <c r="F436" s="28" t="inlineStr">
        <is>
          <t>Planned (not built yet). Does it: carries out "Policy attestation cycles".</t>
        </is>
      </c>
      <c r="G436" s="28" t="inlineStr">
        <is>
          <t>-</t>
        </is>
      </c>
      <c r="H436" s="29" t="inlineStr">
        <is>
          <t>Planned</t>
        </is>
      </c>
    </row>
    <row r="437" ht="17" customHeight="1">
      <c r="A437" s="28" t="inlineStr">
        <is>
          <t>HR Manager</t>
        </is>
      </c>
      <c r="B437" s="28" t="inlineStr">
        <is>
          <t>DOC-08</t>
        </is>
      </c>
      <c r="C437" s="28" t="inlineStr">
        <is>
          <t>Documents &amp; knowledge</t>
        </is>
      </c>
      <c r="D437" s="28" t="inlineStr">
        <is>
          <t>Internal announcements</t>
        </is>
      </c>
      <c r="E437" s="29" t="inlineStr">
        <is>
          <t>R</t>
        </is>
      </c>
      <c r="F437" s="28" t="inlineStr">
        <is>
          <t>Planned (not built yet). Does it: carries out "Internal announcements".</t>
        </is>
      </c>
      <c r="G437" s="28" t="inlineStr">
        <is>
          <t>-</t>
        </is>
      </c>
      <c r="H437" s="29" t="inlineStr">
        <is>
          <t>Planned</t>
        </is>
      </c>
    </row>
    <row r="438" ht="17" customHeight="1">
      <c r="A438" s="28" t="inlineStr">
        <is>
          <t>HR Manager</t>
        </is>
      </c>
      <c r="B438" s="28" t="inlineStr">
        <is>
          <t>HR-01</t>
        </is>
      </c>
      <c r="C438" s="28" t="inlineStr">
        <is>
          <t>People &amp; HR</t>
        </is>
      </c>
      <c r="D438" s="28" t="inlineStr">
        <is>
          <t>Hiring openings</t>
        </is>
      </c>
      <c r="E438" s="29" t="inlineStr">
        <is>
          <t>R</t>
        </is>
      </c>
      <c r="F438" s="28" t="inlineStr">
        <is>
          <t>Does it: carries out "Hiring openings" in /openings.</t>
        </is>
      </c>
      <c r="G438" s="28" t="inlineStr">
        <is>
          <t>/openings</t>
        </is>
      </c>
      <c r="H438" s="29" t="inlineStr">
        <is>
          <t>Extended</t>
        </is>
      </c>
    </row>
    <row r="439" ht="17" customHeight="1">
      <c r="A439" s="28" t="inlineStr">
        <is>
          <t>HR Manager</t>
        </is>
      </c>
      <c r="B439" s="28" t="inlineStr">
        <is>
          <t>HR-02</t>
        </is>
      </c>
      <c r="C439" s="28" t="inlineStr">
        <is>
          <t>People &amp; HR</t>
        </is>
      </c>
      <c r="D439" s="28" t="inlineStr">
        <is>
          <t>Candidate pipeline</t>
        </is>
      </c>
      <c r="E439" s="29" t="inlineStr">
        <is>
          <t>R</t>
        </is>
      </c>
      <c r="F439" s="28" t="inlineStr">
        <is>
          <t>Does it: carries out "Candidate pipeline" in /recruitment.</t>
        </is>
      </c>
      <c r="G439" s="28" t="inlineStr">
        <is>
          <t>/recruitment</t>
        </is>
      </c>
      <c r="H439" s="29" t="inlineStr">
        <is>
          <t>New in v3</t>
        </is>
      </c>
    </row>
    <row r="440" ht="17" customHeight="1">
      <c r="A440" s="28" t="inlineStr">
        <is>
          <t>HR Manager</t>
        </is>
      </c>
      <c r="B440" s="28" t="inlineStr">
        <is>
          <t>HR-03</t>
        </is>
      </c>
      <c r="C440" s="28" t="inlineStr">
        <is>
          <t>People &amp; HR</t>
        </is>
      </c>
      <c r="D440" s="28" t="inlineStr">
        <is>
          <t>Interviews and feedback</t>
        </is>
      </c>
      <c r="E440" s="29" t="inlineStr">
        <is>
          <t>R</t>
        </is>
      </c>
      <c r="F440" s="28" t="inlineStr">
        <is>
          <t>Does it: carries out "Interviews and feedback" in /recruitment.</t>
        </is>
      </c>
      <c r="G440" s="28" t="inlineStr">
        <is>
          <t>/recruitment</t>
        </is>
      </c>
      <c r="H440" s="29" t="inlineStr">
        <is>
          <t>New in v3</t>
        </is>
      </c>
    </row>
    <row r="441" ht="30" customHeight="1">
      <c r="A441" s="28" t="inlineStr">
        <is>
          <t>HR Manager</t>
        </is>
      </c>
      <c r="B441" s="28" t="inlineStr">
        <is>
          <t>HR-04</t>
        </is>
      </c>
      <c r="C441" s="28" t="inlineStr">
        <is>
          <t>People &amp; HR</t>
        </is>
      </c>
      <c r="D441" s="28" t="inlineStr">
        <is>
          <t>Make an offer, or reject a candidate</t>
        </is>
      </c>
      <c r="E441" s="29" t="inlineStr">
        <is>
          <t>R</t>
        </is>
      </c>
      <c r="F441" s="28" t="inlineStr">
        <is>
          <t>Does it: carries out "Make an offer, or reject a candidate" in /recruitment.</t>
        </is>
      </c>
      <c r="G441" s="28" t="inlineStr">
        <is>
          <t>/recruitment</t>
        </is>
      </c>
      <c r="H441" s="29" t="inlineStr">
        <is>
          <t>New in v3</t>
        </is>
      </c>
    </row>
    <row r="442" ht="17" customHeight="1">
      <c r="A442" s="28" t="inlineStr">
        <is>
          <t>HR Manager</t>
        </is>
      </c>
      <c r="B442" s="28" t="inlineStr">
        <is>
          <t>HR-05</t>
        </is>
      </c>
      <c r="C442" s="28" t="inlineStr">
        <is>
          <t>People &amp; HR</t>
        </is>
      </c>
      <c r="D442" s="28" t="inlineStr">
        <is>
          <t>Hire: invite and start onboarding</t>
        </is>
      </c>
      <c r="E442" s="29" t="inlineStr">
        <is>
          <t>R</t>
        </is>
      </c>
      <c r="F442" s="28" t="inlineStr">
        <is>
          <t>Does it: carries out "Hire: invite and start onboarding" in /recruitment.</t>
        </is>
      </c>
      <c r="G442" s="28" t="inlineStr">
        <is>
          <t>/recruitment</t>
        </is>
      </c>
      <c r="H442" s="29" t="inlineStr">
        <is>
          <t>New in v3</t>
        </is>
      </c>
    </row>
    <row r="443" ht="17" customHeight="1">
      <c r="A443" s="28" t="inlineStr">
        <is>
          <t>HR Manager</t>
        </is>
      </c>
      <c r="B443" s="28" t="inlineStr">
        <is>
          <t>HR-06</t>
        </is>
      </c>
      <c r="C443" s="28" t="inlineStr">
        <is>
          <t>People &amp; HR</t>
        </is>
      </c>
      <c r="D443" s="28" t="inlineStr">
        <is>
          <t>Onboarding checklist</t>
        </is>
      </c>
      <c r="E443" s="29" t="inlineStr">
        <is>
          <t>R</t>
        </is>
      </c>
      <c r="F443" s="28" t="inlineStr">
        <is>
          <t>Does it: carries out "Onboarding checklist" in /lifecycle.</t>
        </is>
      </c>
      <c r="G443" s="28" t="inlineStr">
        <is>
          <t>/lifecycle</t>
        </is>
      </c>
      <c r="H443" s="29" t="inlineStr">
        <is>
          <t>New in v3</t>
        </is>
      </c>
    </row>
    <row r="444" ht="17" customHeight="1">
      <c r="A444" s="28" t="inlineStr">
        <is>
          <t>HR Manager</t>
        </is>
      </c>
      <c r="B444" s="28" t="inlineStr">
        <is>
          <t>HR-07</t>
        </is>
      </c>
      <c r="C444" s="28" t="inlineStr">
        <is>
          <t>People &amp; HR</t>
        </is>
      </c>
      <c r="D444" s="28" t="inlineStr">
        <is>
          <t>Asset register: issue and return</t>
        </is>
      </c>
      <c r="E444" s="29" t="inlineStr">
        <is>
          <t>R</t>
        </is>
      </c>
      <c r="F444" s="28" t="inlineStr">
        <is>
          <t>Does it: carries out "Asset register: issue and return" in /assets.</t>
        </is>
      </c>
      <c r="G444" s="28" t="inlineStr">
        <is>
          <t>/assets</t>
        </is>
      </c>
      <c r="H444" s="29" t="inlineStr">
        <is>
          <t>New in v3</t>
        </is>
      </c>
    </row>
    <row r="445" ht="17" customHeight="1">
      <c r="A445" s="28" t="inlineStr">
        <is>
          <t>HR Manager</t>
        </is>
      </c>
      <c r="B445" s="28" t="inlineStr">
        <is>
          <t>HR-08</t>
        </is>
      </c>
      <c r="C445" s="28" t="inlineStr">
        <is>
          <t>People &amp; HR</t>
        </is>
      </c>
      <c r="D445" s="28" t="inlineStr">
        <is>
          <t>Goals and KRAs</t>
        </is>
      </c>
      <c r="E445" s="29" t="inlineStr">
        <is>
          <t>R</t>
        </is>
      </c>
      <c r="F445" s="28" t="inlineStr">
        <is>
          <t>Does it: carries out "Goals and KRAs" in /performance.</t>
        </is>
      </c>
      <c r="G445" s="28" t="inlineStr">
        <is>
          <t>/performance</t>
        </is>
      </c>
      <c r="H445" s="29" t="inlineStr">
        <is>
          <t>New in v3</t>
        </is>
      </c>
    </row>
    <row r="446" ht="17" customHeight="1">
      <c r="A446" s="28" t="inlineStr">
        <is>
          <t>HR Manager</t>
        </is>
      </c>
      <c r="B446" s="28" t="inlineStr">
        <is>
          <t>HR-09</t>
        </is>
      </c>
      <c r="C446" s="28" t="inlineStr">
        <is>
          <t>People &amp; HR</t>
        </is>
      </c>
      <c r="D446" s="28" t="inlineStr">
        <is>
          <t>Continuous feedback and praise</t>
        </is>
      </c>
      <c r="E446" s="29" t="inlineStr">
        <is>
          <t>R</t>
        </is>
      </c>
      <c r="F446" s="28" t="inlineStr">
        <is>
          <t>Does it: carries out "Continuous feedback and praise" in /performance.</t>
        </is>
      </c>
      <c r="G446" s="28" t="inlineStr">
        <is>
          <t>/performance</t>
        </is>
      </c>
      <c r="H446" s="29" t="inlineStr">
        <is>
          <t>New in v3</t>
        </is>
      </c>
    </row>
    <row r="447" ht="30" customHeight="1">
      <c r="A447" s="28" t="inlineStr">
        <is>
          <t>HR Manager</t>
        </is>
      </c>
      <c r="B447" s="28" t="inlineStr">
        <is>
          <t>HR-10</t>
        </is>
      </c>
      <c r="C447" s="28" t="inlineStr">
        <is>
          <t>People &amp; HR</t>
        </is>
      </c>
      <c r="D447" s="28" t="inlineStr">
        <is>
          <t>Set up and launch an appraisal cycle</t>
        </is>
      </c>
      <c r="E447" s="29" t="inlineStr">
        <is>
          <t>R</t>
        </is>
      </c>
      <c r="F447" s="28" t="inlineStr">
        <is>
          <t>Does it: carries out "Set up and launch an appraisal cycle" in /appraisals.</t>
        </is>
      </c>
      <c r="G447" s="28" t="inlineStr">
        <is>
          <t>/appraisals</t>
        </is>
      </c>
      <c r="H447" s="29" t="inlineStr">
        <is>
          <t>New in v3</t>
        </is>
      </c>
    </row>
    <row r="448" ht="17" customHeight="1">
      <c r="A448" s="28" t="inlineStr">
        <is>
          <t>HR Manager</t>
        </is>
      </c>
      <c r="B448" s="28" t="inlineStr">
        <is>
          <t>HR-11</t>
        </is>
      </c>
      <c r="C448" s="28" t="inlineStr">
        <is>
          <t>People &amp; HR</t>
        </is>
      </c>
      <c r="D448" s="28" t="inlineStr">
        <is>
          <t>Self review</t>
        </is>
      </c>
      <c r="E448" s="29" t="inlineStr">
        <is>
          <t>R</t>
        </is>
      </c>
      <c r="F448" s="28" t="inlineStr">
        <is>
          <t>Does it: carries out "Self review" in /appraisals/:id.</t>
        </is>
      </c>
      <c r="G448" s="28" t="inlineStr">
        <is>
          <t>/appraisals/:id</t>
        </is>
      </c>
      <c r="H448" s="29" t="inlineStr">
        <is>
          <t>New in v3</t>
        </is>
      </c>
    </row>
    <row r="449" ht="17" customHeight="1">
      <c r="A449" s="28" t="inlineStr">
        <is>
          <t>HR Manager</t>
        </is>
      </c>
      <c r="B449" s="28" t="inlineStr">
        <is>
          <t>HR-12</t>
        </is>
      </c>
      <c r="C449" s="28" t="inlineStr">
        <is>
          <t>People &amp; HR</t>
        </is>
      </c>
      <c r="D449" s="28" t="inlineStr">
        <is>
          <t>Manager review</t>
        </is>
      </c>
      <c r="E449" s="29" t="inlineStr">
        <is>
          <t>C</t>
        </is>
      </c>
      <c r="F449" s="28" t="inlineStr">
        <is>
          <t>Consulted: gives input, data or a decision when asked.</t>
        </is>
      </c>
      <c r="G449" s="28" t="inlineStr">
        <is>
          <t>/appraisals/:id</t>
        </is>
      </c>
      <c r="H449" s="29" t="inlineStr">
        <is>
          <t>New in v3</t>
        </is>
      </c>
    </row>
    <row r="450" ht="30" customHeight="1">
      <c r="A450" s="28" t="inlineStr">
        <is>
          <t>HR Manager</t>
        </is>
      </c>
      <c r="B450" s="28" t="inlineStr">
        <is>
          <t>HR-13</t>
        </is>
      </c>
      <c r="C450" s="28" t="inlineStr">
        <is>
          <t>People &amp; HR</t>
        </is>
      </c>
      <c r="D450" s="28" t="inlineStr">
        <is>
          <t>HR review, calibration and outcome</t>
        </is>
      </c>
      <c r="E450" s="29" t="inlineStr">
        <is>
          <t>R</t>
        </is>
      </c>
      <c r="F450" s="28" t="inlineStr">
        <is>
          <t>Does it: carries out "HR review, calibration and outcome" in /appraisals/:id.</t>
        </is>
      </c>
      <c r="G450" s="28" t="inlineStr">
        <is>
          <t>/appraisals/:id</t>
        </is>
      </c>
      <c r="H450" s="29" t="inlineStr">
        <is>
          <t>New in v3</t>
        </is>
      </c>
    </row>
    <row r="451" ht="30" customHeight="1">
      <c r="A451" s="28" t="inlineStr">
        <is>
          <t>HR Manager</t>
        </is>
      </c>
      <c r="B451" s="28" t="inlineStr">
        <is>
          <t>HR-14</t>
        </is>
      </c>
      <c r="C451" s="28" t="inlineStr">
        <is>
          <t>People &amp; HR</t>
        </is>
      </c>
      <c r="D451" s="28" t="inlineStr">
        <is>
          <t>Performance profile</t>
        </is>
      </c>
      <c r="E451" s="29" t="inlineStr">
        <is>
          <t>R</t>
        </is>
      </c>
      <c r="F451" s="28" t="inlineStr">
        <is>
          <t>Does it: carries out "Performance profile" in /performance, /performance/:userId.</t>
        </is>
      </c>
      <c r="G451" s="28" t="inlineStr">
        <is>
          <t>/performance, /performance/:userId</t>
        </is>
      </c>
      <c r="H451" s="29" t="inlineStr">
        <is>
          <t>New in v3</t>
        </is>
      </c>
    </row>
    <row r="452" ht="17" customHeight="1">
      <c r="A452" s="28" t="inlineStr">
        <is>
          <t>HR Manager</t>
        </is>
      </c>
      <c r="B452" s="28" t="inlineStr">
        <is>
          <t>HR-15</t>
        </is>
      </c>
      <c r="C452" s="28" t="inlineStr">
        <is>
          <t>People &amp; HR</t>
        </is>
      </c>
      <c r="D452" s="28" t="inlineStr">
        <is>
          <t>Exit and offboarding</t>
        </is>
      </c>
      <c r="E452" s="29" t="inlineStr">
        <is>
          <t>R</t>
        </is>
      </c>
      <c r="F452" s="28" t="inlineStr">
        <is>
          <t>Does it: carries out "Exit and offboarding" in /lifecycle.</t>
        </is>
      </c>
      <c r="G452" s="28" t="inlineStr">
        <is>
          <t>/lifecycle</t>
        </is>
      </c>
      <c r="H452" s="29" t="inlineStr">
        <is>
          <t>New in v3</t>
        </is>
      </c>
    </row>
    <row r="453" ht="30" customHeight="1">
      <c r="A453" s="28" t="inlineStr">
        <is>
          <t>HR Manager</t>
        </is>
      </c>
      <c r="B453" s="28" t="inlineStr">
        <is>
          <t>HR-16</t>
        </is>
      </c>
      <c r="C453" s="28" t="inlineStr">
        <is>
          <t>People &amp; HR</t>
        </is>
      </c>
      <c r="D453" s="28" t="inlineStr">
        <is>
          <t>Skills matrix and bench management</t>
        </is>
      </c>
      <c r="E453" s="29" t="inlineStr">
        <is>
          <t>R</t>
        </is>
      </c>
      <c r="F453" s="28" t="inlineStr">
        <is>
          <t>Planned (not built yet). Does it: carries out "Skills matrix and bench management".</t>
        </is>
      </c>
      <c r="G453" s="28" t="inlineStr">
        <is>
          <t>-</t>
        </is>
      </c>
      <c r="H453" s="29" t="inlineStr">
        <is>
          <t>Planned</t>
        </is>
      </c>
    </row>
    <row r="454" ht="30" customHeight="1">
      <c r="A454" s="28" t="inlineStr">
        <is>
          <t>HR Manager</t>
        </is>
      </c>
      <c r="B454" s="28" t="inlineStr">
        <is>
          <t>HR-17</t>
        </is>
      </c>
      <c r="C454" s="28" t="inlineStr">
        <is>
          <t>People &amp; HR</t>
        </is>
      </c>
      <c r="D454" s="28" t="inlineStr">
        <is>
          <t>Training and certification tracking</t>
        </is>
      </c>
      <c r="E454" s="29" t="inlineStr">
        <is>
          <t>R</t>
        </is>
      </c>
      <c r="F454" s="28" t="inlineStr">
        <is>
          <t>Planned (not built yet). Does it: carries out "Training and certification tracking".</t>
        </is>
      </c>
      <c r="G454" s="28" t="inlineStr">
        <is>
          <t>-</t>
        </is>
      </c>
      <c r="H454" s="29" t="inlineStr">
        <is>
          <t>Planned</t>
        </is>
      </c>
    </row>
    <row r="455" ht="17" customHeight="1">
      <c r="A455" s="28" t="inlineStr">
        <is>
          <t>HR Manager</t>
        </is>
      </c>
      <c r="B455" s="28" t="inlineStr">
        <is>
          <t>HR-18</t>
        </is>
      </c>
      <c r="C455" s="28" t="inlineStr">
        <is>
          <t>People &amp; HR</t>
        </is>
      </c>
      <c r="D455" s="28" t="inlineStr">
        <is>
          <t>Probation confirmation</t>
        </is>
      </c>
      <c r="E455" s="29" t="inlineStr">
        <is>
          <t>R</t>
        </is>
      </c>
      <c r="F455" s="28" t="inlineStr">
        <is>
          <t>Planned (not built yet). Does it: carries out "Probation confirmation".</t>
        </is>
      </c>
      <c r="G455" s="28" t="inlineStr">
        <is>
          <t>-</t>
        </is>
      </c>
      <c r="H455" s="29" t="inlineStr">
        <is>
          <t>Planned</t>
        </is>
      </c>
    </row>
    <row r="456" ht="30" customHeight="1">
      <c r="A456" s="28" t="inlineStr">
        <is>
          <t>HR Manager</t>
        </is>
      </c>
      <c r="B456" s="28" t="inlineStr">
        <is>
          <t>HR-19</t>
        </is>
      </c>
      <c r="C456" s="28" t="inlineStr">
        <is>
          <t>People &amp; HR</t>
        </is>
      </c>
      <c r="D456" s="28" t="inlineStr">
        <is>
          <t>Employee self-service letters</t>
        </is>
      </c>
      <c r="E456" s="29" t="inlineStr">
        <is>
          <t>R</t>
        </is>
      </c>
      <c r="F456" s="28" t="inlineStr">
        <is>
          <t>Planned (not built yet). Does it: carries out "Employee self-service letters".</t>
        </is>
      </c>
      <c r="G456" s="28" t="inlineStr">
        <is>
          <t>-</t>
        </is>
      </c>
      <c r="H456" s="29" t="inlineStr">
        <is>
          <t>Planned</t>
        </is>
      </c>
    </row>
    <row r="457" ht="17" customHeight="1">
      <c r="A457" s="28" t="inlineStr">
        <is>
          <t>HR Manager</t>
        </is>
      </c>
      <c r="B457" s="28" t="inlineStr">
        <is>
          <t>HR-20</t>
        </is>
      </c>
      <c r="C457" s="28" t="inlineStr">
        <is>
          <t>People &amp; HR</t>
        </is>
      </c>
      <c r="D457" s="28" t="inlineStr">
        <is>
          <t>Employee referral bonus</t>
        </is>
      </c>
      <c r="E457" s="29" t="inlineStr">
        <is>
          <t>R</t>
        </is>
      </c>
      <c r="F457" s="28" t="inlineStr">
        <is>
          <t>Planned (not built yet). Does it: carries out "Employee referral bonus".</t>
        </is>
      </c>
      <c r="G457" s="28" t="inlineStr">
        <is>
          <t>-</t>
        </is>
      </c>
      <c r="H457" s="29" t="inlineStr">
        <is>
          <t>Planned</t>
        </is>
      </c>
    </row>
    <row r="458" ht="30" customHeight="1">
      <c r="A458" s="28" t="inlineStr">
        <is>
          <t>HR Manager</t>
        </is>
      </c>
      <c r="B458" s="28" t="inlineStr">
        <is>
          <t>HR-21</t>
        </is>
      </c>
      <c r="C458" s="28" t="inlineStr">
        <is>
          <t>People &amp; HR</t>
        </is>
      </c>
      <c r="D458" s="28" t="inlineStr">
        <is>
          <t>Grievance and POSH register</t>
        </is>
      </c>
      <c r="E458" s="29" t="inlineStr">
        <is>
          <t>R</t>
        </is>
      </c>
      <c r="F458" s="28" t="inlineStr">
        <is>
          <t>Planned (not built yet). Does it: carries out "Grievance and POSH register".</t>
        </is>
      </c>
      <c r="G458" s="28" t="inlineStr">
        <is>
          <t>-</t>
        </is>
      </c>
      <c r="H458" s="29" t="inlineStr">
        <is>
          <t>Planned</t>
        </is>
      </c>
    </row>
    <row r="459" ht="17" customHeight="1">
      <c r="A459" s="28" t="inlineStr">
        <is>
          <t>HR Manager</t>
        </is>
      </c>
      <c r="B459" s="28" t="inlineStr">
        <is>
          <t>PAY-01</t>
        </is>
      </c>
      <c r="C459" s="28" t="inlineStr">
        <is>
          <t>Payroll &amp; compensation</t>
        </is>
      </c>
      <c r="D459" s="28" t="inlineStr">
        <is>
          <t>Run monthly payroll (draft)</t>
        </is>
      </c>
      <c r="E459" s="29" t="inlineStr">
        <is>
          <t>C</t>
        </is>
      </c>
      <c r="F459" s="28" t="inlineStr">
        <is>
          <t>Consulted: gives input, data or a decision when asked.</t>
        </is>
      </c>
      <c r="G459" s="28" t="inlineStr">
        <is>
          <t>/payroll, /payroll/:id</t>
        </is>
      </c>
      <c r="H459" s="29" t="inlineStr">
        <is>
          <t>Live</t>
        </is>
      </c>
    </row>
    <row r="460" ht="17" customHeight="1">
      <c r="A460" s="28" t="inlineStr">
        <is>
          <t>HR Manager</t>
        </is>
      </c>
      <c r="B460" s="28" t="inlineStr">
        <is>
          <t>PAY-02</t>
        </is>
      </c>
      <c r="C460" s="28" t="inlineStr">
        <is>
          <t>Payroll &amp; compensation</t>
        </is>
      </c>
      <c r="D460" s="28" t="inlineStr">
        <is>
          <t>Deductions for unapproved and LWP days</t>
        </is>
      </c>
      <c r="E460" s="29" t="inlineStr">
        <is>
          <t>C</t>
        </is>
      </c>
      <c r="F460" s="28" t="inlineStr">
        <is>
          <t>Consulted: gives input, data or a decision when asked.</t>
        </is>
      </c>
      <c r="G460" s="28" t="inlineStr">
        <is>
          <t>/payroll/:id</t>
        </is>
      </c>
      <c r="H460" s="29" t="inlineStr">
        <is>
          <t>Live</t>
        </is>
      </c>
    </row>
    <row r="461" ht="17" customHeight="1">
      <c r="A461" s="28" t="inlineStr">
        <is>
          <t>HR Manager</t>
        </is>
      </c>
      <c r="B461" s="28" t="inlineStr">
        <is>
          <t>PAY-03</t>
        </is>
      </c>
      <c r="C461" s="28" t="inlineStr">
        <is>
          <t>Payroll &amp; compensation</t>
        </is>
      </c>
      <c r="D461" s="28" t="inlineStr">
        <is>
          <t>Sales variable pay</t>
        </is>
      </c>
      <c r="E461" s="29" t="inlineStr">
        <is>
          <t>C</t>
        </is>
      </c>
      <c r="F461" s="28" t="inlineStr">
        <is>
          <t>Consulted: gives input, data or a decision when asked.</t>
        </is>
      </c>
      <c r="G461" s="28" t="inlineStr">
        <is>
          <t>/sales/compensation</t>
        </is>
      </c>
      <c r="H461" s="29" t="inlineStr">
        <is>
          <t>Live</t>
        </is>
      </c>
    </row>
    <row r="462" ht="30" customHeight="1">
      <c r="A462" s="28" t="inlineStr">
        <is>
          <t>HR Manager</t>
        </is>
      </c>
      <c r="B462" s="28" t="inlineStr">
        <is>
          <t>PAY-04</t>
        </is>
      </c>
      <c r="C462" s="28" t="inlineStr">
        <is>
          <t>Payroll &amp; compensation</t>
        </is>
      </c>
      <c r="D462" s="28" t="inlineStr">
        <is>
          <t>Recompute, finalise and export payroll</t>
        </is>
      </c>
      <c r="E462" s="29" t="inlineStr">
        <is>
          <t>R</t>
        </is>
      </c>
      <c r="F462" s="28" t="inlineStr">
        <is>
          <t>Does it: carries out "Recompute, finalise and export payroll" in /payroll/:id.</t>
        </is>
      </c>
      <c r="G462" s="28" t="inlineStr">
        <is>
          <t>/payroll/:id</t>
        </is>
      </c>
      <c r="H462" s="29" t="inlineStr">
        <is>
          <t>Extended</t>
        </is>
      </c>
    </row>
    <row r="463" ht="30" customHeight="1">
      <c r="A463" s="28" t="inlineStr">
        <is>
          <t>HR Manager</t>
        </is>
      </c>
      <c r="B463" s="28" t="inlineStr">
        <is>
          <t>PAY-05</t>
        </is>
      </c>
      <c r="C463" s="28" t="inlineStr">
        <is>
          <t>Payroll &amp; compensation</t>
        </is>
      </c>
      <c r="D463" s="28" t="inlineStr">
        <is>
          <t>Apply appraisal increments to salary</t>
        </is>
      </c>
      <c r="E463" s="29" t="inlineStr">
        <is>
          <t>R</t>
        </is>
      </c>
      <c r="F463" s="28" t="inlineStr">
        <is>
          <t>Does it: carries out "Apply appraisal increments to salary" in /appraisals/:id &gt; /settings/cost-rates.</t>
        </is>
      </c>
      <c r="G463" s="28" t="inlineStr">
        <is>
          <t>/appraisals/:id &gt; /settings/cost-rates</t>
        </is>
      </c>
      <c r="H463" s="29" t="inlineStr">
        <is>
          <t>New in v3</t>
        </is>
      </c>
    </row>
    <row r="464" ht="30" customHeight="1">
      <c r="A464" s="28" t="inlineStr">
        <is>
          <t>HR Manager</t>
        </is>
      </c>
      <c r="B464" s="28" t="inlineStr">
        <is>
          <t>PAY-06</t>
        </is>
      </c>
      <c r="C464" s="28" t="inlineStr">
        <is>
          <t>Payroll &amp; compensation</t>
        </is>
      </c>
      <c r="D464" s="28" t="inlineStr">
        <is>
          <t>Statutory payroll (PF, ESI, PT, TDS, LWF)</t>
        </is>
      </c>
      <c r="E464" s="29" t="inlineStr">
        <is>
          <t>R</t>
        </is>
      </c>
      <c r="F464" s="28" t="inlineStr">
        <is>
          <t>Planned (not built yet). Does it: carries out "Statutory payroll (PF, ESI, PT, TDS, LWF)".</t>
        </is>
      </c>
      <c r="G464" s="28" t="inlineStr">
        <is>
          <t>-</t>
        </is>
      </c>
      <c r="H464" s="29" t="inlineStr">
        <is>
          <t>Planned</t>
        </is>
      </c>
    </row>
    <row r="465" ht="17" customHeight="1">
      <c r="A465" s="28" t="inlineStr">
        <is>
          <t>HR Manager</t>
        </is>
      </c>
      <c r="B465" s="28" t="inlineStr">
        <is>
          <t>PAY-07</t>
        </is>
      </c>
      <c r="C465" s="28" t="inlineStr">
        <is>
          <t>Payroll &amp; compensation</t>
        </is>
      </c>
      <c r="D465" s="28" t="inlineStr">
        <is>
          <t>Payslips and Form 16</t>
        </is>
      </c>
      <c r="E465" s="29" t="inlineStr">
        <is>
          <t>R</t>
        </is>
      </c>
      <c r="F465" s="28" t="inlineStr">
        <is>
          <t>Planned (not built yet). Does it: carries out "Payslips and Form 16".</t>
        </is>
      </c>
      <c r="G465" s="28" t="inlineStr">
        <is>
          <t>-</t>
        </is>
      </c>
      <c r="H465" s="29" t="inlineStr">
        <is>
          <t>Planned</t>
        </is>
      </c>
    </row>
    <row r="466" ht="30" customHeight="1">
      <c r="A466" s="28" t="inlineStr">
        <is>
          <t>HR Manager</t>
        </is>
      </c>
      <c r="B466" s="28" t="inlineStr">
        <is>
          <t>PAY-08</t>
        </is>
      </c>
      <c r="C466" s="28" t="inlineStr">
        <is>
          <t>Payroll &amp; compensation</t>
        </is>
      </c>
      <c r="D466" s="28" t="inlineStr">
        <is>
          <t>Full and final settlement</t>
        </is>
      </c>
      <c r="E466" s="29" t="inlineStr">
        <is>
          <t>R</t>
        </is>
      </c>
      <c r="F466" s="28" t="inlineStr">
        <is>
          <t>Planned (not built yet). Does it: carries out "Full and final settlement".</t>
        </is>
      </c>
      <c r="G466" s="28" t="inlineStr">
        <is>
          <t>-</t>
        </is>
      </c>
      <c r="H466" s="29" t="inlineStr">
        <is>
          <t>Planned</t>
        </is>
      </c>
    </row>
    <row r="467" ht="30" customHeight="1">
      <c r="A467" s="28" t="inlineStr">
        <is>
          <t>HR Manager</t>
        </is>
      </c>
      <c r="B467" s="28" t="inlineStr">
        <is>
          <t>FIN-04</t>
        </is>
      </c>
      <c r="C467" s="28" t="inlineStr">
        <is>
          <t>Finance</t>
        </is>
      </c>
      <c r="D467" s="28" t="inlineStr">
        <is>
          <t>Ledger: income and expenses (incl. recurring)</t>
        </is>
      </c>
      <c r="E467" s="29" t="inlineStr">
        <is>
          <t>C</t>
        </is>
      </c>
      <c r="F467" s="28" t="inlineStr">
        <is>
          <t>Consulted: gives input, data or a decision when asked.</t>
        </is>
      </c>
      <c r="G467" s="28" t="inlineStr">
        <is>
          <t>/finance/ledger</t>
        </is>
      </c>
      <c r="H467" s="29" t="inlineStr">
        <is>
          <t>Extended</t>
        </is>
      </c>
    </row>
    <row r="468" ht="30" customHeight="1">
      <c r="A468" s="28" t="inlineStr">
        <is>
          <t>HR Manager</t>
        </is>
      </c>
      <c r="B468" s="28" t="inlineStr">
        <is>
          <t>FIN-09</t>
        </is>
      </c>
      <c r="C468" s="28" t="inlineStr">
        <is>
          <t>Finance</t>
        </is>
      </c>
      <c r="D468" s="28" t="inlineStr">
        <is>
          <t>Bank reconciliation</t>
        </is>
      </c>
      <c r="E468" s="29" t="inlineStr">
        <is>
          <t>C</t>
        </is>
      </c>
      <c r="F468" s="28" t="inlineStr">
        <is>
          <t>Planned (not built yet). Consulted: gives input, data or a decision when asked.</t>
        </is>
      </c>
      <c r="G468" s="28" t="inlineStr">
        <is>
          <t>-</t>
        </is>
      </c>
      <c r="H468" s="29" t="inlineStr">
        <is>
          <t>Planned</t>
        </is>
      </c>
    </row>
    <row r="469" ht="30" customHeight="1">
      <c r="A469" s="28" t="inlineStr">
        <is>
          <t>HR Manager</t>
        </is>
      </c>
      <c r="B469" s="28" t="inlineStr">
        <is>
          <t>FIN-10</t>
        </is>
      </c>
      <c r="C469" s="28" t="inlineStr">
        <is>
          <t>Finance</t>
        </is>
      </c>
      <c r="D469" s="28" t="inlineStr">
        <is>
          <t>Tally / Zoho Books integration</t>
        </is>
      </c>
      <c r="E469" s="29" t="inlineStr">
        <is>
          <t>C</t>
        </is>
      </c>
      <c r="F469" s="28" t="inlineStr">
        <is>
          <t>Planned (not built yet). Consulted: gives input, data or a decision when asked.</t>
        </is>
      </c>
      <c r="G469" s="28" t="inlineStr">
        <is>
          <t>-</t>
        </is>
      </c>
      <c r="H469" s="29" t="inlineStr">
        <is>
          <t>Planned</t>
        </is>
      </c>
    </row>
    <row r="470" ht="17" customHeight="1">
      <c r="A470" s="28" t="inlineStr">
        <is>
          <t>HR Manager</t>
        </is>
      </c>
      <c r="B470" s="28" t="inlineStr">
        <is>
          <t>SPD-01</t>
        </is>
      </c>
      <c r="C470" s="28" t="inlineStr">
        <is>
          <t>Spend &amp; procurement</t>
        </is>
      </c>
      <c r="D470" s="28" t="inlineStr">
        <is>
          <t>Submit an expense claim</t>
        </is>
      </c>
      <c r="E470" s="29" t="inlineStr">
        <is>
          <t>R</t>
        </is>
      </c>
      <c r="F470" s="28" t="inlineStr">
        <is>
          <t>Does it: carries out "Submit an expense claim" in /expenses.</t>
        </is>
      </c>
      <c r="G470" s="28" t="inlineStr">
        <is>
          <t>/expenses</t>
        </is>
      </c>
      <c r="H470" s="29" t="inlineStr">
        <is>
          <t>New in v3</t>
        </is>
      </c>
    </row>
    <row r="471" ht="30" customHeight="1">
      <c r="A471" s="28" t="inlineStr">
        <is>
          <t>HR Manager</t>
        </is>
      </c>
      <c r="B471" s="28" t="inlineStr">
        <is>
          <t>SPD-02</t>
        </is>
      </c>
      <c r="C471" s="28" t="inlineStr">
        <is>
          <t>Spend &amp; procurement</t>
        </is>
      </c>
      <c r="D471" s="28" t="inlineStr">
        <is>
          <t>Approve or reject an expense (two-step above Rs 25,000)</t>
        </is>
      </c>
      <c r="E471" s="29" t="inlineStr">
        <is>
          <t>C</t>
        </is>
      </c>
      <c r="F471" s="28" t="inlineStr">
        <is>
          <t>Consulted: gives input, data or a decision when asked.</t>
        </is>
      </c>
      <c r="G471" s="28" t="inlineStr">
        <is>
          <t>/expenses?tab=approve, /inbox</t>
        </is>
      </c>
      <c r="H471" s="29" t="inlineStr">
        <is>
          <t>Extended</t>
        </is>
      </c>
    </row>
    <row r="472" ht="17" customHeight="1">
      <c r="A472" s="28" t="inlineStr">
        <is>
          <t>HR Manager</t>
        </is>
      </c>
      <c r="B472" s="28" t="inlineStr">
        <is>
          <t>SPD-03</t>
        </is>
      </c>
      <c r="C472" s="28" t="inlineStr">
        <is>
          <t>Spend &amp; procurement</t>
        </is>
      </c>
      <c r="D472" s="28" t="inlineStr">
        <is>
          <t>Reimburse an expense</t>
        </is>
      </c>
      <c r="E472" s="29" t="inlineStr">
        <is>
          <t>R</t>
        </is>
      </c>
      <c r="F472" s="28" t="inlineStr">
        <is>
          <t>Does it: carries out "Reimburse an expense" in /expenses?tab=pay, /inbox.</t>
        </is>
      </c>
      <c r="G472" s="28" t="inlineStr">
        <is>
          <t>/expenses?tab=pay, /inbox</t>
        </is>
      </c>
      <c r="H472" s="29" t="inlineStr">
        <is>
          <t>New in v3</t>
        </is>
      </c>
    </row>
    <row r="473" ht="17" customHeight="1">
      <c r="A473" s="28" t="inlineStr">
        <is>
          <t>HR Manager</t>
        </is>
      </c>
      <c r="B473" s="28" t="inlineStr">
        <is>
          <t>SPD-04</t>
        </is>
      </c>
      <c r="C473" s="28" t="inlineStr">
        <is>
          <t>Spend &amp; procurement</t>
        </is>
      </c>
      <c r="D473" s="28" t="inlineStr">
        <is>
          <t>Raise a purchase order</t>
        </is>
      </c>
      <c r="E473" s="29" t="inlineStr">
        <is>
          <t>R</t>
        </is>
      </c>
      <c r="F473" s="28" t="inlineStr">
        <is>
          <t>Does it: carries out "Raise a purchase order" in /purchases.</t>
        </is>
      </c>
      <c r="G473" s="28" t="inlineStr">
        <is>
          <t>/purchases</t>
        </is>
      </c>
      <c r="H473" s="29" t="inlineStr">
        <is>
          <t>New in v3</t>
        </is>
      </c>
    </row>
    <row r="474" ht="17" customHeight="1">
      <c r="A474" s="28" t="inlineStr">
        <is>
          <t>HR Manager</t>
        </is>
      </c>
      <c r="B474" s="28" t="inlineStr">
        <is>
          <t>SPD-05</t>
        </is>
      </c>
      <c r="C474" s="28" t="inlineStr">
        <is>
          <t>Spend &amp; procurement</t>
        </is>
      </c>
      <c r="D474" s="28" t="inlineStr">
        <is>
          <t>Approve, reject or close a PO</t>
        </is>
      </c>
      <c r="E474" s="29" t="inlineStr">
        <is>
          <t>C</t>
        </is>
      </c>
      <c r="F474" s="28" t="inlineStr">
        <is>
          <t>Consulted: gives input, data or a decision when asked.</t>
        </is>
      </c>
      <c r="G474" s="28" t="inlineStr">
        <is>
          <t>/purchases, /inbox</t>
        </is>
      </c>
      <c r="H474" s="29" t="inlineStr">
        <is>
          <t>Extended</t>
        </is>
      </c>
    </row>
    <row r="475" ht="17" customHeight="1">
      <c r="A475" s="28" t="inlineStr">
        <is>
          <t>HR Manager</t>
        </is>
      </c>
      <c r="B475" s="28" t="inlineStr">
        <is>
          <t>SPD-06</t>
        </is>
      </c>
      <c r="C475" s="28" t="inlineStr">
        <is>
          <t>Spend &amp; procurement</t>
        </is>
      </c>
      <c r="D475" s="28" t="inlineStr">
        <is>
          <t>Book a vendor bill (PO match)</t>
        </is>
      </c>
      <c r="E475" s="29" t="inlineStr">
        <is>
          <t>R</t>
        </is>
      </c>
      <c r="F475" s="28" t="inlineStr">
        <is>
          <t>Does it: carries out "Book a vendor bill (PO match)" in /purchases.</t>
        </is>
      </c>
      <c r="G475" s="28" t="inlineStr">
        <is>
          <t>/purchases</t>
        </is>
      </c>
      <c r="H475" s="29" t="inlineStr">
        <is>
          <t>New in v3</t>
        </is>
      </c>
    </row>
    <row r="476" ht="30" customHeight="1">
      <c r="A476" s="28" t="inlineStr">
        <is>
          <t>HR Manager</t>
        </is>
      </c>
      <c r="B476" s="28" t="inlineStr">
        <is>
          <t>SPD-07</t>
        </is>
      </c>
      <c r="C476" s="28" t="inlineStr">
        <is>
          <t>Spend &amp; procurement</t>
        </is>
      </c>
      <c r="D476" s="28" t="inlineStr">
        <is>
          <t>Approve, dispute and pay vendor bills</t>
        </is>
      </c>
      <c r="E476" s="29" t="inlineStr">
        <is>
          <t>R</t>
        </is>
      </c>
      <c r="F476" s="28" t="inlineStr">
        <is>
          <t>Does it: carries out "Approve, dispute and pay vendor bills" in /purchases, /inbox.</t>
        </is>
      </c>
      <c r="G476" s="28" t="inlineStr">
        <is>
          <t>/purchases, /inbox</t>
        </is>
      </c>
      <c r="H476" s="29" t="inlineStr">
        <is>
          <t>Extended</t>
        </is>
      </c>
    </row>
    <row r="477" ht="17" customHeight="1">
      <c r="A477" s="28" t="inlineStr">
        <is>
          <t>HR Manager</t>
        </is>
      </c>
      <c r="B477" s="28" t="inlineStr">
        <is>
          <t>SPD-08</t>
        </is>
      </c>
      <c r="C477" s="28" t="inlineStr">
        <is>
          <t>Spend &amp; procurement</t>
        </is>
      </c>
      <c r="D477" s="28" t="inlineStr">
        <is>
          <t>Annual budget and monthly phasing</t>
        </is>
      </c>
      <c r="E477" s="29" t="inlineStr">
        <is>
          <t>C</t>
        </is>
      </c>
      <c r="F477" s="28" t="inlineStr">
        <is>
          <t>Consulted: gives input, data or a decision when asked.</t>
        </is>
      </c>
      <c r="G477" s="28" t="inlineStr">
        <is>
          <t>/budgets</t>
        </is>
      </c>
      <c r="H477" s="29" t="inlineStr">
        <is>
          <t>Extended</t>
        </is>
      </c>
    </row>
    <row r="478" ht="17" customHeight="1">
      <c r="A478" s="28" t="inlineStr">
        <is>
          <t>HR Manager</t>
        </is>
      </c>
      <c r="B478" s="28" t="inlineStr">
        <is>
          <t>SPD-09</t>
        </is>
      </c>
      <c r="C478" s="28" t="inlineStr">
        <is>
          <t>Spend &amp; procurement</t>
        </is>
      </c>
      <c r="D478" s="28" t="inlineStr">
        <is>
          <t>Budget vs actual review</t>
        </is>
      </c>
      <c r="E478" s="29" t="inlineStr">
        <is>
          <t>C</t>
        </is>
      </c>
      <c r="F478" s="28" t="inlineStr">
        <is>
          <t>Consulted: gives input, data or a decision when asked.</t>
        </is>
      </c>
      <c r="G478" s="28" t="inlineStr">
        <is>
          <t>/budgets</t>
        </is>
      </c>
      <c r="H478" s="29" t="inlineStr">
        <is>
          <t>New in v3</t>
        </is>
      </c>
    </row>
    <row r="479" ht="17" customHeight="1">
      <c r="A479" s="28" t="inlineStr">
        <is>
          <t>HR Manager</t>
        </is>
      </c>
      <c r="B479" s="28" t="inlineStr">
        <is>
          <t>SPD-10</t>
        </is>
      </c>
      <c r="C479" s="28" t="inlineStr">
        <is>
          <t>Spend &amp; procurement</t>
        </is>
      </c>
      <c r="D479" s="28" t="inlineStr">
        <is>
          <t>Unbudgeted / additional spend register</t>
        </is>
      </c>
      <c r="E479" s="29" t="inlineStr">
        <is>
          <t>C</t>
        </is>
      </c>
      <c r="F479" s="28" t="inlineStr">
        <is>
          <t>Consulted: gives input, data or a decision when asked.</t>
        </is>
      </c>
      <c r="G479" s="28" t="inlineStr">
        <is>
          <t>/budgets</t>
        </is>
      </c>
      <c r="H479" s="29" t="inlineStr">
        <is>
          <t>New in v3</t>
        </is>
      </c>
    </row>
    <row r="480" ht="30" customHeight="1">
      <c r="A480" s="28" t="inlineStr">
        <is>
          <t>HR Manager</t>
        </is>
      </c>
      <c r="B480" s="28" t="inlineStr">
        <is>
          <t>SPD-11</t>
        </is>
      </c>
      <c r="C480" s="28" t="inlineStr">
        <is>
          <t>Spend &amp; procurement</t>
        </is>
      </c>
      <c r="D480" s="28" t="inlineStr">
        <is>
          <t>Travel requests and advances</t>
        </is>
      </c>
      <c r="E480" s="29" t="inlineStr">
        <is>
          <t>R</t>
        </is>
      </c>
      <c r="F480" s="28" t="inlineStr">
        <is>
          <t>Planned (not built yet). Does it: carries out "Travel requests and advances".</t>
        </is>
      </c>
      <c r="G480" s="28" t="inlineStr">
        <is>
          <t>-</t>
        </is>
      </c>
      <c r="H480" s="29" t="inlineStr">
        <is>
          <t>Planned</t>
        </is>
      </c>
    </row>
    <row r="481" ht="30" customHeight="1">
      <c r="A481" s="28" t="inlineStr">
        <is>
          <t>HR Manager</t>
        </is>
      </c>
      <c r="B481" s="28" t="inlineStr">
        <is>
          <t>SPD-12</t>
        </is>
      </c>
      <c r="C481" s="28" t="inlineStr">
        <is>
          <t>Spend &amp; procurement</t>
        </is>
      </c>
      <c r="D481" s="28" t="inlineStr">
        <is>
          <t>Goods / service receipt (true 3-way match)</t>
        </is>
      </c>
      <c r="E481" s="29" t="inlineStr">
        <is>
          <t>R</t>
        </is>
      </c>
      <c r="F481" s="28" t="inlineStr">
        <is>
          <t>Planned (not built yet). Does it: carries out "Goods / service receipt (true 3-way match)".</t>
        </is>
      </c>
      <c r="G481" s="28" t="inlineStr">
        <is>
          <t>-</t>
        </is>
      </c>
      <c r="H481" s="29" t="inlineStr">
        <is>
          <t>Planned</t>
        </is>
      </c>
    </row>
    <row r="482" ht="17" customHeight="1">
      <c r="A482" s="28" t="inlineStr">
        <is>
          <t>HR Manager</t>
        </is>
      </c>
      <c r="B482" s="28" t="inlineStr">
        <is>
          <t>SPD-13</t>
        </is>
      </c>
      <c r="C482" s="28" t="inlineStr">
        <is>
          <t>Spend &amp; procurement</t>
        </is>
      </c>
      <c r="D482" s="28" t="inlineStr">
        <is>
          <t>Petty cash</t>
        </is>
      </c>
      <c r="E482" s="29" t="inlineStr">
        <is>
          <t>R</t>
        </is>
      </c>
      <c r="F482" s="28" t="inlineStr">
        <is>
          <t>Planned (not built yet). Does it: carries out "Petty cash".</t>
        </is>
      </c>
      <c r="G482" s="28" t="inlineStr">
        <is>
          <t>-</t>
        </is>
      </c>
      <c r="H482" s="29" t="inlineStr">
        <is>
          <t>Planned</t>
        </is>
      </c>
    </row>
    <row r="483" ht="17" customHeight="1">
      <c r="A483" s="28" t="inlineStr">
        <is>
          <t>HR Manager</t>
        </is>
      </c>
      <c r="B483" s="28" t="inlineStr">
        <is>
          <t>OPS-01</t>
        </is>
      </c>
      <c r="C483" s="28" t="inlineStr">
        <is>
          <t>Operations &amp; compliance</t>
        </is>
      </c>
      <c r="D483" s="28" t="inlineStr">
        <is>
          <t>Recurring operations register</t>
        </is>
      </c>
      <c r="E483" s="29" t="inlineStr">
        <is>
          <t>R</t>
        </is>
      </c>
      <c r="F483" s="28" t="inlineStr">
        <is>
          <t>Does it: carries out "Recurring operations register" in /operations.</t>
        </is>
      </c>
      <c r="G483" s="28" t="inlineStr">
        <is>
          <t>/operations</t>
        </is>
      </c>
      <c r="H483" s="29" t="inlineStr">
        <is>
          <t>Live</t>
        </is>
      </c>
    </row>
    <row r="484" ht="17" customHeight="1">
      <c r="A484" s="28" t="inlineStr">
        <is>
          <t>HR Manager</t>
        </is>
      </c>
      <c r="B484" s="28" t="inlineStr">
        <is>
          <t>OPS-02</t>
        </is>
      </c>
      <c r="C484" s="28" t="inlineStr">
        <is>
          <t>Operations &amp; compliance</t>
        </is>
      </c>
      <c r="D484" s="28" t="inlineStr">
        <is>
          <t>Mark done and roll forward</t>
        </is>
      </c>
      <c r="E484" s="29" t="inlineStr">
        <is>
          <t>R</t>
        </is>
      </c>
      <c r="F484" s="28" t="inlineStr">
        <is>
          <t>Does it: carries out "Mark done and roll forward" in /operations.</t>
        </is>
      </c>
      <c r="G484" s="28" t="inlineStr">
        <is>
          <t>/operations</t>
        </is>
      </c>
      <c r="H484" s="29" t="inlineStr">
        <is>
          <t>Live</t>
        </is>
      </c>
    </row>
    <row r="485" ht="17" customHeight="1">
      <c r="A485" s="28" t="inlineStr">
        <is>
          <t>HR Manager</t>
        </is>
      </c>
      <c r="B485" s="28" t="inlineStr">
        <is>
          <t>OPS-03</t>
        </is>
      </c>
      <c r="C485" s="28" t="inlineStr">
        <is>
          <t>Operations &amp; compliance</t>
        </is>
      </c>
      <c r="D485" s="28" t="inlineStr">
        <is>
          <t>Overdue and due-soon alerts</t>
        </is>
      </c>
      <c r="E485" s="29" t="inlineStr">
        <is>
          <t>R</t>
        </is>
      </c>
      <c r="F485" s="28" t="inlineStr">
        <is>
          <t>Does it: carries out "Overdue and due-soon alerts" in /operations.</t>
        </is>
      </c>
      <c r="G485" s="28" t="inlineStr">
        <is>
          <t>/operations</t>
        </is>
      </c>
      <c r="H485" s="29" t="inlineStr">
        <is>
          <t>Live</t>
        </is>
      </c>
    </row>
    <row r="486" ht="30" customHeight="1">
      <c r="A486" s="28" t="inlineStr">
        <is>
          <t>HR Manager</t>
        </is>
      </c>
      <c r="B486" s="28" t="inlineStr">
        <is>
          <t>OPS-04</t>
        </is>
      </c>
      <c r="C486" s="28" t="inlineStr">
        <is>
          <t>Operations &amp; compliance</t>
        </is>
      </c>
      <c r="D486" s="28" t="inlineStr">
        <is>
          <t>ISO 9001 non-conformance and CAPA</t>
        </is>
      </c>
      <c r="E486" s="29" t="inlineStr">
        <is>
          <t>R</t>
        </is>
      </c>
      <c r="F486" s="28" t="inlineStr">
        <is>
          <t>Planned (not built yet). Does it: carries out "ISO 9001 non-conformance and CAPA".</t>
        </is>
      </c>
      <c r="G486" s="28" t="inlineStr">
        <is>
          <t>-</t>
        </is>
      </c>
      <c r="H486" s="29" t="inlineStr">
        <is>
          <t>Planned</t>
        </is>
      </c>
    </row>
    <row r="487" ht="30" customHeight="1">
      <c r="A487" s="28" t="inlineStr">
        <is>
          <t>HR Manager</t>
        </is>
      </c>
      <c r="B487" s="28" t="inlineStr">
        <is>
          <t>OPS-05</t>
        </is>
      </c>
      <c r="C487" s="28" t="inlineStr">
        <is>
          <t>Operations &amp; compliance</t>
        </is>
      </c>
      <c r="D487" s="28" t="inlineStr">
        <is>
          <t>Risk register (company and project)</t>
        </is>
      </c>
      <c r="E487" s="29" t="inlineStr">
        <is>
          <t>C</t>
        </is>
      </c>
      <c r="F487" s="28" t="inlineStr">
        <is>
          <t>Planned (not built yet). Consulted: gives input, data or a decision when asked.</t>
        </is>
      </c>
      <c r="G487" s="28" t="inlineStr">
        <is>
          <t>-</t>
        </is>
      </c>
      <c r="H487" s="29" t="inlineStr">
        <is>
          <t>Planned</t>
        </is>
      </c>
    </row>
    <row r="488" ht="30" customHeight="1">
      <c r="A488" s="28" t="inlineStr">
        <is>
          <t>HR Manager</t>
        </is>
      </c>
      <c r="B488" s="28" t="inlineStr">
        <is>
          <t>GOV-01</t>
        </is>
      </c>
      <c r="C488" s="28" t="inlineStr">
        <is>
          <t>Strategy &amp; governance</t>
        </is>
      </c>
      <c r="D488" s="28" t="inlineStr">
        <is>
          <t>Set objectives (company, team, personal)</t>
        </is>
      </c>
      <c r="E488" s="29" t="inlineStr">
        <is>
          <t>R</t>
        </is>
      </c>
      <c r="F488" s="28" t="inlineStr">
        <is>
          <t>Does it: carries out "Set objectives (company, team, personal)" in /okrs.</t>
        </is>
      </c>
      <c r="G488" s="28" t="inlineStr">
        <is>
          <t>/okrs</t>
        </is>
      </c>
      <c r="H488" s="29" t="inlineStr">
        <is>
          <t>New in v3</t>
        </is>
      </c>
    </row>
    <row r="489" ht="30" customHeight="1">
      <c r="A489" s="28" t="inlineStr">
        <is>
          <t>HR Manager</t>
        </is>
      </c>
      <c r="B489" s="28" t="inlineStr">
        <is>
          <t>GOV-02</t>
        </is>
      </c>
      <c r="C489" s="28" t="inlineStr">
        <is>
          <t>Strategy &amp; governance</t>
        </is>
      </c>
      <c r="D489" s="28" t="inlineStr">
        <is>
          <t>Key results with automatic measures and check-ins</t>
        </is>
      </c>
      <c r="E489" s="29" t="inlineStr">
        <is>
          <t>R</t>
        </is>
      </c>
      <c r="F489" s="28" t="inlineStr">
        <is>
          <t>Does it: carries out "Key results with automatic measures and check-ins" in /okrs.</t>
        </is>
      </c>
      <c r="G489" s="28" t="inlineStr">
        <is>
          <t>/okrs</t>
        </is>
      </c>
      <c r="H489" s="29" t="inlineStr">
        <is>
          <t>New in v3</t>
        </is>
      </c>
    </row>
    <row r="490" ht="17" customHeight="1">
      <c r="A490" s="28" t="inlineStr">
        <is>
          <t>HR Manager</t>
        </is>
      </c>
      <c r="B490" s="28" t="inlineStr">
        <is>
          <t>GOV-03</t>
        </is>
      </c>
      <c r="C490" s="28" t="inlineStr">
        <is>
          <t>Strategy &amp; governance</t>
        </is>
      </c>
      <c r="D490" s="28" t="inlineStr">
        <is>
          <t>Approvals inbox</t>
        </is>
      </c>
      <c r="E490" s="29" t="inlineStr">
        <is>
          <t>R</t>
        </is>
      </c>
      <c r="F490" s="28" t="inlineStr">
        <is>
          <t>Does it: carries out "Approvals inbox" in /inbox.</t>
        </is>
      </c>
      <c r="G490" s="28" t="inlineStr">
        <is>
          <t>/inbox</t>
        </is>
      </c>
      <c r="H490" s="29" t="inlineStr">
        <is>
          <t>Extended</t>
        </is>
      </c>
    </row>
    <row r="491" ht="17" customHeight="1">
      <c r="A491" s="28" t="inlineStr">
        <is>
          <t>HR Manager</t>
        </is>
      </c>
      <c r="B491" s="28" t="inlineStr">
        <is>
          <t>GOV-05</t>
        </is>
      </c>
      <c r="C491" s="28" t="inlineStr">
        <is>
          <t>Strategy &amp; governance</t>
        </is>
      </c>
      <c r="D491" s="28" t="inlineStr">
        <is>
          <t>Notifications centre</t>
        </is>
      </c>
      <c r="E491" s="29" t="inlineStr">
        <is>
          <t>R</t>
        </is>
      </c>
      <c r="F491" s="28" t="inlineStr">
        <is>
          <t>Does it: carries out "Notifications centre" in /notifications.</t>
        </is>
      </c>
      <c r="G491" s="28" t="inlineStr">
        <is>
          <t>/notifications</t>
        </is>
      </c>
      <c r="H491" s="29" t="inlineStr">
        <is>
          <t>Live</t>
        </is>
      </c>
    </row>
    <row r="492" ht="17" customHeight="1">
      <c r="A492" s="28" t="inlineStr">
        <is>
          <t>HR Manager</t>
        </is>
      </c>
      <c r="B492" s="28" t="inlineStr">
        <is>
          <t>GOV-06</t>
        </is>
      </c>
      <c r="C492" s="28" t="inlineStr">
        <is>
          <t>Strategy &amp; governance</t>
        </is>
      </c>
      <c r="D492" s="28" t="inlineStr">
        <is>
          <t>Weekly scorecard</t>
        </is>
      </c>
      <c r="E492" s="29" t="inlineStr">
        <is>
          <t>C</t>
        </is>
      </c>
      <c r="F492" s="28" t="inlineStr">
        <is>
          <t>Consulted: gives input, data or a decision when asked.</t>
        </is>
      </c>
      <c r="G492" s="28" t="inlineStr">
        <is>
          <t>/scorecard</t>
        </is>
      </c>
      <c r="H492" s="29" t="inlineStr">
        <is>
          <t>Live</t>
        </is>
      </c>
    </row>
    <row r="493" ht="30" customHeight="1">
      <c r="A493" s="28" t="inlineStr">
        <is>
          <t>HR Manager</t>
        </is>
      </c>
      <c r="B493" s="28" t="inlineStr">
        <is>
          <t>GOV-07</t>
        </is>
      </c>
      <c r="C493" s="28" t="inlineStr">
        <is>
          <t>Strategy &amp; governance</t>
        </is>
      </c>
      <c r="D493" s="28" t="inlineStr">
        <is>
          <t>Board and investor reporting pack</t>
        </is>
      </c>
      <c r="E493" s="29" t="inlineStr">
        <is>
          <t>C</t>
        </is>
      </c>
      <c r="F493" s="28" t="inlineStr">
        <is>
          <t>Planned (not built yet). Consulted: gives input, data or a decision when asked.</t>
        </is>
      </c>
      <c r="G493" s="28" t="inlineStr">
        <is>
          <t>-</t>
        </is>
      </c>
      <c r="H493" s="29" t="inlineStr">
        <is>
          <t>Planned</t>
        </is>
      </c>
    </row>
    <row r="494" ht="17" customHeight="1">
      <c r="A494" s="28" t="inlineStr">
        <is>
          <t>HR Manager</t>
        </is>
      </c>
      <c r="B494" s="28" t="inlineStr">
        <is>
          <t>ANA-04</t>
        </is>
      </c>
      <c r="C494" s="28" t="inlineStr">
        <is>
          <t>Analytics &amp; AI</t>
        </is>
      </c>
      <c r="D494" s="28" t="inlineStr">
        <is>
          <t>HR &amp; operations dashboard</t>
        </is>
      </c>
      <c r="E494" s="29" t="inlineStr">
        <is>
          <t>R</t>
        </is>
      </c>
      <c r="F494" s="28" t="inlineStr">
        <is>
          <t>Does it: carries out "HR &amp; operations dashboard" in /home.</t>
        </is>
      </c>
      <c r="G494" s="28" t="inlineStr">
        <is>
          <t>/home</t>
        </is>
      </c>
      <c r="H494" s="29" t="inlineStr">
        <is>
          <t>Extended</t>
        </is>
      </c>
    </row>
    <row r="495" ht="17" customHeight="1">
      <c r="A495" s="28" t="inlineStr">
        <is>
          <t>HR Manager</t>
        </is>
      </c>
      <c r="B495" s="28" t="inlineStr">
        <is>
          <t>ANA-06</t>
        </is>
      </c>
      <c r="C495" s="28" t="inlineStr">
        <is>
          <t>Analytics &amp; AI</t>
        </is>
      </c>
      <c r="D495" s="28" t="inlineStr">
        <is>
          <t>Insights views</t>
        </is>
      </c>
      <c r="E495" s="29" t="inlineStr">
        <is>
          <t>R</t>
        </is>
      </c>
      <c r="F495" s="28" t="inlineStr">
        <is>
          <t>Does it: carries out "Insights views" in /insights, /insights/:view.</t>
        </is>
      </c>
      <c r="G495" s="28" t="inlineStr">
        <is>
          <t>/insights, /insights/:view</t>
        </is>
      </c>
      <c r="H495" s="29" t="inlineStr">
        <is>
          <t>Live</t>
        </is>
      </c>
    </row>
    <row r="496" ht="30" customHeight="1">
      <c r="A496" s="28" t="inlineStr">
        <is>
          <t>HR Manager</t>
        </is>
      </c>
      <c r="B496" s="28" t="inlineStr">
        <is>
          <t>ANA-07</t>
        </is>
      </c>
      <c r="C496" s="28" t="inlineStr">
        <is>
          <t>Analytics &amp; AI</t>
        </is>
      </c>
      <c r="D496" s="28" t="inlineStr">
        <is>
          <t>Custom report builder and exports</t>
        </is>
      </c>
      <c r="E496" s="29" t="inlineStr">
        <is>
          <t>R</t>
        </is>
      </c>
      <c r="F496" s="28" t="inlineStr">
        <is>
          <t>Does it: carries out "Custom report builder and exports" in /reports, /reports/new, /reports/:id.</t>
        </is>
      </c>
      <c r="G496" s="28" t="inlineStr">
        <is>
          <t>/reports, /reports/new, /reports/:id</t>
        </is>
      </c>
      <c r="H496" s="29" t="inlineStr">
        <is>
          <t>Extended</t>
        </is>
      </c>
    </row>
    <row r="497" ht="17" customHeight="1">
      <c r="A497" s="28" t="inlineStr">
        <is>
          <t>HR Manager</t>
        </is>
      </c>
      <c r="B497" s="28" t="inlineStr">
        <is>
          <t>ANA-08</t>
        </is>
      </c>
      <c r="C497" s="28" t="inlineStr">
        <is>
          <t>Analytics &amp; AI</t>
        </is>
      </c>
      <c r="D497" s="28" t="inlineStr">
        <is>
          <t>Ask AI and AI report planning</t>
        </is>
      </c>
      <c r="E497" s="29" t="inlineStr">
        <is>
          <t>R</t>
        </is>
      </c>
      <c r="F497" s="28" t="inlineStr">
        <is>
          <t>Does it: carries out "Ask AI and AI report planning" in /ai.</t>
        </is>
      </c>
      <c r="G497" s="28" t="inlineStr">
        <is>
          <t>/ai</t>
        </is>
      </c>
      <c r="H497" s="29" t="inlineStr">
        <is>
          <t>Extended</t>
        </is>
      </c>
    </row>
    <row r="498" ht="17" customHeight="1">
      <c r="A498" s="28" t="inlineStr">
        <is>
          <t>HR Manager</t>
        </is>
      </c>
      <c r="B498" s="28" t="inlineStr">
        <is>
          <t>ANA-09</t>
        </is>
      </c>
      <c r="C498" s="28" t="inlineStr">
        <is>
          <t>Analytics &amp; AI</t>
        </is>
      </c>
      <c r="D498" s="28" t="inlineStr">
        <is>
          <t>Scheduled email reports</t>
        </is>
      </c>
      <c r="E498" s="29" t="inlineStr">
        <is>
          <t>R</t>
        </is>
      </c>
      <c r="F498" s="28" t="inlineStr">
        <is>
          <t>Planned (not built yet). Does it: carries out "Scheduled email reports".</t>
        </is>
      </c>
      <c r="G498" s="28" t="inlineStr">
        <is>
          <t>-</t>
        </is>
      </c>
      <c r="H498" s="29" t="inlineStr">
        <is>
          <t>Planned</t>
        </is>
      </c>
    </row>
    <row r="499" ht="30" customHeight="1">
      <c r="A499" s="28" t="inlineStr">
        <is>
          <t>HR Manager</t>
        </is>
      </c>
      <c r="B499" s="28" t="inlineStr">
        <is>
          <t>ANA-10</t>
        </is>
      </c>
      <c r="C499" s="28" t="inlineStr">
        <is>
          <t>Analytics &amp; AI</t>
        </is>
      </c>
      <c r="D499" s="28" t="inlineStr">
        <is>
          <t>Report datasets for v3 processes</t>
        </is>
      </c>
      <c r="E499" s="29" t="inlineStr">
        <is>
          <t>R</t>
        </is>
      </c>
      <c r="F499" s="28" t="inlineStr">
        <is>
          <t>Does it: carries out "Report datasets for v3 processes" in /reports/new, /ai.</t>
        </is>
      </c>
      <c r="G499" s="28" t="inlineStr">
        <is>
          <t>/reports/new, /ai</t>
        </is>
      </c>
      <c r="H499" s="29" t="inlineStr">
        <is>
          <t>New in v3</t>
        </is>
      </c>
    </row>
    <row r="500" ht="30" customHeight="1">
      <c r="A500" s="28" t="inlineStr">
        <is>
          <t>HR Manager</t>
        </is>
      </c>
      <c r="B500" s="28" t="inlineStr">
        <is>
          <t>SET-01</t>
        </is>
      </c>
      <c r="C500" s="28" t="inlineStr">
        <is>
          <t>Access, master data &amp; controls</t>
        </is>
      </c>
      <c r="D500" s="28" t="inlineStr">
        <is>
          <t>Guided setup checklist (org data &gt; roles &gt; people)</t>
        </is>
      </c>
      <c r="E500" s="29" t="inlineStr">
        <is>
          <t>C</t>
        </is>
      </c>
      <c r="F500" s="28" t="inlineStr">
        <is>
          <t>Fills structure and master data steps with the Administrator.</t>
        </is>
      </c>
      <c r="G500" s="28" t="inlineStr">
        <is>
          <t>/setup</t>
        </is>
      </c>
      <c r="H500" s="29" t="inlineStr">
        <is>
          <t>New in v4</t>
        </is>
      </c>
    </row>
    <row r="501" ht="30" customHeight="1">
      <c r="A501" s="28" t="inlineStr">
        <is>
          <t>HR Manager</t>
        </is>
      </c>
      <c r="B501" s="28" t="inlineStr">
        <is>
          <t>ADM-01</t>
        </is>
      </c>
      <c r="C501" s="28" t="inlineStr">
        <is>
          <t>Access, master data &amp; controls</t>
        </is>
      </c>
      <c r="D501" s="28" t="inlineStr">
        <is>
          <t>Organisation profile</t>
        </is>
      </c>
      <c r="E501" s="29" t="inlineStr">
        <is>
          <t>C</t>
        </is>
      </c>
      <c r="F501" s="28" t="inlineStr">
        <is>
          <t>Consulted: gives input, data or a decision when asked.</t>
        </is>
      </c>
      <c r="G501" s="28" t="inlineStr">
        <is>
          <t>/setup/org</t>
        </is>
      </c>
      <c r="H501" s="29" t="inlineStr">
        <is>
          <t>New in v4</t>
        </is>
      </c>
    </row>
    <row r="502" ht="30" customHeight="1">
      <c r="A502" s="28" t="inlineStr">
        <is>
          <t>HR Manager</t>
        </is>
      </c>
      <c r="B502" s="28" t="inlineStr">
        <is>
          <t>ADM-02</t>
        </is>
      </c>
      <c r="C502" s="28" t="inlineStr">
        <is>
          <t>Access, master data &amp; controls</t>
        </is>
      </c>
      <c r="D502" s="28" t="inlineStr">
        <is>
          <t>Locations</t>
        </is>
      </c>
      <c r="E502" s="30" t="inlineStr">
        <is>
          <t>A</t>
        </is>
      </c>
      <c r="F502" s="28" t="inlineStr">
        <is>
          <t>Approves / signs off and owns the outcome; sees results in People, Create employee.</t>
        </is>
      </c>
      <c r="G502" s="28" t="inlineStr">
        <is>
          <t>/setup/locations</t>
        </is>
      </c>
      <c r="H502" s="29" t="inlineStr">
        <is>
          <t>New in v4</t>
        </is>
      </c>
    </row>
    <row r="503" ht="30" customHeight="1">
      <c r="A503" s="28" t="inlineStr">
        <is>
          <t>HR Manager</t>
        </is>
      </c>
      <c r="B503" s="28" t="inlineStr">
        <is>
          <t>ADM-03</t>
        </is>
      </c>
      <c r="C503" s="28" t="inlineStr">
        <is>
          <t>Access, master data &amp; controls</t>
        </is>
      </c>
      <c r="D503" s="28" t="inlineStr">
        <is>
          <t>Departments and cost centres</t>
        </is>
      </c>
      <c r="E503" s="30" t="inlineStr">
        <is>
          <t>A</t>
        </is>
      </c>
      <c r="F503" s="28" t="inlineStr">
        <is>
          <t>Approves / signs off and owns the outcome; sees results in People, analytics by department, workflow approver "Head of department".</t>
        </is>
      </c>
      <c r="G503" s="28" t="inlineStr">
        <is>
          <t>/setup/departments, /setup/cost-centres</t>
        </is>
      </c>
      <c r="H503" s="29" t="inlineStr">
        <is>
          <t>New in v4</t>
        </is>
      </c>
    </row>
    <row r="504" ht="30" customHeight="1">
      <c r="A504" s="28" t="inlineStr">
        <is>
          <t>HR Manager</t>
        </is>
      </c>
      <c r="B504" s="28" t="inlineStr">
        <is>
          <t>ADM-04</t>
        </is>
      </c>
      <c r="C504" s="28" t="inlineStr">
        <is>
          <t>Access, master data &amp; controls</t>
        </is>
      </c>
      <c r="D504" s="28" t="inlineStr">
        <is>
          <t>Designations, grades and CTC bands</t>
        </is>
      </c>
      <c r="E504" s="30" t="inlineStr">
        <is>
          <t>A</t>
        </is>
      </c>
      <c r="F504" s="28" t="inlineStr">
        <is>
          <t>Approves / signs off and owns the outcome; sees results in Create employee, People.</t>
        </is>
      </c>
      <c r="G504" s="28" t="inlineStr">
        <is>
          <t>/setup/designations, /setup/grades</t>
        </is>
      </c>
      <c r="H504" s="29" t="inlineStr">
        <is>
          <t>New in v4</t>
        </is>
      </c>
    </row>
    <row r="505" ht="30" customHeight="1">
      <c r="A505" s="28" t="inlineStr">
        <is>
          <t>HR Manager</t>
        </is>
      </c>
      <c r="B505" s="28" t="inlineStr">
        <is>
          <t>ADM-05</t>
        </is>
      </c>
      <c r="C505" s="28" t="inlineStr">
        <is>
          <t>Access, master data &amp; controls</t>
        </is>
      </c>
      <c r="D505" s="28" t="inlineStr">
        <is>
          <t>Shifts and shift assignment</t>
        </is>
      </c>
      <c r="E505" s="30" t="inlineStr">
        <is>
          <t>A</t>
        </is>
      </c>
      <c r="F505" s="28" t="inlineStr">
        <is>
          <t>Approves / signs off and owns the outcome; sees results in People, Create employee.</t>
        </is>
      </c>
      <c r="G505" s="28" t="inlineStr">
        <is>
          <t>/setup/shifts</t>
        </is>
      </c>
      <c r="H505" s="29" t="inlineStr">
        <is>
          <t>New in v4</t>
        </is>
      </c>
    </row>
    <row r="506" ht="30" customHeight="1">
      <c r="A506" s="28" t="inlineStr">
        <is>
          <t>HR Manager</t>
        </is>
      </c>
      <c r="B506" s="28" t="inlineStr">
        <is>
          <t>ADM-06</t>
        </is>
      </c>
      <c r="C506" s="28" t="inlineStr">
        <is>
          <t>Access, master data &amp; controls</t>
        </is>
      </c>
      <c r="D506" s="28" t="inlineStr">
        <is>
          <t>Email templates and sent log</t>
        </is>
      </c>
      <c r="E506" s="30" t="inlineStr">
        <is>
          <t>A</t>
        </is>
      </c>
      <c r="F506" s="28" t="inlineStr">
        <is>
          <t>Approves / signs off and owns the outcome; sees results in Setup &gt; Emails &gt; Sent.</t>
        </is>
      </c>
      <c r="G506" s="28" t="inlineStr">
        <is>
          <t>/setup/emails, /setup/emails?tab=sent</t>
        </is>
      </c>
      <c r="H506" s="29" t="inlineStr">
        <is>
          <t>New in v4</t>
        </is>
      </c>
    </row>
    <row r="507" ht="30" customHeight="1">
      <c r="A507" s="28" t="inlineStr">
        <is>
          <t>HR Manager</t>
        </is>
      </c>
      <c r="B507" s="28" t="inlineStr">
        <is>
          <t>ACC-01</t>
        </is>
      </c>
      <c r="C507" s="28" t="inlineStr">
        <is>
          <t>Access, master data &amp; controls</t>
        </is>
      </c>
      <c r="D507" s="28" t="inlineStr">
        <is>
          <t>Define roles and the permission matrix</t>
        </is>
      </c>
      <c r="E507" s="29" t="inlineStr">
        <is>
          <t>I</t>
        </is>
      </c>
      <c r="F507" s="28" t="inlineStr">
        <is>
          <t>Informed (NTF-04 to checkers; NTF-05 to maker); sees the outcome in Roles &amp; permissions sheet; Setup &gt; Roles.</t>
        </is>
      </c>
      <c r="G507" s="28" t="inlineStr">
        <is>
          <t>/setup/roles, /setup/roles/:key</t>
        </is>
      </c>
      <c r="H507" s="29" t="inlineStr">
        <is>
          <t>New in v4</t>
        </is>
      </c>
    </row>
    <row r="508" ht="30" customHeight="1">
      <c r="A508" s="28" t="inlineStr">
        <is>
          <t>HR Manager</t>
        </is>
      </c>
      <c r="B508" s="28" t="inlineStr">
        <is>
          <t>ACC-02</t>
        </is>
      </c>
      <c r="C508" s="28" t="inlineStr">
        <is>
          <t>Access, master data &amp; controls</t>
        </is>
      </c>
      <c r="D508" s="28" t="inlineStr">
        <is>
          <t>Clone and compare roles</t>
        </is>
      </c>
      <c r="E508" s="29" t="inlineStr">
        <is>
          <t>I</t>
        </is>
      </c>
      <c r="F508" s="28" t="inlineStr">
        <is>
          <t>Informed; sees the outcome in Setup &gt; Roles (Compare roles tab).</t>
        </is>
      </c>
      <c r="G508" s="28" t="inlineStr">
        <is>
          <t>/setup/roles?tab=compare</t>
        </is>
      </c>
      <c r="H508" s="29" t="inlineStr">
        <is>
          <t>New in v4</t>
        </is>
      </c>
    </row>
    <row r="509" ht="30" customHeight="1">
      <c r="A509" s="28" t="inlineStr">
        <is>
          <t>HR Manager</t>
        </is>
      </c>
      <c r="B509" s="28" t="inlineStr">
        <is>
          <t>ACC-03</t>
        </is>
      </c>
      <c r="C509" s="28" t="inlineStr">
        <is>
          <t>Access, master data &amp; controls</t>
        </is>
      </c>
      <c r="D509" s="28" t="inlineStr">
        <is>
          <t>Change a person's role, extra and revoked permissions</t>
        </is>
      </c>
      <c r="E509" s="29" t="inlineStr">
        <is>
          <t>C</t>
        </is>
      </c>
      <c r="F509" s="28" t="inlineStr">
        <is>
          <t>Consulted: gives input, data or a decision when asked.</t>
        </is>
      </c>
      <c r="G509" s="28" t="inlineStr">
        <is>
          <t>/people</t>
        </is>
      </c>
      <c r="H509" s="29" t="inlineStr">
        <is>
          <t>New in v4</t>
        </is>
      </c>
    </row>
    <row r="510" ht="30" customHeight="1">
      <c r="A510" s="28" t="inlineStr">
        <is>
          <t>HR Manager</t>
        </is>
      </c>
      <c r="B510" s="28" t="inlineStr">
        <is>
          <t>ACC-04</t>
        </is>
      </c>
      <c r="C510" s="28" t="inlineStr">
        <is>
          <t>Access, master data &amp; controls</t>
        </is>
      </c>
      <c r="D510" s="28" t="inlineStr">
        <is>
          <t>Create employee and send the welcome email</t>
        </is>
      </c>
      <c r="E510" s="30" t="inlineStr">
        <is>
          <t>A</t>
        </is>
      </c>
      <c r="F510" s="28" t="inlineStr">
        <is>
          <t>Owns joiner data quality; sets CTC only if they hold cost_rates.edit.</t>
        </is>
      </c>
      <c r="G510" s="28" t="inlineStr">
        <is>
          <t>/people/new</t>
        </is>
      </c>
      <c r="H510" s="29" t="inlineStr">
        <is>
          <t>New in v4</t>
        </is>
      </c>
    </row>
    <row r="511" ht="30" customHeight="1">
      <c r="A511" s="28" t="inlineStr">
        <is>
          <t>HR Manager</t>
        </is>
      </c>
      <c r="B511" s="28" t="inlineStr">
        <is>
          <t>ACC-05</t>
        </is>
      </c>
      <c r="C511" s="28" t="inlineStr">
        <is>
          <t>Access, master data &amp; controls</t>
        </is>
      </c>
      <c r="D511" s="28" t="inlineStr">
        <is>
          <t>First sign-in: forced password change</t>
        </is>
      </c>
      <c r="E511" s="29" t="inlineStr">
        <is>
          <t>R</t>
        </is>
      </c>
      <c r="F511" s="28" t="inlineStr">
        <is>
          <t>Does it: carries out "First sign-in: forced password change" in /welcome/password.</t>
        </is>
      </c>
      <c r="G511" s="28" t="inlineStr">
        <is>
          <t>/welcome/password</t>
        </is>
      </c>
      <c r="H511" s="29" t="inlineStr">
        <is>
          <t>New in v4</t>
        </is>
      </c>
    </row>
    <row r="512" ht="30" customHeight="1">
      <c r="A512" s="28" t="inlineStr">
        <is>
          <t>HR Manager</t>
        </is>
      </c>
      <c r="B512" s="28" t="inlineStr">
        <is>
          <t>ACC-06</t>
        </is>
      </c>
      <c r="C512" s="28" t="inlineStr">
        <is>
          <t>Access, master data &amp; controls</t>
        </is>
      </c>
      <c r="D512" s="28" t="inlineStr">
        <is>
          <t>Administrator password reset</t>
        </is>
      </c>
      <c r="E512" s="29" t="inlineStr">
        <is>
          <t>C</t>
        </is>
      </c>
      <c r="F512" s="28" t="inlineStr">
        <is>
          <t>Consulted: gives input, data or a decision when asked.</t>
        </is>
      </c>
      <c r="G512" s="28" t="inlineStr">
        <is>
          <t>/people</t>
        </is>
      </c>
      <c r="H512" s="29" t="inlineStr">
        <is>
          <t>New in v4</t>
        </is>
      </c>
    </row>
    <row r="513" ht="30" customHeight="1">
      <c r="A513" s="28" t="inlineStr">
        <is>
          <t>HR Manager</t>
        </is>
      </c>
      <c r="B513" s="28" t="inlineStr">
        <is>
          <t>ACC-07</t>
        </is>
      </c>
      <c r="C513" s="28" t="inlineStr">
        <is>
          <t>Access, master data &amp; controls</t>
        </is>
      </c>
      <c r="D513" s="28" t="inlineStr">
        <is>
          <t>Deactivate or reactivate an employee</t>
        </is>
      </c>
      <c r="E513" s="30" t="inlineStr">
        <is>
          <t>A</t>
        </is>
      </c>
      <c r="F513" s="28" t="inlineStr">
        <is>
          <t>Approves / signs off and owns the outcome; sees results in People, HR dashboard.</t>
        </is>
      </c>
      <c r="G513" s="28" t="inlineStr">
        <is>
          <t>/people</t>
        </is>
      </c>
      <c r="H513" s="29" t="inlineStr">
        <is>
          <t>New in v4</t>
        </is>
      </c>
    </row>
    <row r="514" ht="30" customHeight="1">
      <c r="A514" s="28" t="inlineStr">
        <is>
          <t>HR Manager</t>
        </is>
      </c>
      <c r="B514" s="28" t="inlineStr">
        <is>
          <t>ACC-09</t>
        </is>
      </c>
      <c r="C514" s="28" t="inlineStr">
        <is>
          <t>Access, master data &amp; controls</t>
        </is>
      </c>
      <c r="D514" s="28" t="inlineStr">
        <is>
          <t>One login: screens, actions and data scope by permission</t>
        </is>
      </c>
      <c r="E514" s="29" t="inlineStr">
        <is>
          <t>I</t>
        </is>
      </c>
      <c r="F514" s="28" t="inlineStr">
        <is>
          <t>Informed; sees the outcome in All.</t>
        </is>
      </c>
      <c r="G514" s="28" t="inlineStr">
        <is>
          <t>All screens</t>
        </is>
      </c>
      <c r="H514" s="29" t="inlineStr">
        <is>
          <t>New in v4</t>
        </is>
      </c>
    </row>
    <row r="515" ht="30" customHeight="1">
      <c r="A515" s="28" t="inlineStr">
        <is>
          <t>HR Manager</t>
        </is>
      </c>
      <c r="B515" s="28" t="inlineStr">
        <is>
          <t>MC-01</t>
        </is>
      </c>
      <c r="C515" s="28" t="inlineStr">
        <is>
          <t>Access, master data &amp; controls</t>
        </is>
      </c>
      <c r="D515" s="28" t="inlineStr">
        <is>
          <t>Propose a sensitive change (maker)</t>
        </is>
      </c>
      <c r="E515" s="29" t="inlineStr">
        <is>
          <t>R</t>
        </is>
      </c>
      <c r="F515" s="28" t="inlineStr">
        <is>
          <t>Does it: carries out "Propose a sensitive change (maker)" in /changes.</t>
        </is>
      </c>
      <c r="G515" s="28" t="inlineStr">
        <is>
          <t>/changes</t>
        </is>
      </c>
      <c r="H515" s="29" t="inlineStr">
        <is>
          <t>New in v4</t>
        </is>
      </c>
    </row>
    <row r="516" ht="30" customHeight="1">
      <c r="A516" s="28" t="inlineStr">
        <is>
          <t>HR Manager</t>
        </is>
      </c>
      <c r="B516" s="28" t="inlineStr">
        <is>
          <t>MC-02</t>
        </is>
      </c>
      <c r="C516" s="28" t="inlineStr">
        <is>
          <t>Access, master data &amp; controls</t>
        </is>
      </c>
      <c r="D516" s="28" t="inlineStr">
        <is>
          <t>Check a change: approve or reject (checker)</t>
        </is>
      </c>
      <c r="E516" s="29" t="inlineStr">
        <is>
          <t>R</t>
        </is>
      </c>
      <c r="F516" s="28" t="inlineStr">
        <is>
          <t>Does it: carries out "Check a change: approve or reject (checker)" in /changes.</t>
        </is>
      </c>
      <c r="G516" s="28" t="inlineStr">
        <is>
          <t>/changes</t>
        </is>
      </c>
      <c r="H516" s="29" t="inlineStr">
        <is>
          <t>New in v4</t>
        </is>
      </c>
    </row>
    <row r="517" ht="30" customHeight="1">
      <c r="A517" s="28" t="inlineStr">
        <is>
          <t>HR Manager</t>
        </is>
      </c>
      <c r="B517" s="28" t="inlineStr">
        <is>
          <t>MC-03</t>
        </is>
      </c>
      <c r="C517" s="28" t="inlineStr">
        <is>
          <t>Access, master data &amp; controls</t>
        </is>
      </c>
      <c r="D517" s="28" t="inlineStr">
        <is>
          <t>Withdraw a pending change</t>
        </is>
      </c>
      <c r="E517" s="29" t="inlineStr">
        <is>
          <t>R</t>
        </is>
      </c>
      <c r="F517" s="28" t="inlineStr">
        <is>
          <t>Does it: carries out "Withdraw a pending change" in /changes.</t>
        </is>
      </c>
      <c r="G517" s="28" t="inlineStr">
        <is>
          <t>/changes</t>
        </is>
      </c>
      <c r="H517" s="29" t="inlineStr">
        <is>
          <t>New in v4</t>
        </is>
      </c>
    </row>
    <row r="518" ht="30" customHeight="1">
      <c r="A518" s="28" t="inlineStr">
        <is>
          <t>HR Manager</t>
        </is>
      </c>
      <c r="B518" s="28" t="inlineStr">
        <is>
          <t>WF-01</t>
        </is>
      </c>
      <c r="C518" s="28" t="inlineStr">
        <is>
          <t>Access, master data &amp; controls</t>
        </is>
      </c>
      <c r="D518" s="28" t="inlineStr">
        <is>
          <t>Configure an approval workflow</t>
        </is>
      </c>
      <c r="E518" s="29" t="inlineStr">
        <is>
          <t>C</t>
        </is>
      </c>
      <c r="F518" s="28" t="inlineStr">
        <is>
          <t>Consulted: gives input, data or a decision when asked.</t>
        </is>
      </c>
      <c r="G518" s="28" t="inlineStr">
        <is>
          <t>/setup/workflows</t>
        </is>
      </c>
      <c r="H518" s="29" t="inlineStr">
        <is>
          <t>New in v4</t>
        </is>
      </c>
    </row>
    <row r="519" ht="30" customHeight="1">
      <c r="A519" s="28" t="inlineStr">
        <is>
          <t>HR Manager</t>
        </is>
      </c>
      <c r="B519" s="28" t="inlineStr">
        <is>
          <t>WF-02</t>
        </is>
      </c>
      <c r="C519" s="28" t="inlineStr">
        <is>
          <t>Access, master data &amp; controls</t>
        </is>
      </c>
      <c r="D519" s="28" t="inlineStr">
        <is>
          <t>Test (simulate) a workflow</t>
        </is>
      </c>
      <c r="E519" s="29" t="inlineStr">
        <is>
          <t>R</t>
        </is>
      </c>
      <c r="F519" s="28" t="inlineStr">
        <is>
          <t>Does it: carries out "Test (simulate) a workflow" in /setup/workflows.</t>
        </is>
      </c>
      <c r="G519" s="28" t="inlineStr">
        <is>
          <t>/setup/workflows</t>
        </is>
      </c>
      <c r="H519" s="29" t="inlineStr">
        <is>
          <t>New in v4</t>
        </is>
      </c>
    </row>
    <row r="520" ht="30" customHeight="1">
      <c r="A520" s="28" t="inlineStr">
        <is>
          <t>HR Manager</t>
        </is>
      </c>
      <c r="B520" s="28" t="inlineStr">
        <is>
          <t>WF-03</t>
        </is>
      </c>
      <c r="C520" s="28" t="inlineStr">
        <is>
          <t>Access, master data &amp; controls</t>
        </is>
      </c>
      <c r="D520" s="28" t="inlineStr">
        <is>
          <t>Multi-step routing, SLA and escalation at run time</t>
        </is>
      </c>
      <c r="E520" s="29" t="inlineStr">
        <is>
          <t>I</t>
        </is>
      </c>
      <c r="F520" s="28" t="inlineStr">
        <is>
          <t>Informed (NTF-04 (to approver, and on escalation)); sees the outcome in Approvals inbox; Approvals &amp; SLAs sheet.</t>
        </is>
      </c>
      <c r="G520" s="28" t="inlineStr">
        <is>
          <t>/inbox</t>
        </is>
      </c>
      <c r="H520" s="29" t="inlineStr">
        <is>
          <t>New in v4</t>
        </is>
      </c>
    </row>
    <row r="521" ht="17" customHeight="1">
      <c r="A521" s="28" t="inlineStr">
        <is>
          <t>HR Executive</t>
        </is>
      </c>
      <c r="B521" s="28" t="inlineStr">
        <is>
          <t>WS-02</t>
        </is>
      </c>
      <c r="C521" s="28" t="inlineStr">
        <is>
          <t>Workspace &amp; access</t>
        </is>
      </c>
      <c r="D521" s="28" t="inlineStr">
        <is>
          <t>Onboarding checklist and sample data</t>
        </is>
      </c>
      <c r="E521" s="29" t="inlineStr">
        <is>
          <t>I</t>
        </is>
      </c>
      <c r="F521" s="28" t="inlineStr">
        <is>
          <t>Informed; sees the outcome in CEO Home (onboarding card).</t>
        </is>
      </c>
      <c r="G521" s="28" t="inlineStr">
        <is>
          <t>/home, /onboarding</t>
        </is>
      </c>
      <c r="H521" s="29" t="inlineStr">
        <is>
          <t>Extended</t>
        </is>
      </c>
    </row>
    <row r="522" ht="30" customHeight="1">
      <c r="A522" s="28" t="inlineStr">
        <is>
          <t>HR Executive</t>
        </is>
      </c>
      <c r="B522" s="28" t="inlineStr">
        <is>
          <t>WS-03</t>
        </is>
      </c>
      <c r="C522" s="28" t="inlineStr">
        <is>
          <t>Workspace &amp; access</t>
        </is>
      </c>
      <c r="D522" s="28" t="inlineStr">
        <is>
          <t>Sign in, lockout and password reset</t>
        </is>
      </c>
      <c r="E522" s="29" t="inlineStr">
        <is>
          <t>R</t>
        </is>
      </c>
      <c r="F522" s="28" t="inlineStr">
        <is>
          <t>Does it: carries out "Sign in, lockout and password reset" in /login, /reset-password.</t>
        </is>
      </c>
      <c r="G522" s="28" t="inlineStr">
        <is>
          <t>/login, /reset-password</t>
        </is>
      </c>
      <c r="H522" s="29" t="inlineStr">
        <is>
          <t>Extended</t>
        </is>
      </c>
    </row>
    <row r="523" ht="30" customHeight="1">
      <c r="A523" s="28" t="inlineStr">
        <is>
          <t>HR Executive</t>
        </is>
      </c>
      <c r="B523" s="28" t="inlineStr">
        <is>
          <t>WS-04</t>
        </is>
      </c>
      <c r="C523" s="28" t="inlineStr">
        <is>
          <t>Workspace &amp; access</t>
        </is>
      </c>
      <c r="D523" s="28" t="inlineStr">
        <is>
          <t>Invite people (single or bulk CSV) and accept invitation</t>
        </is>
      </c>
      <c r="E523" s="29" t="inlineStr">
        <is>
          <t>R</t>
        </is>
      </c>
      <c r="F523" s="28" t="inlineStr">
        <is>
          <t>Does it: carries out "Invite people (single or bulk CSV) and accept invitation" in /people, /invite/:token.</t>
        </is>
      </c>
      <c r="G523" s="28" t="inlineStr">
        <is>
          <t>/people, /invite/:token</t>
        </is>
      </c>
      <c r="H523" s="29" t="inlineStr">
        <is>
          <t>Extended</t>
        </is>
      </c>
    </row>
    <row r="524" ht="43" customHeight="1">
      <c r="A524" s="28" t="inlineStr">
        <is>
          <t>HR Executive</t>
        </is>
      </c>
      <c r="B524" s="28" t="inlineStr">
        <is>
          <t>WS-08</t>
        </is>
      </c>
      <c r="C524" s="28" t="inlineStr">
        <is>
          <t>Workspace &amp; access</t>
        </is>
      </c>
      <c r="D524" s="28" t="inlineStr">
        <is>
          <t>Security, two-step verification and personal settings</t>
        </is>
      </c>
      <c r="E524" s="29" t="inlineStr">
        <is>
          <t>R</t>
        </is>
      </c>
      <c r="F524" s="28" t="inlineStr">
        <is>
          <t>Does it: carries out "Security, two-step verification and personal settings" in /settings/security, /settings/profile, /settings/appearance.</t>
        </is>
      </c>
      <c r="G524" s="28" t="inlineStr">
        <is>
          <t>/settings/security, /settings/profile, /settings/appearance</t>
        </is>
      </c>
      <c r="H524" s="29" t="inlineStr">
        <is>
          <t>Live</t>
        </is>
      </c>
    </row>
    <row r="525" ht="17" customHeight="1">
      <c r="A525" s="28" t="inlineStr">
        <is>
          <t>HR Executive</t>
        </is>
      </c>
      <c r="B525" s="28" t="inlineStr">
        <is>
          <t>WS-09</t>
        </is>
      </c>
      <c r="C525" s="28" t="inlineStr">
        <is>
          <t>Workspace &amp; access</t>
        </is>
      </c>
      <c r="D525" s="28" t="inlineStr">
        <is>
          <t>Deactivate or reactivate a person</t>
        </is>
      </c>
      <c r="E525" s="29" t="inlineStr">
        <is>
          <t>C</t>
        </is>
      </c>
      <c r="F525" s="28" t="inlineStr">
        <is>
          <t>Consulted: gives input, data or a decision when asked.</t>
        </is>
      </c>
      <c r="G525" s="28" t="inlineStr">
        <is>
          <t>/people</t>
        </is>
      </c>
      <c r="H525" s="29" t="inlineStr">
        <is>
          <t>Extended</t>
        </is>
      </c>
    </row>
    <row r="526" ht="17" customHeight="1">
      <c r="A526" s="28" t="inlineStr">
        <is>
          <t>HR Executive</t>
        </is>
      </c>
      <c r="B526" s="28" t="inlineStr">
        <is>
          <t>WS-13</t>
        </is>
      </c>
      <c r="C526" s="28" t="inlineStr">
        <is>
          <t>Workspace &amp; access</t>
        </is>
      </c>
      <c r="D526" s="28" t="inlineStr">
        <is>
          <t>Single sign-on and custom roles</t>
        </is>
      </c>
      <c r="E526" s="29" t="inlineStr">
        <is>
          <t>I</t>
        </is>
      </c>
      <c r="F526" s="28" t="inlineStr">
        <is>
          <t>Planned (not built yet). Informed.</t>
        </is>
      </c>
      <c r="G526" s="28" t="inlineStr">
        <is>
          <t>-</t>
        </is>
      </c>
      <c r="H526" s="29" t="inlineStr">
        <is>
          <t>Planned</t>
        </is>
      </c>
    </row>
    <row r="527" ht="30" customHeight="1">
      <c r="A527" s="28" t="inlineStr">
        <is>
          <t>HR Executive</t>
        </is>
      </c>
      <c r="B527" s="28" t="inlineStr">
        <is>
          <t>ORG-01</t>
        </is>
      </c>
      <c r="C527" s="28" t="inlineStr">
        <is>
          <t>Organisation &amp; master data</t>
        </is>
      </c>
      <c r="D527" s="28" t="inlineStr">
        <is>
          <t>Company rules and settings</t>
        </is>
      </c>
      <c r="E527" s="29" t="inlineStr">
        <is>
          <t>I</t>
        </is>
      </c>
      <c r="F527" s="28" t="inlineStr">
        <is>
          <t>Informed; sees the outcome in All.</t>
        </is>
      </c>
      <c r="G527" s="28" t="inlineStr">
        <is>
          <t>/settings/company</t>
        </is>
      </c>
      <c r="H527" s="29" t="inlineStr">
        <is>
          <t>Extended</t>
        </is>
      </c>
    </row>
    <row r="528" ht="30" customHeight="1">
      <c r="A528" s="28" t="inlineStr">
        <is>
          <t>HR Executive</t>
        </is>
      </c>
      <c r="B528" s="28" t="inlineStr">
        <is>
          <t>ORG-02</t>
        </is>
      </c>
      <c r="C528" s="28" t="inlineStr">
        <is>
          <t>Organisation &amp; master data</t>
        </is>
      </c>
      <c r="D528" s="28" t="inlineStr">
        <is>
          <t>Working calendar and holidays</t>
        </is>
      </c>
      <c r="E528" s="29" t="inlineStr">
        <is>
          <t>I</t>
        </is>
      </c>
      <c r="F528" s="28" t="inlineStr">
        <is>
          <t>Informed; sees the outcome in Timesheet, Leave, Payroll.</t>
        </is>
      </c>
      <c r="G528" s="28" t="inlineStr">
        <is>
          <t>/settings/holidays</t>
        </is>
      </c>
      <c r="H528" s="29" t="inlineStr">
        <is>
          <t>Extended</t>
        </is>
      </c>
    </row>
    <row r="529" ht="30" customHeight="1">
      <c r="A529" s="28" t="inlineStr">
        <is>
          <t>HR Executive</t>
        </is>
      </c>
      <c r="B529" s="28" t="inlineStr">
        <is>
          <t>ORG-04</t>
        </is>
      </c>
      <c r="C529" s="28" t="inlineStr">
        <is>
          <t>Organisation &amp; master data</t>
        </is>
      </c>
      <c r="D529" s="28" t="inlineStr">
        <is>
          <t>Vendor master (onboard, block, unblock)</t>
        </is>
      </c>
      <c r="E529" s="29" t="inlineStr">
        <is>
          <t>I</t>
        </is>
      </c>
      <c r="F529" s="28" t="inlineStr">
        <is>
          <t>Informed; sees the outcome in Purchases &amp; vendors.</t>
        </is>
      </c>
      <c r="G529" s="28" t="inlineStr">
        <is>
          <t>/purchases (Vendors tab)</t>
        </is>
      </c>
      <c r="H529" s="29" t="inlineStr">
        <is>
          <t>Extended</t>
        </is>
      </c>
    </row>
    <row r="530" ht="30" customHeight="1">
      <c r="A530" s="28" t="inlineStr">
        <is>
          <t>HR Executive</t>
        </is>
      </c>
      <c r="B530" s="28" t="inlineStr">
        <is>
          <t>ORG-05</t>
        </is>
      </c>
      <c r="C530" s="28" t="inlineStr">
        <is>
          <t>Organisation &amp; master data</t>
        </is>
      </c>
      <c r="D530" s="28" t="inlineStr">
        <is>
          <t>Product, category and service catalogue maintenance</t>
        </is>
      </c>
      <c r="E530" s="29" t="inlineStr">
        <is>
          <t>I</t>
        </is>
      </c>
      <c r="F530" s="28" t="inlineStr">
        <is>
          <t>Planned (not built yet). Informed.</t>
        </is>
      </c>
      <c r="G530" s="28" t="inlineStr">
        <is>
          <t>-</t>
        </is>
      </c>
      <c r="H530" s="29" t="inlineStr">
        <is>
          <t>Planned</t>
        </is>
      </c>
    </row>
    <row r="531" ht="17" customHeight="1">
      <c r="A531" s="28" t="inlineStr">
        <is>
          <t>HR Executive</t>
        </is>
      </c>
      <c r="B531" s="28" t="inlineStr">
        <is>
          <t>DEL-12</t>
        </is>
      </c>
      <c r="C531" s="28" t="inlineStr">
        <is>
          <t>Project delivery</t>
        </is>
      </c>
      <c r="D531" s="28" t="inlineStr">
        <is>
          <t>Resource requisition</t>
        </is>
      </c>
      <c r="E531" s="29" t="inlineStr">
        <is>
          <t>I</t>
        </is>
      </c>
      <c r="F531" s="28" t="inlineStr">
        <is>
          <t>Planned (not built yet). Informed.</t>
        </is>
      </c>
      <c r="G531" s="28" t="inlineStr">
        <is>
          <t>-</t>
        </is>
      </c>
      <c r="H531" s="29" t="inlineStr">
        <is>
          <t>Planned</t>
        </is>
      </c>
    </row>
    <row r="532" ht="17" customHeight="1">
      <c r="A532" s="28" t="inlineStr">
        <is>
          <t>HR Executive</t>
        </is>
      </c>
      <c r="B532" s="28" t="inlineStr">
        <is>
          <t>DEL-13</t>
        </is>
      </c>
      <c r="C532" s="28" t="inlineStr">
        <is>
          <t>Project delivery</t>
        </is>
      </c>
      <c r="D532" s="28" t="inlineStr">
        <is>
          <t>Capacity planning and forecasting</t>
        </is>
      </c>
      <c r="E532" s="29" t="inlineStr">
        <is>
          <t>I</t>
        </is>
      </c>
      <c r="F532" s="28" t="inlineStr">
        <is>
          <t>Planned (not built yet). Informed.</t>
        </is>
      </c>
      <c r="G532" s="28" t="inlineStr">
        <is>
          <t>-</t>
        </is>
      </c>
      <c r="H532" s="29" t="inlineStr">
        <is>
          <t>Planned</t>
        </is>
      </c>
    </row>
    <row r="533" ht="30" customHeight="1">
      <c r="A533" s="28" t="inlineStr">
        <is>
          <t>HR Executive</t>
        </is>
      </c>
      <c r="B533" s="28" t="inlineStr">
        <is>
          <t>TSK-01</t>
        </is>
      </c>
      <c r="C533" s="28" t="inlineStr">
        <is>
          <t>Task governance</t>
        </is>
      </c>
      <c r="D533" s="28" t="inlineStr">
        <is>
          <t>Manager assigns a task</t>
        </is>
      </c>
      <c r="E533" s="29" t="inlineStr">
        <is>
          <t>I</t>
        </is>
      </c>
      <c r="F533" s="28" t="inlineStr">
        <is>
          <t>Informed (NTF-14 task assigned); sees the outcome in Team tasks, My tasks, Employee Home (Today / This week).</t>
        </is>
      </c>
      <c r="G533" s="28" t="inlineStr">
        <is>
          <t>/team-tasks?tab=assign</t>
        </is>
      </c>
      <c r="H533" s="29" t="inlineStr">
        <is>
          <t>New in v3</t>
        </is>
      </c>
    </row>
    <row r="534" ht="30" customHeight="1">
      <c r="A534" s="28" t="inlineStr">
        <is>
          <t>HR Executive</t>
        </is>
      </c>
      <c r="B534" s="28" t="inlineStr">
        <is>
          <t>TSK-02</t>
        </is>
      </c>
      <c r="C534" s="28" t="inlineStr">
        <is>
          <t>Task governance</t>
        </is>
      </c>
      <c r="D534" s="28" t="inlineStr">
        <is>
          <t>Work my tasks (start, progress, covering)</t>
        </is>
      </c>
      <c r="E534" s="29" t="inlineStr">
        <is>
          <t>I</t>
        </is>
      </c>
      <c r="F534" s="28" t="inlineStr">
        <is>
          <t>Informed; sees the outcome in Employee Home (Today, Blockers, Others waiting on you).</t>
        </is>
      </c>
      <c r="G534" s="28" t="inlineStr">
        <is>
          <t>/my-tasks, task drawer</t>
        </is>
      </c>
      <c r="H534" s="29" t="inlineStr">
        <is>
          <t>Live</t>
        </is>
      </c>
    </row>
    <row r="535" ht="43" customHeight="1">
      <c r="A535" s="28" t="inlineStr">
        <is>
          <t>HR Executive</t>
        </is>
      </c>
      <c r="B535" s="28" t="inlineStr">
        <is>
          <t>TSK-04</t>
        </is>
      </c>
      <c r="C535" s="28" t="inlineStr">
        <is>
          <t>Task governance</t>
        </is>
      </c>
      <c r="D535" s="28" t="inlineStr">
        <is>
          <t>Submit task for review</t>
        </is>
      </c>
      <c r="E535" s="29" t="inlineStr">
        <is>
          <t>I</t>
        </is>
      </c>
      <c r="F535" s="28" t="inlineStr">
        <is>
          <t>Informed (NTF-04 task waiting for your review / resubmitted); sees the outcome in Approvals inbox (task_review), Team tasks &gt; Review queue; Reports / Ask AI (task_reviews).</t>
        </is>
      </c>
      <c r="G535" s="28" t="inlineStr">
        <is>
          <t>Task drawer &gt; Submit for review</t>
        </is>
      </c>
      <c r="H535" s="29" t="inlineStr">
        <is>
          <t>New in v3</t>
        </is>
      </c>
    </row>
    <row r="536" ht="30" customHeight="1">
      <c r="A536" s="28" t="inlineStr">
        <is>
          <t>HR Executive</t>
        </is>
      </c>
      <c r="B536" s="28" t="inlineStr">
        <is>
          <t>TSK-05</t>
        </is>
      </c>
      <c r="C536" s="28" t="inlineStr">
        <is>
          <t>Task governance</t>
        </is>
      </c>
      <c r="D536" s="28" t="inlineStr">
        <is>
          <t>Delay reason capture</t>
        </is>
      </c>
      <c r="E536" s="29" t="inlineStr">
        <is>
          <t>I</t>
        </is>
      </c>
      <c r="F536" s="28" t="inlineStr">
        <is>
          <t>Informed; sees the outcome in Team tasks &gt; Performance (top reasons), Approvals inbox, My performance; Reports / Ask AI (tasks, task_reviews).</t>
        </is>
      </c>
      <c r="G536" s="28" t="inlineStr">
        <is>
          <t>Task drawer &gt; Submit for review</t>
        </is>
      </c>
      <c r="H536" s="29" t="inlineStr">
        <is>
          <t>New in v3</t>
        </is>
      </c>
    </row>
    <row r="537" ht="56" customHeight="1">
      <c r="A537" s="28" t="inlineStr">
        <is>
          <t>HR Executive</t>
        </is>
      </c>
      <c r="B537" s="28" t="inlineStr">
        <is>
          <t>TSK-06</t>
        </is>
      </c>
      <c r="C537" s="28" t="inlineStr">
        <is>
          <t>Task governance</t>
        </is>
      </c>
      <c r="D537" s="28" t="inlineStr">
        <is>
          <t>Approve task with quality rating</t>
        </is>
      </c>
      <c r="E537" s="29" t="inlineStr">
        <is>
          <t>I</t>
        </is>
      </c>
      <c r="F537" s="28" t="inlineStr">
        <is>
          <t>Informed (NTF-05 task approved (with rating and timeliness)); sees the outcome in CEO/PM/Employee Home (task delivery), Team tasks &gt; Performance, My performance, Appraisal metrics, Scorecard; Reports / Ask AI (tasks, task_reviews).</t>
        </is>
      </c>
      <c r="G537" s="28" t="inlineStr">
        <is>
          <t>/inbox, /team-tasks?tab=review, task drawer</t>
        </is>
      </c>
      <c r="H537" s="29" t="inlineStr">
        <is>
          <t>Extended</t>
        </is>
      </c>
    </row>
    <row r="538" ht="30" customHeight="1">
      <c r="A538" s="28" t="inlineStr">
        <is>
          <t>HR Executive</t>
        </is>
      </c>
      <c r="B538" s="28" t="inlineStr">
        <is>
          <t>TSK-07</t>
        </is>
      </c>
      <c r="C538" s="28" t="inlineStr">
        <is>
          <t>Task governance</t>
        </is>
      </c>
      <c r="D538" s="28" t="inlineStr">
        <is>
          <t>Send back with reason</t>
        </is>
      </c>
      <c r="E538" s="29" t="inlineStr">
        <is>
          <t>I</t>
        </is>
      </c>
      <c r="F538" s="28" t="inlineStr">
        <is>
          <t>Informed (NTF-06 task sent back); sees the outcome in Team tasks (sent-back count, last reason), My performance; Reports / Ask AI (task_reviews).</t>
        </is>
      </c>
      <c r="G538" s="28" t="inlineStr">
        <is>
          <t>/inbox, task drawer</t>
        </is>
      </c>
      <c r="H538" s="29" t="inlineStr">
        <is>
          <t>Extended</t>
        </is>
      </c>
    </row>
    <row r="539" ht="43" customHeight="1">
      <c r="A539" s="28" t="inlineStr">
        <is>
          <t>HR Executive</t>
        </is>
      </c>
      <c r="B539" s="28" t="inlineStr">
        <is>
          <t>TSK-09</t>
        </is>
      </c>
      <c r="C539" s="28" t="inlineStr">
        <is>
          <t>Task governance</t>
        </is>
      </c>
      <c r="D539" s="28" t="inlineStr">
        <is>
          <t>Timeliness: early, on time or late</t>
        </is>
      </c>
      <c r="E539" s="29" t="inlineStr">
        <is>
          <t>I</t>
        </is>
      </c>
      <c r="F539" s="28" t="inlineStr">
        <is>
          <t>Informed; sees the outcome in CEO Home, HR &amp; operations Home, PM Home, Employee Home (task delivery panels), Team tasks &gt; Performance, Scorecard, Appraisals, Reports / Ask AI (tasks.timeliness).</t>
        </is>
      </c>
      <c r="G539" s="28" t="inlineStr">
        <is>
          <t>Computed (performance.ts)</t>
        </is>
      </c>
      <c r="H539" s="29" t="inlineStr">
        <is>
          <t>New in v3</t>
        </is>
      </c>
    </row>
    <row r="540" ht="17" customHeight="1">
      <c r="A540" s="28" t="inlineStr">
        <is>
          <t>HR Executive</t>
        </is>
      </c>
      <c r="B540" s="28" t="inlineStr">
        <is>
          <t>TSK-10</t>
        </is>
      </c>
      <c r="C540" s="28" t="inlineStr">
        <is>
          <t>Task governance</t>
        </is>
      </c>
      <c r="D540" s="28" t="inlineStr">
        <is>
          <t>Team task monitoring</t>
        </is>
      </c>
      <c r="E540" s="29" t="inlineStr">
        <is>
          <t>I</t>
        </is>
      </c>
      <c r="F540" s="28" t="inlineStr">
        <is>
          <t>Informed; sees the outcome in Team tasks; Reports / Ask AI (tasks).</t>
        </is>
      </c>
      <c r="G540" s="28" t="inlineStr">
        <is>
          <t>/team-tasks?tab=team</t>
        </is>
      </c>
      <c r="H540" s="29" t="inlineStr">
        <is>
          <t>New in v3</t>
        </is>
      </c>
    </row>
    <row r="541" ht="56" customHeight="1">
      <c r="A541" s="28" t="inlineStr">
        <is>
          <t>HR Executive</t>
        </is>
      </c>
      <c r="B541" s="28" t="inlineStr">
        <is>
          <t>TSK-11</t>
        </is>
      </c>
      <c r="C541" s="28" t="inlineStr">
        <is>
          <t>Task governance</t>
        </is>
      </c>
      <c r="D541" s="28" t="inlineStr">
        <is>
          <t>Team and company delivery performance</t>
        </is>
      </c>
      <c r="E541" s="29" t="inlineStr">
        <is>
          <t>I</t>
        </is>
      </c>
      <c r="F541" s="28" t="inlineStr">
        <is>
          <t>Informed; sees the outcome in CEO Home and HR &amp; operations Home (company, 90 days), PM Home (team), Employee Home (my delivery), CEO People panel (on-time %), Team tasks &gt; Performance, Reports / Ask AI (tasks, task_reviews).</t>
        </is>
      </c>
      <c r="G541" s="28" t="inlineStr">
        <is>
          <t>/team-tasks?tab=performance, /home</t>
        </is>
      </c>
      <c r="H541" s="29" t="inlineStr">
        <is>
          <t>New in v3</t>
        </is>
      </c>
    </row>
    <row r="542" ht="17" customHeight="1">
      <c r="A542" s="28" t="inlineStr">
        <is>
          <t>HR Executive</t>
        </is>
      </c>
      <c r="B542" s="28" t="inlineStr">
        <is>
          <t>TIM-01</t>
        </is>
      </c>
      <c r="C542" s="28" t="inlineStr">
        <is>
          <t>Time &amp; attendance</t>
        </is>
      </c>
      <c r="D542" s="28" t="inlineStr">
        <is>
          <t>Weekly timesheet entry</t>
        </is>
      </c>
      <c r="E542" s="29" t="inlineStr">
        <is>
          <t>R</t>
        </is>
      </c>
      <c r="F542" s="28" t="inlineStr">
        <is>
          <t>Does it: carries out "Weekly timesheet entry" in /timesheet.</t>
        </is>
      </c>
      <c r="G542" s="28" t="inlineStr">
        <is>
          <t>/timesheet</t>
        </is>
      </c>
      <c r="H542" s="29" t="inlineStr">
        <is>
          <t>Live</t>
        </is>
      </c>
    </row>
    <row r="543" ht="17" customHeight="1">
      <c r="A543" s="28" t="inlineStr">
        <is>
          <t>HR Executive</t>
        </is>
      </c>
      <c r="B543" s="28" t="inlineStr">
        <is>
          <t>TIM-02</t>
        </is>
      </c>
      <c r="C543" s="28" t="inlineStr">
        <is>
          <t>Time &amp; attendance</t>
        </is>
      </c>
      <c r="D543" s="28" t="inlineStr">
        <is>
          <t>Submit the week</t>
        </is>
      </c>
      <c r="E543" s="29" t="inlineStr">
        <is>
          <t>R</t>
        </is>
      </c>
      <c r="F543" s="28" t="inlineStr">
        <is>
          <t>Does it: carries out "Submit the week" in /timesheet.</t>
        </is>
      </c>
      <c r="G543" s="28" t="inlineStr">
        <is>
          <t>/timesheet</t>
        </is>
      </c>
      <c r="H543" s="29" t="inlineStr">
        <is>
          <t>Live</t>
        </is>
      </c>
    </row>
    <row r="544" ht="56" customHeight="1">
      <c r="A544" s="28" t="inlineStr">
        <is>
          <t>HR Executive</t>
        </is>
      </c>
      <c r="B544" s="28" t="inlineStr">
        <is>
          <t>TIM-03</t>
        </is>
      </c>
      <c r="C544" s="28" t="inlineStr">
        <is>
          <t>Time &amp; attendance</t>
        </is>
      </c>
      <c r="D544" s="28" t="inlineStr">
        <is>
          <t>Timesheet approval and SLA</t>
        </is>
      </c>
      <c r="E544" s="29" t="inlineStr">
        <is>
          <t>I</t>
        </is>
      </c>
      <c r="F544" s="28" t="inlineStr">
        <is>
          <t>Informed (NTF-05 approved; NTF-06 rejected; NTF-10 overdue digest); sees the outcome in Approvals inbox (timesheet), PM Home (approvals for me), CEO Home (approvals by manager), Insights &gt; Approval KPI, Team grid, Scorecard (approvals).</t>
        </is>
      </c>
      <c r="G544" s="28" t="inlineStr">
        <is>
          <t>/approvals, /inbox, /team</t>
        </is>
      </c>
      <c r="H544" s="29" t="inlineStr">
        <is>
          <t>Extended</t>
        </is>
      </c>
    </row>
    <row r="545" ht="30" customHeight="1">
      <c r="A545" s="28" t="inlineStr">
        <is>
          <t>HR Executive</t>
        </is>
      </c>
      <c r="B545" s="28" t="inlineStr">
        <is>
          <t>TIM-04</t>
        </is>
      </c>
      <c r="C545" s="28" t="inlineStr">
        <is>
          <t>Time &amp; attendance</t>
        </is>
      </c>
      <c r="D545" s="28" t="inlineStr">
        <is>
          <t>Weekly lock and unlock request</t>
        </is>
      </c>
      <c r="E545" s="29" t="inlineStr">
        <is>
          <t>R</t>
        </is>
      </c>
      <c r="F545" s="28" t="inlineStr">
        <is>
          <t>Does it: carries out "Weekly lock and unlock request" in /timesheet, /approvals, /inbox.</t>
        </is>
      </c>
      <c r="G545" s="28" t="inlineStr">
        <is>
          <t>/timesheet, /approvals, /inbox</t>
        </is>
      </c>
      <c r="H545" s="29" t="inlineStr">
        <is>
          <t>Live</t>
        </is>
      </c>
    </row>
    <row r="546" ht="17" customHeight="1">
      <c r="A546" s="28" t="inlineStr">
        <is>
          <t>HR Executive</t>
        </is>
      </c>
      <c r="B546" s="28" t="inlineStr">
        <is>
          <t>TIM-05</t>
        </is>
      </c>
      <c r="C546" s="28" t="inlineStr">
        <is>
          <t>Time &amp; attendance</t>
        </is>
      </c>
      <c r="D546" s="28" t="inlineStr">
        <is>
          <t>Daily update with proof</t>
        </is>
      </c>
      <c r="E546" s="29" t="inlineStr">
        <is>
          <t>R</t>
        </is>
      </c>
      <c r="F546" s="28" t="inlineStr">
        <is>
          <t>Does it: carries out "Daily update with proof" in /daily.</t>
        </is>
      </c>
      <c r="G546" s="28" t="inlineStr">
        <is>
          <t>/daily</t>
        </is>
      </c>
      <c r="H546" s="29" t="inlineStr">
        <is>
          <t>Live</t>
        </is>
      </c>
    </row>
    <row r="547" ht="17" customHeight="1">
      <c r="A547" s="28" t="inlineStr">
        <is>
          <t>HR Executive</t>
        </is>
      </c>
      <c r="B547" s="28" t="inlineStr">
        <is>
          <t>TIM-06</t>
        </is>
      </c>
      <c r="C547" s="28" t="inlineStr">
        <is>
          <t>Time &amp; attendance</t>
        </is>
      </c>
      <c r="D547" s="28" t="inlineStr">
        <is>
          <t>Apply for leave</t>
        </is>
      </c>
      <c r="E547" s="29" t="inlineStr">
        <is>
          <t>R</t>
        </is>
      </c>
      <c r="F547" s="28" t="inlineStr">
        <is>
          <t>Does it: carries out "Apply for leave" in /leave.</t>
        </is>
      </c>
      <c r="G547" s="28" t="inlineStr">
        <is>
          <t>/leave</t>
        </is>
      </c>
      <c r="H547" s="29" t="inlineStr">
        <is>
          <t>New in v3</t>
        </is>
      </c>
    </row>
    <row r="548" ht="43" customHeight="1">
      <c r="A548" s="28" t="inlineStr">
        <is>
          <t>HR Executive</t>
        </is>
      </c>
      <c r="B548" s="28" t="inlineStr">
        <is>
          <t>TIM-07</t>
        </is>
      </c>
      <c r="C548" s="28" t="inlineStr">
        <is>
          <t>Time &amp; attendance</t>
        </is>
      </c>
      <c r="D548" s="28" t="inlineStr">
        <is>
          <t>Approve, reject or cancel leave</t>
        </is>
      </c>
      <c r="E548" s="29" t="inlineStr">
        <is>
          <t>I</t>
        </is>
      </c>
      <c r="F548" s="28" t="inlineStr">
        <is>
          <t>Informed (NTF-05 leave approved; NTF-06 leave not approved; NTF-04 leave cancelled); sees the outcome in Approvals inbox (leave), HR Home (on leave today), Payroll; Reports / Ask AI (leave_requests).</t>
        </is>
      </c>
      <c r="G548" s="28" t="inlineStr">
        <is>
          <t>/leave, /inbox</t>
        </is>
      </c>
      <c r="H548" s="29" t="inlineStr">
        <is>
          <t>Extended</t>
        </is>
      </c>
    </row>
    <row r="549" ht="17" customHeight="1">
      <c r="A549" s="28" t="inlineStr">
        <is>
          <t>HR Executive</t>
        </is>
      </c>
      <c r="B549" s="28" t="inlineStr">
        <is>
          <t>TIM-08</t>
        </is>
      </c>
      <c r="C549" s="28" t="inlineStr">
        <is>
          <t>Time &amp; attendance</t>
        </is>
      </c>
      <c r="D549" s="28" t="inlineStr">
        <is>
          <t>Leave policy and balances</t>
        </is>
      </c>
      <c r="E549" s="29" t="inlineStr">
        <is>
          <t>I</t>
        </is>
      </c>
      <c r="F549" s="28" t="inlineStr">
        <is>
          <t>Informed; sees the outcome in Leave page.</t>
        </is>
      </c>
      <c r="G549" s="28" t="inlineStr">
        <is>
          <t>/leave (policy)</t>
        </is>
      </c>
      <c r="H549" s="29" t="inlineStr">
        <is>
          <t>New in v3</t>
        </is>
      </c>
    </row>
    <row r="550" ht="30" customHeight="1">
      <c r="A550" s="28" t="inlineStr">
        <is>
          <t>HR Executive</t>
        </is>
      </c>
      <c r="B550" s="28" t="inlineStr">
        <is>
          <t>TIM-09</t>
        </is>
      </c>
      <c r="C550" s="28" t="inlineStr">
        <is>
          <t>Time &amp; attendance</t>
        </is>
      </c>
      <c r="D550" s="28" t="inlineStr">
        <is>
          <t>HR leave entry and leave in timesheet</t>
        </is>
      </c>
      <c r="E550" s="29" t="inlineStr">
        <is>
          <t>R</t>
        </is>
      </c>
      <c r="F550" s="28" t="inlineStr">
        <is>
          <t>Does it: carries out "HR leave entry and leave in timesheet" in /leave, /timesheet.</t>
        </is>
      </c>
      <c r="G550" s="28" t="inlineStr">
        <is>
          <t>/leave, /timesheet</t>
        </is>
      </c>
      <c r="H550" s="29" t="inlineStr">
        <is>
          <t>Live</t>
        </is>
      </c>
    </row>
    <row r="551" ht="17" customHeight="1">
      <c r="A551" s="28" t="inlineStr">
        <is>
          <t>HR Executive</t>
        </is>
      </c>
      <c r="B551" s="28" t="inlineStr">
        <is>
          <t>TIM-10</t>
        </is>
      </c>
      <c r="C551" s="28" t="inlineStr">
        <is>
          <t>Time &amp; attendance</t>
        </is>
      </c>
      <c r="D551" s="28" t="inlineStr">
        <is>
          <t>Compensatory off accrual</t>
        </is>
      </c>
      <c r="E551" s="29" t="inlineStr">
        <is>
          <t>I</t>
        </is>
      </c>
      <c r="F551" s="28" t="inlineStr">
        <is>
          <t>Planned (not built yet). Informed.</t>
        </is>
      </c>
      <c r="G551" s="28" t="inlineStr">
        <is>
          <t>-</t>
        </is>
      </c>
      <c r="H551" s="29" t="inlineStr">
        <is>
          <t>Planned</t>
        </is>
      </c>
    </row>
    <row r="552" ht="30" customHeight="1">
      <c r="A552" s="28" t="inlineStr">
        <is>
          <t>HR Executive</t>
        </is>
      </c>
      <c r="B552" s="28" t="inlineStr">
        <is>
          <t>TIM-11</t>
        </is>
      </c>
      <c r="C552" s="28" t="inlineStr">
        <is>
          <t>Time &amp; attendance</t>
        </is>
      </c>
      <c r="D552" s="28" t="inlineStr">
        <is>
          <t>Attendance capture (office / WFH / client site)</t>
        </is>
      </c>
      <c r="E552" s="29" t="inlineStr">
        <is>
          <t>R</t>
        </is>
      </c>
      <c r="F552" s="28" t="inlineStr">
        <is>
          <t>Planned (not built yet). Does it: carries out "Attendance capture (office / WFH / client site)".</t>
        </is>
      </c>
      <c r="G552" s="28" t="inlineStr">
        <is>
          <t>-</t>
        </is>
      </c>
      <c r="H552" s="29" t="inlineStr">
        <is>
          <t>Planned</t>
        </is>
      </c>
    </row>
    <row r="553" ht="30" customHeight="1">
      <c r="A553" s="28" t="inlineStr">
        <is>
          <t>HR Executive</t>
        </is>
      </c>
      <c r="B553" s="28" t="inlineStr">
        <is>
          <t>DOC-01</t>
        </is>
      </c>
      <c r="C553" s="28" t="inlineStr">
        <is>
          <t>Documents &amp; knowledge</t>
        </is>
      </c>
      <c r="D553" s="28" t="inlineStr">
        <is>
          <t>PM uploads a project document</t>
        </is>
      </c>
      <c r="E553" s="29" t="inlineStr">
        <is>
          <t>I</t>
        </is>
      </c>
      <c r="F553" s="28" t="inlineStr">
        <is>
          <t>Informed (NTF-14 must-read document (to audience)); sees the outcome in Project &gt; Documents, Documents library; Reports / Ask AI (documents).</t>
        </is>
      </c>
      <c r="G553" s="28" t="inlineStr">
        <is>
          <t>/projects/:id/documents</t>
        </is>
      </c>
      <c r="H553" s="29" t="inlineStr">
        <is>
          <t>New in v3</t>
        </is>
      </c>
    </row>
    <row r="554" ht="30" customHeight="1">
      <c r="A554" s="28" t="inlineStr">
        <is>
          <t>HR Executive</t>
        </is>
      </c>
      <c r="B554" s="28" t="inlineStr">
        <is>
          <t>DOC-02</t>
        </is>
      </c>
      <c r="C554" s="28" t="inlineStr">
        <is>
          <t>Documents &amp; knowledge</t>
        </is>
      </c>
      <c r="D554" s="28" t="inlineStr">
        <is>
          <t>Employees access project documents</t>
        </is>
      </c>
      <c r="E554" s="29" t="inlineStr">
        <is>
          <t>R</t>
        </is>
      </c>
      <c r="F554" s="28" t="inlineStr">
        <is>
          <t>Does it: carries out "Employees access project documents" in /documents, /projects/:id/documents.</t>
        </is>
      </c>
      <c r="G554" s="28" t="inlineStr">
        <is>
          <t>/documents, /projects/:id/documents</t>
        </is>
      </c>
      <c r="H554" s="29" t="inlineStr">
        <is>
          <t>New in v3</t>
        </is>
      </c>
    </row>
    <row r="555" ht="17" customHeight="1">
      <c r="A555" s="28" t="inlineStr">
        <is>
          <t>HR Executive</t>
        </is>
      </c>
      <c r="B555" s="28" t="inlineStr">
        <is>
          <t>DOC-03</t>
        </is>
      </c>
      <c r="C555" s="28" t="inlineStr">
        <is>
          <t>Documents &amp; knowledge</t>
        </is>
      </c>
      <c r="D555" s="28" t="inlineStr">
        <is>
          <t>New version, archive and restore</t>
        </is>
      </c>
      <c r="E555" s="29" t="inlineStr">
        <is>
          <t>I</t>
        </is>
      </c>
      <c r="F555" s="28" t="inlineStr">
        <is>
          <t>Informed (NTF-14 must-read (new version)); sees the outcome in Documents.</t>
        </is>
      </c>
      <c r="G555" s="28" t="inlineStr">
        <is>
          <t>/documents</t>
        </is>
      </c>
      <c r="H555" s="29" t="inlineStr">
        <is>
          <t>New in v3</t>
        </is>
      </c>
    </row>
    <row r="556" ht="17" customHeight="1">
      <c r="A556" s="28" t="inlineStr">
        <is>
          <t>HR Executive</t>
        </is>
      </c>
      <c r="B556" s="28" t="inlineStr">
        <is>
          <t>DOC-04</t>
        </is>
      </c>
      <c r="C556" s="28" t="inlineStr">
        <is>
          <t>Documents &amp; knowledge</t>
        </is>
      </c>
      <c r="D556" s="28" t="inlineStr">
        <is>
          <t>Must-read acknowledgement</t>
        </is>
      </c>
      <c r="E556" s="29" t="inlineStr">
        <is>
          <t>R</t>
        </is>
      </c>
      <c r="F556" s="28" t="inlineStr">
        <is>
          <t>Does it: carries out "Must-read acknowledgement" in /inbox, /documents.</t>
        </is>
      </c>
      <c r="G556" s="28" t="inlineStr">
        <is>
          <t>/inbox, /documents</t>
        </is>
      </c>
      <c r="H556" s="29" t="inlineStr">
        <is>
          <t>New in v3</t>
        </is>
      </c>
    </row>
    <row r="557" ht="17" customHeight="1">
      <c r="A557" s="28" t="inlineStr">
        <is>
          <t>HR Executive</t>
        </is>
      </c>
      <c r="B557" s="28" t="inlineStr">
        <is>
          <t>DOC-05</t>
        </is>
      </c>
      <c r="C557" s="28" t="inlineStr">
        <is>
          <t>Documents &amp; knowledge</t>
        </is>
      </c>
      <c r="D557" s="28" t="inlineStr">
        <is>
          <t>Company library and policies</t>
        </is>
      </c>
      <c r="E557" s="29" t="inlineStr">
        <is>
          <t>R</t>
        </is>
      </c>
      <c r="F557" s="28" t="inlineStr">
        <is>
          <t>Does it: carries out "Company library and policies" in /documents.</t>
        </is>
      </c>
      <c r="G557" s="28" t="inlineStr">
        <is>
          <t>/documents</t>
        </is>
      </c>
      <c r="H557" s="29" t="inlineStr">
        <is>
          <t>New in v3</t>
        </is>
      </c>
    </row>
    <row r="558" ht="17" customHeight="1">
      <c r="A558" s="28" t="inlineStr">
        <is>
          <t>HR Executive</t>
        </is>
      </c>
      <c r="B558" s="28" t="inlineStr">
        <is>
          <t>DOC-06</t>
        </is>
      </c>
      <c r="C558" s="28" t="inlineStr">
        <is>
          <t>Documents &amp; knowledge</t>
        </is>
      </c>
      <c r="D558" s="28" t="inlineStr">
        <is>
          <t>Knowledge base</t>
        </is>
      </c>
      <c r="E558" s="29" t="inlineStr">
        <is>
          <t>I</t>
        </is>
      </c>
      <c r="F558" s="28" t="inlineStr">
        <is>
          <t>Planned (not built yet). Informed.</t>
        </is>
      </c>
      <c r="G558" s="28" t="inlineStr">
        <is>
          <t>-</t>
        </is>
      </c>
      <c r="H558" s="29" t="inlineStr">
        <is>
          <t>Planned</t>
        </is>
      </c>
    </row>
    <row r="559" ht="30" customHeight="1">
      <c r="A559" s="28" t="inlineStr">
        <is>
          <t>HR Executive</t>
        </is>
      </c>
      <c r="B559" s="28" t="inlineStr">
        <is>
          <t>DOC-07</t>
        </is>
      </c>
      <c r="C559" s="28" t="inlineStr">
        <is>
          <t>Documents &amp; knowledge</t>
        </is>
      </c>
      <c r="D559" s="28" t="inlineStr">
        <is>
          <t>Policy attestation cycles</t>
        </is>
      </c>
      <c r="E559" s="29" t="inlineStr">
        <is>
          <t>R</t>
        </is>
      </c>
      <c r="F559" s="28" t="inlineStr">
        <is>
          <t>Planned (not built yet). Does it: carries out "Policy attestation cycles".</t>
        </is>
      </c>
      <c r="G559" s="28" t="inlineStr">
        <is>
          <t>-</t>
        </is>
      </c>
      <c r="H559" s="29" t="inlineStr">
        <is>
          <t>Planned</t>
        </is>
      </c>
    </row>
    <row r="560" ht="17" customHeight="1">
      <c r="A560" s="28" t="inlineStr">
        <is>
          <t>HR Executive</t>
        </is>
      </c>
      <c r="B560" s="28" t="inlineStr">
        <is>
          <t>DOC-08</t>
        </is>
      </c>
      <c r="C560" s="28" t="inlineStr">
        <is>
          <t>Documents &amp; knowledge</t>
        </is>
      </c>
      <c r="D560" s="28" t="inlineStr">
        <is>
          <t>Internal announcements</t>
        </is>
      </c>
      <c r="E560" s="29" t="inlineStr">
        <is>
          <t>I</t>
        </is>
      </c>
      <c r="F560" s="28" t="inlineStr">
        <is>
          <t>Planned (not built yet). Informed.</t>
        </is>
      </c>
      <c r="G560" s="28" t="inlineStr">
        <is>
          <t>-</t>
        </is>
      </c>
      <c r="H560" s="29" t="inlineStr">
        <is>
          <t>Planned</t>
        </is>
      </c>
    </row>
    <row r="561" ht="17" customHeight="1">
      <c r="A561" s="28" t="inlineStr">
        <is>
          <t>HR Executive</t>
        </is>
      </c>
      <c r="B561" s="28" t="inlineStr">
        <is>
          <t>HR-01</t>
        </is>
      </c>
      <c r="C561" s="28" t="inlineStr">
        <is>
          <t>People &amp; HR</t>
        </is>
      </c>
      <c r="D561" s="28" t="inlineStr">
        <is>
          <t>Hiring openings</t>
        </is>
      </c>
      <c r="E561" s="29" t="inlineStr">
        <is>
          <t>R</t>
        </is>
      </c>
      <c r="F561" s="28" t="inlineStr">
        <is>
          <t>Does it: carries out "Hiring openings" in /openings.</t>
        </is>
      </c>
      <c r="G561" s="28" t="inlineStr">
        <is>
          <t>/openings</t>
        </is>
      </c>
      <c r="H561" s="29" t="inlineStr">
        <is>
          <t>Extended</t>
        </is>
      </c>
    </row>
    <row r="562" ht="17" customHeight="1">
      <c r="A562" s="28" t="inlineStr">
        <is>
          <t>HR Executive</t>
        </is>
      </c>
      <c r="B562" s="28" t="inlineStr">
        <is>
          <t>HR-02</t>
        </is>
      </c>
      <c r="C562" s="28" t="inlineStr">
        <is>
          <t>People &amp; HR</t>
        </is>
      </c>
      <c r="D562" s="28" t="inlineStr">
        <is>
          <t>Candidate pipeline</t>
        </is>
      </c>
      <c r="E562" s="29" t="inlineStr">
        <is>
          <t>R</t>
        </is>
      </c>
      <c r="F562" s="28" t="inlineStr">
        <is>
          <t>Does it: carries out "Candidate pipeline" in /recruitment.</t>
        </is>
      </c>
      <c r="G562" s="28" t="inlineStr">
        <is>
          <t>/recruitment</t>
        </is>
      </c>
      <c r="H562" s="29" t="inlineStr">
        <is>
          <t>New in v3</t>
        </is>
      </c>
    </row>
    <row r="563" ht="17" customHeight="1">
      <c r="A563" s="28" t="inlineStr">
        <is>
          <t>HR Executive</t>
        </is>
      </c>
      <c r="B563" s="28" t="inlineStr">
        <is>
          <t>HR-03</t>
        </is>
      </c>
      <c r="C563" s="28" t="inlineStr">
        <is>
          <t>People &amp; HR</t>
        </is>
      </c>
      <c r="D563" s="28" t="inlineStr">
        <is>
          <t>Interviews and feedback</t>
        </is>
      </c>
      <c r="E563" s="29" t="inlineStr">
        <is>
          <t>R</t>
        </is>
      </c>
      <c r="F563" s="28" t="inlineStr">
        <is>
          <t>Does it: carries out "Interviews and feedback" in /recruitment.</t>
        </is>
      </c>
      <c r="G563" s="28" t="inlineStr">
        <is>
          <t>/recruitment</t>
        </is>
      </c>
      <c r="H563" s="29" t="inlineStr">
        <is>
          <t>New in v3</t>
        </is>
      </c>
    </row>
    <row r="564" ht="30" customHeight="1">
      <c r="A564" s="28" t="inlineStr">
        <is>
          <t>HR Executive</t>
        </is>
      </c>
      <c r="B564" s="28" t="inlineStr">
        <is>
          <t>HR-04</t>
        </is>
      </c>
      <c r="C564" s="28" t="inlineStr">
        <is>
          <t>People &amp; HR</t>
        </is>
      </c>
      <c r="D564" s="28" t="inlineStr">
        <is>
          <t>Make an offer, or reject a candidate</t>
        </is>
      </c>
      <c r="E564" s="29" t="inlineStr">
        <is>
          <t>R</t>
        </is>
      </c>
      <c r="F564" s="28" t="inlineStr">
        <is>
          <t>Does it: carries out "Make an offer, or reject a candidate" in /recruitment.</t>
        </is>
      </c>
      <c r="G564" s="28" t="inlineStr">
        <is>
          <t>/recruitment</t>
        </is>
      </c>
      <c r="H564" s="29" t="inlineStr">
        <is>
          <t>New in v3</t>
        </is>
      </c>
    </row>
    <row r="565" ht="17" customHeight="1">
      <c r="A565" s="28" t="inlineStr">
        <is>
          <t>HR Executive</t>
        </is>
      </c>
      <c r="B565" s="28" t="inlineStr">
        <is>
          <t>HR-05</t>
        </is>
      </c>
      <c r="C565" s="28" t="inlineStr">
        <is>
          <t>People &amp; HR</t>
        </is>
      </c>
      <c r="D565" s="28" t="inlineStr">
        <is>
          <t>Hire: invite and start onboarding</t>
        </is>
      </c>
      <c r="E565" s="29" t="inlineStr">
        <is>
          <t>R</t>
        </is>
      </c>
      <c r="F565" s="28" t="inlineStr">
        <is>
          <t>Does it: carries out "Hire: invite and start onboarding" in /recruitment.</t>
        </is>
      </c>
      <c r="G565" s="28" t="inlineStr">
        <is>
          <t>/recruitment</t>
        </is>
      </c>
      <c r="H565" s="29" t="inlineStr">
        <is>
          <t>New in v3</t>
        </is>
      </c>
    </row>
    <row r="566" ht="17" customHeight="1">
      <c r="A566" s="28" t="inlineStr">
        <is>
          <t>HR Executive</t>
        </is>
      </c>
      <c r="B566" s="28" t="inlineStr">
        <is>
          <t>HR-06</t>
        </is>
      </c>
      <c r="C566" s="28" t="inlineStr">
        <is>
          <t>People &amp; HR</t>
        </is>
      </c>
      <c r="D566" s="28" t="inlineStr">
        <is>
          <t>Onboarding checklist</t>
        </is>
      </c>
      <c r="E566" s="29" t="inlineStr">
        <is>
          <t>R</t>
        </is>
      </c>
      <c r="F566" s="28" t="inlineStr">
        <is>
          <t>Does it: carries out "Onboarding checklist" in /lifecycle.</t>
        </is>
      </c>
      <c r="G566" s="28" t="inlineStr">
        <is>
          <t>/lifecycle</t>
        </is>
      </c>
      <c r="H566" s="29" t="inlineStr">
        <is>
          <t>New in v3</t>
        </is>
      </c>
    </row>
    <row r="567" ht="17" customHeight="1">
      <c r="A567" s="28" t="inlineStr">
        <is>
          <t>HR Executive</t>
        </is>
      </c>
      <c r="B567" s="28" t="inlineStr">
        <is>
          <t>HR-07</t>
        </is>
      </c>
      <c r="C567" s="28" t="inlineStr">
        <is>
          <t>People &amp; HR</t>
        </is>
      </c>
      <c r="D567" s="28" t="inlineStr">
        <is>
          <t>Asset register: issue and return</t>
        </is>
      </c>
      <c r="E567" s="29" t="inlineStr">
        <is>
          <t>I</t>
        </is>
      </c>
      <c r="F567" s="28" t="inlineStr">
        <is>
          <t>Informed; sees the outcome in HR Home (assets due back).</t>
        </is>
      </c>
      <c r="G567" s="28" t="inlineStr">
        <is>
          <t>/assets</t>
        </is>
      </c>
      <c r="H567" s="29" t="inlineStr">
        <is>
          <t>New in v3</t>
        </is>
      </c>
    </row>
    <row r="568" ht="17" customHeight="1">
      <c r="A568" s="28" t="inlineStr">
        <is>
          <t>HR Executive</t>
        </is>
      </c>
      <c r="B568" s="28" t="inlineStr">
        <is>
          <t>HR-08</t>
        </is>
      </c>
      <c r="C568" s="28" t="inlineStr">
        <is>
          <t>People &amp; HR</t>
        </is>
      </c>
      <c r="D568" s="28" t="inlineStr">
        <is>
          <t>Goals and KRAs</t>
        </is>
      </c>
      <c r="E568" s="29" t="inlineStr">
        <is>
          <t>R</t>
        </is>
      </c>
      <c r="F568" s="28" t="inlineStr">
        <is>
          <t>Does it: carries out "Goals and KRAs" in /performance.</t>
        </is>
      </c>
      <c r="G568" s="28" t="inlineStr">
        <is>
          <t>/performance</t>
        </is>
      </c>
      <c r="H568" s="29" t="inlineStr">
        <is>
          <t>New in v3</t>
        </is>
      </c>
    </row>
    <row r="569" ht="17" customHeight="1">
      <c r="A569" s="28" t="inlineStr">
        <is>
          <t>HR Executive</t>
        </is>
      </c>
      <c r="B569" s="28" t="inlineStr">
        <is>
          <t>HR-09</t>
        </is>
      </c>
      <c r="C569" s="28" t="inlineStr">
        <is>
          <t>People &amp; HR</t>
        </is>
      </c>
      <c r="D569" s="28" t="inlineStr">
        <is>
          <t>Continuous feedback and praise</t>
        </is>
      </c>
      <c r="E569" s="29" t="inlineStr">
        <is>
          <t>R</t>
        </is>
      </c>
      <c r="F569" s="28" t="inlineStr">
        <is>
          <t>Does it: carries out "Continuous feedback and praise" in /performance.</t>
        </is>
      </c>
      <c r="G569" s="28" t="inlineStr">
        <is>
          <t>/performance</t>
        </is>
      </c>
      <c r="H569" s="29" t="inlineStr">
        <is>
          <t>New in v3</t>
        </is>
      </c>
    </row>
    <row r="570" ht="30" customHeight="1">
      <c r="A570" s="28" t="inlineStr">
        <is>
          <t>HR Executive</t>
        </is>
      </c>
      <c r="B570" s="28" t="inlineStr">
        <is>
          <t>HR-10</t>
        </is>
      </c>
      <c r="C570" s="28" t="inlineStr">
        <is>
          <t>People &amp; HR</t>
        </is>
      </c>
      <c r="D570" s="28" t="inlineStr">
        <is>
          <t>Set up and launch an appraisal cycle</t>
        </is>
      </c>
      <c r="E570" s="29" t="inlineStr">
        <is>
          <t>I</t>
        </is>
      </c>
      <c r="F570" s="28" t="inlineStr">
        <is>
          <t>Informed; sees the outcome in HR Home (appraisal cycle), Appraisals; Reports / Ask AI (appraisals).</t>
        </is>
      </c>
      <c r="G570" s="28" t="inlineStr">
        <is>
          <t>/appraisals</t>
        </is>
      </c>
      <c r="H570" s="29" t="inlineStr">
        <is>
          <t>New in v3</t>
        </is>
      </c>
    </row>
    <row r="571" ht="17" customHeight="1">
      <c r="A571" s="28" t="inlineStr">
        <is>
          <t>HR Executive</t>
        </is>
      </c>
      <c r="B571" s="28" t="inlineStr">
        <is>
          <t>HR-11</t>
        </is>
      </c>
      <c r="C571" s="28" t="inlineStr">
        <is>
          <t>People &amp; HR</t>
        </is>
      </c>
      <c r="D571" s="28" t="inlineStr">
        <is>
          <t>Self review</t>
        </is>
      </c>
      <c r="E571" s="29" t="inlineStr">
        <is>
          <t>R</t>
        </is>
      </c>
      <c r="F571" s="28" t="inlineStr">
        <is>
          <t>Does it: carries out "Self review" in /appraisals/:id.</t>
        </is>
      </c>
      <c r="G571" s="28" t="inlineStr">
        <is>
          <t>/appraisals/:id</t>
        </is>
      </c>
      <c r="H571" s="29" t="inlineStr">
        <is>
          <t>New in v3</t>
        </is>
      </c>
    </row>
    <row r="572" ht="30" customHeight="1">
      <c r="A572" s="28" t="inlineStr">
        <is>
          <t>HR Executive</t>
        </is>
      </c>
      <c r="B572" s="28" t="inlineStr">
        <is>
          <t>HR-12</t>
        </is>
      </c>
      <c r="C572" s="28" t="inlineStr">
        <is>
          <t>People &amp; HR</t>
        </is>
      </c>
      <c r="D572" s="28" t="inlineStr">
        <is>
          <t>Manager review</t>
        </is>
      </c>
      <c r="E572" s="29" t="inlineStr">
        <is>
          <t>I</t>
        </is>
      </c>
      <c r="F572" s="28" t="inlineStr">
        <is>
          <t>Informed; sees the outcome in Approvals inbox (appraisal), Appraisals; Reports / Ask AI (appraisals).</t>
        </is>
      </c>
      <c r="G572" s="28" t="inlineStr">
        <is>
          <t>/appraisals/:id</t>
        </is>
      </c>
      <c r="H572" s="29" t="inlineStr">
        <is>
          <t>New in v3</t>
        </is>
      </c>
    </row>
    <row r="573" ht="30" customHeight="1">
      <c r="A573" s="28" t="inlineStr">
        <is>
          <t>HR Executive</t>
        </is>
      </c>
      <c r="B573" s="28" t="inlineStr">
        <is>
          <t>HR-13</t>
        </is>
      </c>
      <c r="C573" s="28" t="inlineStr">
        <is>
          <t>People &amp; HR</t>
        </is>
      </c>
      <c r="D573" s="28" t="inlineStr">
        <is>
          <t>HR review, calibration and outcome</t>
        </is>
      </c>
      <c r="E573" s="29" t="inlineStr">
        <is>
          <t>I</t>
        </is>
      </c>
      <c r="F573" s="28" t="inlineStr">
        <is>
          <t>Informed (NTF-05 appraisal completed (employee and manager)); sees the outcome in Appraisals, HR Home, Cost rates, Reports / Ask AI (appraisals).</t>
        </is>
      </c>
      <c r="G573" s="28" t="inlineStr">
        <is>
          <t>/appraisals/:id</t>
        </is>
      </c>
      <c r="H573" s="29" t="inlineStr">
        <is>
          <t>New in v3</t>
        </is>
      </c>
    </row>
    <row r="574" ht="30" customHeight="1">
      <c r="A574" s="28" t="inlineStr">
        <is>
          <t>HR Executive</t>
        </is>
      </c>
      <c r="B574" s="28" t="inlineStr">
        <is>
          <t>HR-14</t>
        </is>
      </c>
      <c r="C574" s="28" t="inlineStr">
        <is>
          <t>People &amp; HR</t>
        </is>
      </c>
      <c r="D574" s="28" t="inlineStr">
        <is>
          <t>Performance profile</t>
        </is>
      </c>
      <c r="E574" s="29" t="inlineStr">
        <is>
          <t>R</t>
        </is>
      </c>
      <c r="F574" s="28" t="inlineStr">
        <is>
          <t>Does it: carries out "Performance profile" in /performance, /performance/:userId.</t>
        </is>
      </c>
      <c r="G574" s="28" t="inlineStr">
        <is>
          <t>/performance, /performance/:userId</t>
        </is>
      </c>
      <c r="H574" s="29" t="inlineStr">
        <is>
          <t>New in v3</t>
        </is>
      </c>
    </row>
    <row r="575" ht="30" customHeight="1">
      <c r="A575" s="28" t="inlineStr">
        <is>
          <t>HR Executive</t>
        </is>
      </c>
      <c r="B575" s="28" t="inlineStr">
        <is>
          <t>HR-15</t>
        </is>
      </c>
      <c r="C575" s="28" t="inlineStr">
        <is>
          <t>People &amp; HR</t>
        </is>
      </c>
      <c r="D575" s="28" t="inlineStr">
        <is>
          <t>Exit and offboarding</t>
        </is>
      </c>
      <c r="E575" s="29" t="inlineStr">
        <is>
          <t>I</t>
        </is>
      </c>
      <c r="F575" s="28" t="inlineStr">
        <is>
          <t>Informed; sees the outcome in HR Home (onboarding &amp; exits, assets due back), CEO People panel.</t>
        </is>
      </c>
      <c r="G575" s="28" t="inlineStr">
        <is>
          <t>/lifecycle</t>
        </is>
      </c>
      <c r="H575" s="29" t="inlineStr">
        <is>
          <t>New in v3</t>
        </is>
      </c>
    </row>
    <row r="576" ht="30" customHeight="1">
      <c r="A576" s="28" t="inlineStr">
        <is>
          <t>HR Executive</t>
        </is>
      </c>
      <c r="B576" s="28" t="inlineStr">
        <is>
          <t>HR-16</t>
        </is>
      </c>
      <c r="C576" s="28" t="inlineStr">
        <is>
          <t>People &amp; HR</t>
        </is>
      </c>
      <c r="D576" s="28" t="inlineStr">
        <is>
          <t>Skills matrix and bench management</t>
        </is>
      </c>
      <c r="E576" s="29" t="inlineStr">
        <is>
          <t>R</t>
        </is>
      </c>
      <c r="F576" s="28" t="inlineStr">
        <is>
          <t>Planned (not built yet). Does it: carries out "Skills matrix and bench management".</t>
        </is>
      </c>
      <c r="G576" s="28" t="inlineStr">
        <is>
          <t>-</t>
        </is>
      </c>
      <c r="H576" s="29" t="inlineStr">
        <is>
          <t>Planned</t>
        </is>
      </c>
    </row>
    <row r="577" ht="30" customHeight="1">
      <c r="A577" s="28" t="inlineStr">
        <is>
          <t>HR Executive</t>
        </is>
      </c>
      <c r="B577" s="28" t="inlineStr">
        <is>
          <t>HR-17</t>
        </is>
      </c>
      <c r="C577" s="28" t="inlineStr">
        <is>
          <t>People &amp; HR</t>
        </is>
      </c>
      <c r="D577" s="28" t="inlineStr">
        <is>
          <t>Training and certification tracking</t>
        </is>
      </c>
      <c r="E577" s="29" t="inlineStr">
        <is>
          <t>R</t>
        </is>
      </c>
      <c r="F577" s="28" t="inlineStr">
        <is>
          <t>Planned (not built yet). Does it: carries out "Training and certification tracking".</t>
        </is>
      </c>
      <c r="G577" s="28" t="inlineStr">
        <is>
          <t>-</t>
        </is>
      </c>
      <c r="H577" s="29" t="inlineStr">
        <is>
          <t>Planned</t>
        </is>
      </c>
    </row>
    <row r="578" ht="17" customHeight="1">
      <c r="A578" s="28" t="inlineStr">
        <is>
          <t>HR Executive</t>
        </is>
      </c>
      <c r="B578" s="28" t="inlineStr">
        <is>
          <t>HR-18</t>
        </is>
      </c>
      <c r="C578" s="28" t="inlineStr">
        <is>
          <t>People &amp; HR</t>
        </is>
      </c>
      <c r="D578" s="28" t="inlineStr">
        <is>
          <t>Probation confirmation</t>
        </is>
      </c>
      <c r="E578" s="29" t="inlineStr">
        <is>
          <t>I</t>
        </is>
      </c>
      <c r="F578" s="28" t="inlineStr">
        <is>
          <t>Planned (not built yet). Informed.</t>
        </is>
      </c>
      <c r="G578" s="28" t="inlineStr">
        <is>
          <t>-</t>
        </is>
      </c>
      <c r="H578" s="29" t="inlineStr">
        <is>
          <t>Planned</t>
        </is>
      </c>
    </row>
    <row r="579" ht="30" customHeight="1">
      <c r="A579" s="28" t="inlineStr">
        <is>
          <t>HR Executive</t>
        </is>
      </c>
      <c r="B579" s="28" t="inlineStr">
        <is>
          <t>HR-19</t>
        </is>
      </c>
      <c r="C579" s="28" t="inlineStr">
        <is>
          <t>People &amp; HR</t>
        </is>
      </c>
      <c r="D579" s="28" t="inlineStr">
        <is>
          <t>Employee self-service letters</t>
        </is>
      </c>
      <c r="E579" s="29" t="inlineStr">
        <is>
          <t>R</t>
        </is>
      </c>
      <c r="F579" s="28" t="inlineStr">
        <is>
          <t>Planned (not built yet). Does it: carries out "Employee self-service letters".</t>
        </is>
      </c>
      <c r="G579" s="28" t="inlineStr">
        <is>
          <t>-</t>
        </is>
      </c>
      <c r="H579" s="29" t="inlineStr">
        <is>
          <t>Planned</t>
        </is>
      </c>
    </row>
    <row r="580" ht="17" customHeight="1">
      <c r="A580" s="28" t="inlineStr">
        <is>
          <t>HR Executive</t>
        </is>
      </c>
      <c r="B580" s="28" t="inlineStr">
        <is>
          <t>HR-20</t>
        </is>
      </c>
      <c r="C580" s="28" t="inlineStr">
        <is>
          <t>People &amp; HR</t>
        </is>
      </c>
      <c r="D580" s="28" t="inlineStr">
        <is>
          <t>Employee referral bonus</t>
        </is>
      </c>
      <c r="E580" s="29" t="inlineStr">
        <is>
          <t>R</t>
        </is>
      </c>
      <c r="F580" s="28" t="inlineStr">
        <is>
          <t>Planned (not built yet). Does it: carries out "Employee referral bonus".</t>
        </is>
      </c>
      <c r="G580" s="28" t="inlineStr">
        <is>
          <t>-</t>
        </is>
      </c>
      <c r="H580" s="29" t="inlineStr">
        <is>
          <t>Planned</t>
        </is>
      </c>
    </row>
    <row r="581" ht="30" customHeight="1">
      <c r="A581" s="28" t="inlineStr">
        <is>
          <t>HR Executive</t>
        </is>
      </c>
      <c r="B581" s="28" t="inlineStr">
        <is>
          <t>HR-21</t>
        </is>
      </c>
      <c r="C581" s="28" t="inlineStr">
        <is>
          <t>People &amp; HR</t>
        </is>
      </c>
      <c r="D581" s="28" t="inlineStr">
        <is>
          <t>Grievance and POSH register</t>
        </is>
      </c>
      <c r="E581" s="29" t="inlineStr">
        <is>
          <t>R</t>
        </is>
      </c>
      <c r="F581" s="28" t="inlineStr">
        <is>
          <t>Planned (not built yet). Does it: carries out "Grievance and POSH register".</t>
        </is>
      </c>
      <c r="G581" s="28" t="inlineStr">
        <is>
          <t>-</t>
        </is>
      </c>
      <c r="H581" s="29" t="inlineStr">
        <is>
          <t>Planned</t>
        </is>
      </c>
    </row>
    <row r="582" ht="17" customHeight="1">
      <c r="A582" s="28" t="inlineStr">
        <is>
          <t>HR Executive</t>
        </is>
      </c>
      <c r="B582" s="28" t="inlineStr">
        <is>
          <t>PAY-01</t>
        </is>
      </c>
      <c r="C582" s="28" t="inlineStr">
        <is>
          <t>Payroll &amp; compensation</t>
        </is>
      </c>
      <c r="D582" s="28" t="inlineStr">
        <is>
          <t>Run monthly payroll (draft)</t>
        </is>
      </c>
      <c r="E582" s="29" t="inlineStr">
        <is>
          <t>I</t>
        </is>
      </c>
      <c r="F582" s="28" t="inlineStr">
        <is>
          <t>Informed; sees the outcome in HR Home (payroll status), P&amp;L.</t>
        </is>
      </c>
      <c r="G582" s="28" t="inlineStr">
        <is>
          <t>/payroll, /payroll/:id</t>
        </is>
      </c>
      <c r="H582" s="29" t="inlineStr">
        <is>
          <t>Live</t>
        </is>
      </c>
    </row>
    <row r="583" ht="17" customHeight="1">
      <c r="A583" s="28" t="inlineStr">
        <is>
          <t>HR Executive</t>
        </is>
      </c>
      <c r="B583" s="28" t="inlineStr">
        <is>
          <t>PAY-02</t>
        </is>
      </c>
      <c r="C583" s="28" t="inlineStr">
        <is>
          <t>Payroll &amp; compensation</t>
        </is>
      </c>
      <c r="D583" s="28" t="inlineStr">
        <is>
          <t>Deductions for unapproved and LWP days</t>
        </is>
      </c>
      <c r="E583" s="29" t="inlineStr">
        <is>
          <t>I</t>
        </is>
      </c>
      <c r="F583" s="28" t="inlineStr">
        <is>
          <t>Informed; sees the outcome in Payroll.</t>
        </is>
      </c>
      <c r="G583" s="28" t="inlineStr">
        <is>
          <t>/payroll/:id</t>
        </is>
      </c>
      <c r="H583" s="29" t="inlineStr">
        <is>
          <t>Live</t>
        </is>
      </c>
    </row>
    <row r="584" ht="30" customHeight="1">
      <c r="A584" s="28" t="inlineStr">
        <is>
          <t>HR Executive</t>
        </is>
      </c>
      <c r="B584" s="28" t="inlineStr">
        <is>
          <t>PAY-05</t>
        </is>
      </c>
      <c r="C584" s="28" t="inlineStr">
        <is>
          <t>Payroll &amp; compensation</t>
        </is>
      </c>
      <c r="D584" s="28" t="inlineStr">
        <is>
          <t>Apply appraisal increments to salary</t>
        </is>
      </c>
      <c r="E584" s="29" t="inlineStr">
        <is>
          <t>I</t>
        </is>
      </c>
      <c r="F584" s="28" t="inlineStr">
        <is>
          <t>Informed (NTF-05 appraisal completed); sees the outcome in Cost rates, Payroll, Project money tab, P&amp;L.</t>
        </is>
      </c>
      <c r="G584" s="28" t="inlineStr">
        <is>
          <t>/appraisals/:id &gt; /settings/cost-rates</t>
        </is>
      </c>
      <c r="H584" s="29" t="inlineStr">
        <is>
          <t>New in v3</t>
        </is>
      </c>
    </row>
    <row r="585" ht="30" customHeight="1">
      <c r="A585" s="28" t="inlineStr">
        <is>
          <t>HR Executive</t>
        </is>
      </c>
      <c r="B585" s="28" t="inlineStr">
        <is>
          <t>PAY-06</t>
        </is>
      </c>
      <c r="C585" s="28" t="inlineStr">
        <is>
          <t>Payroll &amp; compensation</t>
        </is>
      </c>
      <c r="D585" s="28" t="inlineStr">
        <is>
          <t>Statutory payroll (PF, ESI, PT, TDS, LWF)</t>
        </is>
      </c>
      <c r="E585" s="29" t="inlineStr">
        <is>
          <t>I</t>
        </is>
      </c>
      <c r="F585" s="28" t="inlineStr">
        <is>
          <t>Planned (not built yet). Informed.</t>
        </is>
      </c>
      <c r="G585" s="28" t="inlineStr">
        <is>
          <t>-</t>
        </is>
      </c>
      <c r="H585" s="29" t="inlineStr">
        <is>
          <t>Planned</t>
        </is>
      </c>
    </row>
    <row r="586" ht="17" customHeight="1">
      <c r="A586" s="28" t="inlineStr">
        <is>
          <t>HR Executive</t>
        </is>
      </c>
      <c r="B586" s="28" t="inlineStr">
        <is>
          <t>PAY-07</t>
        </is>
      </c>
      <c r="C586" s="28" t="inlineStr">
        <is>
          <t>Payroll &amp; compensation</t>
        </is>
      </c>
      <c r="D586" s="28" t="inlineStr">
        <is>
          <t>Payslips and Form 16</t>
        </is>
      </c>
      <c r="E586" s="29" t="inlineStr">
        <is>
          <t>R</t>
        </is>
      </c>
      <c r="F586" s="28" t="inlineStr">
        <is>
          <t>Planned (not built yet). Does it: carries out "Payslips and Form 16".</t>
        </is>
      </c>
      <c r="G586" s="28" t="inlineStr">
        <is>
          <t>-</t>
        </is>
      </c>
      <c r="H586" s="29" t="inlineStr">
        <is>
          <t>Planned</t>
        </is>
      </c>
    </row>
    <row r="587" ht="17" customHeight="1">
      <c r="A587" s="28" t="inlineStr">
        <is>
          <t>HR Executive</t>
        </is>
      </c>
      <c r="B587" s="28" t="inlineStr">
        <is>
          <t>PAY-08</t>
        </is>
      </c>
      <c r="C587" s="28" t="inlineStr">
        <is>
          <t>Payroll &amp; compensation</t>
        </is>
      </c>
      <c r="D587" s="28" t="inlineStr">
        <is>
          <t>Full and final settlement</t>
        </is>
      </c>
      <c r="E587" s="29" t="inlineStr">
        <is>
          <t>I</t>
        </is>
      </c>
      <c r="F587" s="28" t="inlineStr">
        <is>
          <t>Planned (not built yet). Informed.</t>
        </is>
      </c>
      <c r="G587" s="28" t="inlineStr">
        <is>
          <t>-</t>
        </is>
      </c>
      <c r="H587" s="29" t="inlineStr">
        <is>
          <t>Planned</t>
        </is>
      </c>
    </row>
    <row r="588" ht="30" customHeight="1">
      <c r="A588" s="28" t="inlineStr">
        <is>
          <t>HR Executive</t>
        </is>
      </c>
      <c r="B588" s="28" t="inlineStr">
        <is>
          <t>FIN-04</t>
        </is>
      </c>
      <c r="C588" s="28" t="inlineStr">
        <is>
          <t>Finance</t>
        </is>
      </c>
      <c r="D588" s="28" t="inlineStr">
        <is>
          <t>Ledger: income and expenses (incl. recurring)</t>
        </is>
      </c>
      <c r="E588" s="29" t="inlineStr">
        <is>
          <t>I</t>
        </is>
      </c>
      <c r="F588" s="28" t="inlineStr">
        <is>
          <t>Informed; sees the outcome in P&amp;L, CEO Home, Budgets (actuals).</t>
        </is>
      </c>
      <c r="G588" s="28" t="inlineStr">
        <is>
          <t>/finance/ledger</t>
        </is>
      </c>
      <c r="H588" s="29" t="inlineStr">
        <is>
          <t>Extended</t>
        </is>
      </c>
    </row>
    <row r="589" ht="17" customHeight="1">
      <c r="A589" s="28" t="inlineStr">
        <is>
          <t>HR Executive</t>
        </is>
      </c>
      <c r="B589" s="28" t="inlineStr">
        <is>
          <t>FIN-09</t>
        </is>
      </c>
      <c r="C589" s="28" t="inlineStr">
        <is>
          <t>Finance</t>
        </is>
      </c>
      <c r="D589" s="28" t="inlineStr">
        <is>
          <t>Bank reconciliation</t>
        </is>
      </c>
      <c r="E589" s="29" t="inlineStr">
        <is>
          <t>I</t>
        </is>
      </c>
      <c r="F589" s="28" t="inlineStr">
        <is>
          <t>Planned (not built yet). Informed.</t>
        </is>
      </c>
      <c r="G589" s="28" t="inlineStr">
        <is>
          <t>-</t>
        </is>
      </c>
      <c r="H589" s="29" t="inlineStr">
        <is>
          <t>Planned</t>
        </is>
      </c>
    </row>
    <row r="590" ht="17" customHeight="1">
      <c r="A590" s="28" t="inlineStr">
        <is>
          <t>HR Executive</t>
        </is>
      </c>
      <c r="B590" s="28" t="inlineStr">
        <is>
          <t>FIN-10</t>
        </is>
      </c>
      <c r="C590" s="28" t="inlineStr">
        <is>
          <t>Finance</t>
        </is>
      </c>
      <c r="D590" s="28" t="inlineStr">
        <is>
          <t>Tally / Zoho Books integration</t>
        </is>
      </c>
      <c r="E590" s="29" t="inlineStr">
        <is>
          <t>I</t>
        </is>
      </c>
      <c r="F590" s="28" t="inlineStr">
        <is>
          <t>Planned (not built yet). Informed.</t>
        </is>
      </c>
      <c r="G590" s="28" t="inlineStr">
        <is>
          <t>-</t>
        </is>
      </c>
      <c r="H590" s="29" t="inlineStr">
        <is>
          <t>Planned</t>
        </is>
      </c>
    </row>
    <row r="591" ht="17" customHeight="1">
      <c r="A591" s="28" t="inlineStr">
        <is>
          <t>HR Executive</t>
        </is>
      </c>
      <c r="B591" s="28" t="inlineStr">
        <is>
          <t>SPD-01</t>
        </is>
      </c>
      <c r="C591" s="28" t="inlineStr">
        <is>
          <t>Spend &amp; procurement</t>
        </is>
      </c>
      <c r="D591" s="28" t="inlineStr">
        <is>
          <t>Submit an expense claim</t>
        </is>
      </c>
      <c r="E591" s="29" t="inlineStr">
        <is>
          <t>R</t>
        </is>
      </c>
      <c r="F591" s="28" t="inlineStr">
        <is>
          <t>Does it: carries out "Submit an expense claim" in /expenses.</t>
        </is>
      </c>
      <c r="G591" s="28" t="inlineStr">
        <is>
          <t>/expenses</t>
        </is>
      </c>
      <c r="H591" s="29" t="inlineStr">
        <is>
          <t>New in v3</t>
        </is>
      </c>
    </row>
    <row r="592" ht="43" customHeight="1">
      <c r="A592" s="28" t="inlineStr">
        <is>
          <t>HR Executive</t>
        </is>
      </c>
      <c r="B592" s="28" t="inlineStr">
        <is>
          <t>SPD-02</t>
        </is>
      </c>
      <c r="C592" s="28" t="inlineStr">
        <is>
          <t>Spend &amp; procurement</t>
        </is>
      </c>
      <c r="D592" s="28" t="inlineStr">
        <is>
          <t>Approve or reject an expense (two-step above Rs 25,000)</t>
        </is>
      </c>
      <c r="E592" s="29" t="inlineStr">
        <is>
          <t>I</t>
        </is>
      </c>
      <c r="F592" s="28" t="inlineStr">
        <is>
          <t>Informed (NTF-04 to Admin (second step); NTF-05 approved; NTF-06 rejected); sees the outcome in Approvals inbox (expense), Budgets (unbudgeted), CEO Spend panel; Reports / Ask AI (expenses).</t>
        </is>
      </c>
      <c r="G592" s="28" t="inlineStr">
        <is>
          <t>/expenses?tab=approve, /inbox</t>
        </is>
      </c>
      <c r="H592" s="29" t="inlineStr">
        <is>
          <t>Extended</t>
        </is>
      </c>
    </row>
    <row r="593" ht="30" customHeight="1">
      <c r="A593" s="28" t="inlineStr">
        <is>
          <t>HR Executive</t>
        </is>
      </c>
      <c r="B593" s="28" t="inlineStr">
        <is>
          <t>SPD-03</t>
        </is>
      </c>
      <c r="C593" s="28" t="inlineStr">
        <is>
          <t>Spend &amp; procurement</t>
        </is>
      </c>
      <c r="D593" s="28" t="inlineStr">
        <is>
          <t>Reimburse an expense</t>
        </is>
      </c>
      <c r="E593" s="29" t="inlineStr">
        <is>
          <t>I</t>
        </is>
      </c>
      <c r="F593" s="28" t="inlineStr">
        <is>
          <t>Informed (NTF-05 expense reimbursed); sees the outcome in Approvals inbox (expense pay), P&amp;L; Reports / Ask AI (expenses).</t>
        </is>
      </c>
      <c r="G593" s="28" t="inlineStr">
        <is>
          <t>/expenses?tab=pay, /inbox</t>
        </is>
      </c>
      <c r="H593" s="29" t="inlineStr">
        <is>
          <t>New in v3</t>
        </is>
      </c>
    </row>
    <row r="594" ht="30" customHeight="1">
      <c r="A594" s="28" t="inlineStr">
        <is>
          <t>HR Executive</t>
        </is>
      </c>
      <c r="B594" s="28" t="inlineStr">
        <is>
          <t>SPD-04</t>
        </is>
      </c>
      <c r="C594" s="28" t="inlineStr">
        <is>
          <t>Spend &amp; procurement</t>
        </is>
      </c>
      <c r="D594" s="28" t="inlineStr">
        <is>
          <t>Raise a purchase order</t>
        </is>
      </c>
      <c r="E594" s="29" t="inlineStr">
        <is>
          <t>I</t>
        </is>
      </c>
      <c r="F594" s="28" t="inlineStr">
        <is>
          <t>Informed (NTF-04 PO to approve); sees the outcome in Purchases &amp; vendors, Budgets (committed); Reports / Ask AI (purchases).</t>
        </is>
      </c>
      <c r="G594" s="28" t="inlineStr">
        <is>
          <t>/purchases</t>
        </is>
      </c>
      <c r="H594" s="29" t="inlineStr">
        <is>
          <t>New in v3</t>
        </is>
      </c>
    </row>
    <row r="595" ht="30" customHeight="1">
      <c r="A595" s="28" t="inlineStr">
        <is>
          <t>HR Executive</t>
        </is>
      </c>
      <c r="B595" s="28" t="inlineStr">
        <is>
          <t>SPD-05</t>
        </is>
      </c>
      <c r="C595" s="28" t="inlineStr">
        <is>
          <t>Spend &amp; procurement</t>
        </is>
      </c>
      <c r="D595" s="28" t="inlineStr">
        <is>
          <t>Approve, reject or close a PO</t>
        </is>
      </c>
      <c r="E595" s="29" t="inlineStr">
        <is>
          <t>I</t>
        </is>
      </c>
      <c r="F595" s="28" t="inlineStr">
        <is>
          <t>Informed (NTF-05 / NTF-06 to requester); sees the outcome in Approvals inbox (purchase_order); Reports / Ask AI (purchases).</t>
        </is>
      </c>
      <c r="G595" s="28" t="inlineStr">
        <is>
          <t>/purchases, /inbox</t>
        </is>
      </c>
      <c r="H595" s="29" t="inlineStr">
        <is>
          <t>Extended</t>
        </is>
      </c>
    </row>
    <row r="596" ht="43" customHeight="1">
      <c r="A596" s="28" t="inlineStr">
        <is>
          <t>HR Executive</t>
        </is>
      </c>
      <c r="B596" s="28" t="inlineStr">
        <is>
          <t>SPD-06</t>
        </is>
      </c>
      <c r="C596" s="28" t="inlineStr">
        <is>
          <t>Spend &amp; procurement</t>
        </is>
      </c>
      <c r="D596" s="28" t="inlineStr">
        <is>
          <t>Book a vendor bill (PO match)</t>
        </is>
      </c>
      <c r="E596" s="29" t="inlineStr">
        <is>
          <t>I</t>
        </is>
      </c>
      <c r="F596" s="28" t="inlineStr">
        <is>
          <t>Informed (NTF-04 vendor bill to approve (Admin)); sees the outcome in Purchases &amp; vendors (bills, ageing), Approvals inbox (vendor_bill); Reports / Ask AI (vendor_bills).</t>
        </is>
      </c>
      <c r="G596" s="28" t="inlineStr">
        <is>
          <t>/purchases</t>
        </is>
      </c>
      <c r="H596" s="29" t="inlineStr">
        <is>
          <t>New in v3</t>
        </is>
      </c>
    </row>
    <row r="597" ht="43" customHeight="1">
      <c r="A597" s="28" t="inlineStr">
        <is>
          <t>HR Executive</t>
        </is>
      </c>
      <c r="B597" s="28" t="inlineStr">
        <is>
          <t>SPD-07</t>
        </is>
      </c>
      <c r="C597" s="28" t="inlineStr">
        <is>
          <t>Spend &amp; procurement</t>
        </is>
      </c>
      <c r="D597" s="28" t="inlineStr">
        <is>
          <t>Approve, dispute and pay vendor bills</t>
        </is>
      </c>
      <c r="E597" s="29" t="inlineStr">
        <is>
          <t>I</t>
        </is>
      </c>
      <c r="F597" s="28" t="inlineStr">
        <is>
          <t>Informed (NTF-05 vendor bill approved); sees the outcome in Approvals inbox (vendor_bill approve / pay), Purchases (ageing), P&amp;L; Reports / Ask AI (vendor_bills).</t>
        </is>
      </c>
      <c r="G597" s="28" t="inlineStr">
        <is>
          <t>/purchases, /inbox</t>
        </is>
      </c>
      <c r="H597" s="29" t="inlineStr">
        <is>
          <t>Extended</t>
        </is>
      </c>
    </row>
    <row r="598" ht="17" customHeight="1">
      <c r="A598" s="28" t="inlineStr">
        <is>
          <t>HR Executive</t>
        </is>
      </c>
      <c r="B598" s="28" t="inlineStr">
        <is>
          <t>SPD-08</t>
        </is>
      </c>
      <c r="C598" s="28" t="inlineStr">
        <is>
          <t>Spend &amp; procurement</t>
        </is>
      </c>
      <c r="D598" s="28" t="inlineStr">
        <is>
          <t>Annual budget and monthly phasing</t>
        </is>
      </c>
      <c r="E598" s="29" t="inlineStr">
        <is>
          <t>I</t>
        </is>
      </c>
      <c r="F598" s="28" t="inlineStr">
        <is>
          <t>Informed; sees the outcome in Budgets.</t>
        </is>
      </c>
      <c r="G598" s="28" t="inlineStr">
        <is>
          <t>/budgets</t>
        </is>
      </c>
      <c r="H598" s="29" t="inlineStr">
        <is>
          <t>Extended</t>
        </is>
      </c>
    </row>
    <row r="599" ht="30" customHeight="1">
      <c r="A599" s="28" t="inlineStr">
        <is>
          <t>HR Executive</t>
        </is>
      </c>
      <c r="B599" s="28" t="inlineStr">
        <is>
          <t>SPD-09</t>
        </is>
      </c>
      <c r="C599" s="28" t="inlineStr">
        <is>
          <t>Spend &amp; procurement</t>
        </is>
      </c>
      <c r="D599" s="28" t="inlineStr">
        <is>
          <t>Budget vs actual review</t>
        </is>
      </c>
      <c r="E599" s="29" t="inlineStr">
        <is>
          <t>I</t>
        </is>
      </c>
      <c r="F599" s="28" t="inlineStr">
        <is>
          <t>Informed; sees the outcome in Budgets, CEO Spend panel; Reports / Ask AI (budget_vs_actual).</t>
        </is>
      </c>
      <c r="G599" s="28" t="inlineStr">
        <is>
          <t>/budgets</t>
        </is>
      </c>
      <c r="H599" s="29" t="inlineStr">
        <is>
          <t>New in v3</t>
        </is>
      </c>
    </row>
    <row r="600" ht="30" customHeight="1">
      <c r="A600" s="28" t="inlineStr">
        <is>
          <t>HR Executive</t>
        </is>
      </c>
      <c r="B600" s="28" t="inlineStr">
        <is>
          <t>SPD-10</t>
        </is>
      </c>
      <c r="C600" s="28" t="inlineStr">
        <is>
          <t>Spend &amp; procurement</t>
        </is>
      </c>
      <c r="D600" s="28" t="inlineStr">
        <is>
          <t>Unbudgeted / additional spend register</t>
        </is>
      </c>
      <c r="E600" s="29" t="inlineStr">
        <is>
          <t>I</t>
        </is>
      </c>
      <c r="F600" s="28" t="inlineStr">
        <is>
          <t>Informed; sees the outcome in Budgets (unbudgeted), CEO Home (Spend panel); Reports / Ask AI (budget_vs_actual).</t>
        </is>
      </c>
      <c r="G600" s="28" t="inlineStr">
        <is>
          <t>/budgets</t>
        </is>
      </c>
      <c r="H600" s="29" t="inlineStr">
        <is>
          <t>New in v3</t>
        </is>
      </c>
    </row>
    <row r="601" ht="30" customHeight="1">
      <c r="A601" s="28" t="inlineStr">
        <is>
          <t>HR Executive</t>
        </is>
      </c>
      <c r="B601" s="28" t="inlineStr">
        <is>
          <t>SPD-11</t>
        </is>
      </c>
      <c r="C601" s="28" t="inlineStr">
        <is>
          <t>Spend &amp; procurement</t>
        </is>
      </c>
      <c r="D601" s="28" t="inlineStr">
        <is>
          <t>Travel requests and advances</t>
        </is>
      </c>
      <c r="E601" s="29" t="inlineStr">
        <is>
          <t>R</t>
        </is>
      </c>
      <c r="F601" s="28" t="inlineStr">
        <is>
          <t>Planned (not built yet). Does it: carries out "Travel requests and advances".</t>
        </is>
      </c>
      <c r="G601" s="28" t="inlineStr">
        <is>
          <t>-</t>
        </is>
      </c>
      <c r="H601" s="29" t="inlineStr">
        <is>
          <t>Planned</t>
        </is>
      </c>
    </row>
    <row r="602" ht="30" customHeight="1">
      <c r="A602" s="28" t="inlineStr">
        <is>
          <t>HR Executive</t>
        </is>
      </c>
      <c r="B602" s="28" t="inlineStr">
        <is>
          <t>SPD-12</t>
        </is>
      </c>
      <c r="C602" s="28" t="inlineStr">
        <is>
          <t>Spend &amp; procurement</t>
        </is>
      </c>
      <c r="D602" s="28" t="inlineStr">
        <is>
          <t>Goods / service receipt (true 3-way match)</t>
        </is>
      </c>
      <c r="E602" s="29" t="inlineStr">
        <is>
          <t>R</t>
        </is>
      </c>
      <c r="F602" s="28" t="inlineStr">
        <is>
          <t>Planned (not built yet). Does it: carries out "Goods / service receipt (true 3-way match)".</t>
        </is>
      </c>
      <c r="G602" s="28" t="inlineStr">
        <is>
          <t>-</t>
        </is>
      </c>
      <c r="H602" s="29" t="inlineStr">
        <is>
          <t>Planned</t>
        </is>
      </c>
    </row>
    <row r="603" ht="17" customHeight="1">
      <c r="A603" s="28" t="inlineStr">
        <is>
          <t>HR Executive</t>
        </is>
      </c>
      <c r="B603" s="28" t="inlineStr">
        <is>
          <t>SPD-13</t>
        </is>
      </c>
      <c r="C603" s="28" t="inlineStr">
        <is>
          <t>Spend &amp; procurement</t>
        </is>
      </c>
      <c r="D603" s="28" t="inlineStr">
        <is>
          <t>Petty cash</t>
        </is>
      </c>
      <c r="E603" s="29" t="inlineStr">
        <is>
          <t>I</t>
        </is>
      </c>
      <c r="F603" s="28" t="inlineStr">
        <is>
          <t>Planned (not built yet). Informed.</t>
        </is>
      </c>
      <c r="G603" s="28" t="inlineStr">
        <is>
          <t>-</t>
        </is>
      </c>
      <c r="H603" s="29" t="inlineStr">
        <is>
          <t>Planned</t>
        </is>
      </c>
    </row>
    <row r="604" ht="17" customHeight="1">
      <c r="A604" s="28" t="inlineStr">
        <is>
          <t>HR Executive</t>
        </is>
      </c>
      <c r="B604" s="28" t="inlineStr">
        <is>
          <t>OPS-01</t>
        </is>
      </c>
      <c r="C604" s="28" t="inlineStr">
        <is>
          <t>Operations &amp; compliance</t>
        </is>
      </c>
      <c r="D604" s="28" t="inlineStr">
        <is>
          <t>Recurring operations register</t>
        </is>
      </c>
      <c r="E604" s="29" t="inlineStr">
        <is>
          <t>R</t>
        </is>
      </c>
      <c r="F604" s="28" t="inlineStr">
        <is>
          <t>Does it: carries out "Recurring operations register" in /operations.</t>
        </is>
      </c>
      <c r="G604" s="28" t="inlineStr">
        <is>
          <t>/operations</t>
        </is>
      </c>
      <c r="H604" s="29" t="inlineStr">
        <is>
          <t>Live</t>
        </is>
      </c>
    </row>
    <row r="605" ht="17" customHeight="1">
      <c r="A605" s="28" t="inlineStr">
        <is>
          <t>HR Executive</t>
        </is>
      </c>
      <c r="B605" s="28" t="inlineStr">
        <is>
          <t>OPS-02</t>
        </is>
      </c>
      <c r="C605" s="28" t="inlineStr">
        <is>
          <t>Operations &amp; compliance</t>
        </is>
      </c>
      <c r="D605" s="28" t="inlineStr">
        <is>
          <t>Mark done and roll forward</t>
        </is>
      </c>
      <c r="E605" s="29" t="inlineStr">
        <is>
          <t>R</t>
        </is>
      </c>
      <c r="F605" s="28" t="inlineStr">
        <is>
          <t>Does it: carries out "Mark done and roll forward" in /operations.</t>
        </is>
      </c>
      <c r="G605" s="28" t="inlineStr">
        <is>
          <t>/operations</t>
        </is>
      </c>
      <c r="H605" s="29" t="inlineStr">
        <is>
          <t>Live</t>
        </is>
      </c>
    </row>
    <row r="606" ht="17" customHeight="1">
      <c r="A606" s="28" t="inlineStr">
        <is>
          <t>HR Executive</t>
        </is>
      </c>
      <c r="B606" s="28" t="inlineStr">
        <is>
          <t>OPS-03</t>
        </is>
      </c>
      <c r="C606" s="28" t="inlineStr">
        <is>
          <t>Operations &amp; compliance</t>
        </is>
      </c>
      <c r="D606" s="28" t="inlineStr">
        <is>
          <t>Overdue and due-soon alerts</t>
        </is>
      </c>
      <c r="E606" s="29" t="inlineStr">
        <is>
          <t>R</t>
        </is>
      </c>
      <c r="F606" s="28" t="inlineStr">
        <is>
          <t>Does it: carries out "Overdue and due-soon alerts" in /operations.</t>
        </is>
      </c>
      <c r="G606" s="28" t="inlineStr">
        <is>
          <t>/operations</t>
        </is>
      </c>
      <c r="H606" s="29" t="inlineStr">
        <is>
          <t>Live</t>
        </is>
      </c>
    </row>
    <row r="607" ht="17" customHeight="1">
      <c r="A607" s="28" t="inlineStr">
        <is>
          <t>HR Executive</t>
        </is>
      </c>
      <c r="B607" s="28" t="inlineStr">
        <is>
          <t>OPS-04</t>
        </is>
      </c>
      <c r="C607" s="28" t="inlineStr">
        <is>
          <t>Operations &amp; compliance</t>
        </is>
      </c>
      <c r="D607" s="28" t="inlineStr">
        <is>
          <t>ISO 9001 non-conformance and CAPA</t>
        </is>
      </c>
      <c r="E607" s="29" t="inlineStr">
        <is>
          <t>I</t>
        </is>
      </c>
      <c r="F607" s="28" t="inlineStr">
        <is>
          <t>Planned (not built yet). Informed.</t>
        </is>
      </c>
      <c r="G607" s="28" t="inlineStr">
        <is>
          <t>-</t>
        </is>
      </c>
      <c r="H607" s="29" t="inlineStr">
        <is>
          <t>Planned</t>
        </is>
      </c>
    </row>
    <row r="608" ht="17" customHeight="1">
      <c r="A608" s="28" t="inlineStr">
        <is>
          <t>HR Executive</t>
        </is>
      </c>
      <c r="B608" s="28" t="inlineStr">
        <is>
          <t>OPS-05</t>
        </is>
      </c>
      <c r="C608" s="28" t="inlineStr">
        <is>
          <t>Operations &amp; compliance</t>
        </is>
      </c>
      <c r="D608" s="28" t="inlineStr">
        <is>
          <t>Risk register (company and project)</t>
        </is>
      </c>
      <c r="E608" s="29" t="inlineStr">
        <is>
          <t>I</t>
        </is>
      </c>
      <c r="F608" s="28" t="inlineStr">
        <is>
          <t>Planned (not built yet). Informed.</t>
        </is>
      </c>
      <c r="G608" s="28" t="inlineStr">
        <is>
          <t>-</t>
        </is>
      </c>
      <c r="H608" s="29" t="inlineStr">
        <is>
          <t>Planned</t>
        </is>
      </c>
    </row>
    <row r="609" ht="30" customHeight="1">
      <c r="A609" s="28" t="inlineStr">
        <is>
          <t>HR Executive</t>
        </is>
      </c>
      <c r="B609" s="28" t="inlineStr">
        <is>
          <t>GOV-01</t>
        </is>
      </c>
      <c r="C609" s="28" t="inlineStr">
        <is>
          <t>Strategy &amp; governance</t>
        </is>
      </c>
      <c r="D609" s="28" t="inlineStr">
        <is>
          <t>Set objectives (company, team, personal)</t>
        </is>
      </c>
      <c r="E609" s="29" t="inlineStr">
        <is>
          <t>R</t>
        </is>
      </c>
      <c r="F609" s="28" t="inlineStr">
        <is>
          <t>Does it: carries out "Set objectives (company, team, personal)" in /okrs.</t>
        </is>
      </c>
      <c r="G609" s="28" t="inlineStr">
        <is>
          <t>/okrs</t>
        </is>
      </c>
      <c r="H609" s="29" t="inlineStr">
        <is>
          <t>New in v3</t>
        </is>
      </c>
    </row>
    <row r="610" ht="30" customHeight="1">
      <c r="A610" s="28" t="inlineStr">
        <is>
          <t>HR Executive</t>
        </is>
      </c>
      <c r="B610" s="28" t="inlineStr">
        <is>
          <t>GOV-02</t>
        </is>
      </c>
      <c r="C610" s="28" t="inlineStr">
        <is>
          <t>Strategy &amp; governance</t>
        </is>
      </c>
      <c r="D610" s="28" t="inlineStr">
        <is>
          <t>Key results with automatic measures and check-ins</t>
        </is>
      </c>
      <c r="E610" s="29" t="inlineStr">
        <is>
          <t>R</t>
        </is>
      </c>
      <c r="F610" s="28" t="inlineStr">
        <is>
          <t>Does it: carries out "Key results with automatic measures and check-ins" in /okrs.</t>
        </is>
      </c>
      <c r="G610" s="28" t="inlineStr">
        <is>
          <t>/okrs</t>
        </is>
      </c>
      <c r="H610" s="29" t="inlineStr">
        <is>
          <t>New in v3</t>
        </is>
      </c>
    </row>
    <row r="611" ht="17" customHeight="1">
      <c r="A611" s="28" t="inlineStr">
        <is>
          <t>HR Executive</t>
        </is>
      </c>
      <c r="B611" s="28" t="inlineStr">
        <is>
          <t>GOV-03</t>
        </is>
      </c>
      <c r="C611" s="28" t="inlineStr">
        <is>
          <t>Strategy &amp; governance</t>
        </is>
      </c>
      <c r="D611" s="28" t="inlineStr">
        <is>
          <t>Approvals inbox</t>
        </is>
      </c>
      <c r="E611" s="29" t="inlineStr">
        <is>
          <t>R</t>
        </is>
      </c>
      <c r="F611" s="28" t="inlineStr">
        <is>
          <t>Does it: carries out "Approvals inbox" in /inbox.</t>
        </is>
      </c>
      <c r="G611" s="28" t="inlineStr">
        <is>
          <t>/inbox</t>
        </is>
      </c>
      <c r="H611" s="29" t="inlineStr">
        <is>
          <t>Extended</t>
        </is>
      </c>
    </row>
    <row r="612" ht="17" customHeight="1">
      <c r="A612" s="28" t="inlineStr">
        <is>
          <t>HR Executive</t>
        </is>
      </c>
      <c r="B612" s="28" t="inlineStr">
        <is>
          <t>GOV-05</t>
        </is>
      </c>
      <c r="C612" s="28" t="inlineStr">
        <is>
          <t>Strategy &amp; governance</t>
        </is>
      </c>
      <c r="D612" s="28" t="inlineStr">
        <is>
          <t>Notifications centre</t>
        </is>
      </c>
      <c r="E612" s="29" t="inlineStr">
        <is>
          <t>R</t>
        </is>
      </c>
      <c r="F612" s="28" t="inlineStr">
        <is>
          <t>Does it: carries out "Notifications centre" in /notifications.</t>
        </is>
      </c>
      <c r="G612" s="28" t="inlineStr">
        <is>
          <t>/notifications</t>
        </is>
      </c>
      <c r="H612" s="29" t="inlineStr">
        <is>
          <t>Live</t>
        </is>
      </c>
    </row>
    <row r="613" ht="17" customHeight="1">
      <c r="A613" s="28" t="inlineStr">
        <is>
          <t>HR Executive</t>
        </is>
      </c>
      <c r="B613" s="28" t="inlineStr">
        <is>
          <t>GOV-06</t>
        </is>
      </c>
      <c r="C613" s="28" t="inlineStr">
        <is>
          <t>Strategy &amp; governance</t>
        </is>
      </c>
      <c r="D613" s="28" t="inlineStr">
        <is>
          <t>Weekly scorecard</t>
        </is>
      </c>
      <c r="E613" s="29" t="inlineStr">
        <is>
          <t>I</t>
        </is>
      </c>
      <c r="F613" s="28" t="inlineStr">
        <is>
          <t>Informed; sees the outcome in Scorecard.</t>
        </is>
      </c>
      <c r="G613" s="28" t="inlineStr">
        <is>
          <t>/scorecard</t>
        </is>
      </c>
      <c r="H613" s="29" t="inlineStr">
        <is>
          <t>Live</t>
        </is>
      </c>
    </row>
    <row r="614" ht="17" customHeight="1">
      <c r="A614" s="28" t="inlineStr">
        <is>
          <t>HR Executive</t>
        </is>
      </c>
      <c r="B614" s="28" t="inlineStr">
        <is>
          <t>GOV-07</t>
        </is>
      </c>
      <c r="C614" s="28" t="inlineStr">
        <is>
          <t>Strategy &amp; governance</t>
        </is>
      </c>
      <c r="D614" s="28" t="inlineStr">
        <is>
          <t>Board and investor reporting pack</t>
        </is>
      </c>
      <c r="E614" s="29" t="inlineStr">
        <is>
          <t>I</t>
        </is>
      </c>
      <c r="F614" s="28" t="inlineStr">
        <is>
          <t>Planned (not built yet). Informed.</t>
        </is>
      </c>
      <c r="G614" s="28" t="inlineStr">
        <is>
          <t>-</t>
        </is>
      </c>
      <c r="H614" s="29" t="inlineStr">
        <is>
          <t>Planned</t>
        </is>
      </c>
    </row>
    <row r="615" ht="17" customHeight="1">
      <c r="A615" s="28" t="inlineStr">
        <is>
          <t>HR Executive</t>
        </is>
      </c>
      <c r="B615" s="28" t="inlineStr">
        <is>
          <t>ANA-04</t>
        </is>
      </c>
      <c r="C615" s="28" t="inlineStr">
        <is>
          <t>Analytics &amp; AI</t>
        </is>
      </c>
      <c r="D615" s="28" t="inlineStr">
        <is>
          <t>HR &amp; operations dashboard</t>
        </is>
      </c>
      <c r="E615" s="29" t="inlineStr">
        <is>
          <t>I</t>
        </is>
      </c>
      <c r="F615" s="28" t="inlineStr">
        <is>
          <t>Informed; sees the outcome in Home.</t>
        </is>
      </c>
      <c r="G615" s="28" t="inlineStr">
        <is>
          <t>/home</t>
        </is>
      </c>
      <c r="H615" s="29" t="inlineStr">
        <is>
          <t>Extended</t>
        </is>
      </c>
    </row>
    <row r="616" ht="17" customHeight="1">
      <c r="A616" s="28" t="inlineStr">
        <is>
          <t>HR Executive</t>
        </is>
      </c>
      <c r="B616" s="28" t="inlineStr">
        <is>
          <t>ANA-06</t>
        </is>
      </c>
      <c r="C616" s="28" t="inlineStr">
        <is>
          <t>Analytics &amp; AI</t>
        </is>
      </c>
      <c r="D616" s="28" t="inlineStr">
        <is>
          <t>Insights views</t>
        </is>
      </c>
      <c r="E616" s="29" t="inlineStr">
        <is>
          <t>I</t>
        </is>
      </c>
      <c r="F616" s="28" t="inlineStr">
        <is>
          <t>Informed; sees the outcome in Insights.</t>
        </is>
      </c>
      <c r="G616" s="28" t="inlineStr">
        <is>
          <t>/insights, /insights/:view</t>
        </is>
      </c>
      <c r="H616" s="29" t="inlineStr">
        <is>
          <t>Live</t>
        </is>
      </c>
    </row>
    <row r="617" ht="30" customHeight="1">
      <c r="A617" s="28" t="inlineStr">
        <is>
          <t>HR Executive</t>
        </is>
      </c>
      <c r="B617" s="28" t="inlineStr">
        <is>
          <t>ANA-07</t>
        </is>
      </c>
      <c r="C617" s="28" t="inlineStr">
        <is>
          <t>Analytics &amp; AI</t>
        </is>
      </c>
      <c r="D617" s="28" t="inlineStr">
        <is>
          <t>Custom report builder and exports</t>
        </is>
      </c>
      <c r="E617" s="29" t="inlineStr">
        <is>
          <t>I</t>
        </is>
      </c>
      <c r="F617" s="28" t="inlineStr">
        <is>
          <t>Informed; sees the outcome in Reports.</t>
        </is>
      </c>
      <c r="G617" s="28" t="inlineStr">
        <is>
          <t>/reports, /reports/new, /reports/:id</t>
        </is>
      </c>
      <c r="H617" s="29" t="inlineStr">
        <is>
          <t>Extended</t>
        </is>
      </c>
    </row>
    <row r="618" ht="17" customHeight="1">
      <c r="A618" s="28" t="inlineStr">
        <is>
          <t>HR Executive</t>
        </is>
      </c>
      <c r="B618" s="28" t="inlineStr">
        <is>
          <t>ANA-08</t>
        </is>
      </c>
      <c r="C618" s="28" t="inlineStr">
        <is>
          <t>Analytics &amp; AI</t>
        </is>
      </c>
      <c r="D618" s="28" t="inlineStr">
        <is>
          <t>Ask AI and AI report planning</t>
        </is>
      </c>
      <c r="E618" s="29" t="inlineStr">
        <is>
          <t>R</t>
        </is>
      </c>
      <c r="F618" s="28" t="inlineStr">
        <is>
          <t>Does it: carries out "Ask AI and AI report planning" in /ai.</t>
        </is>
      </c>
      <c r="G618" s="28" t="inlineStr">
        <is>
          <t>/ai</t>
        </is>
      </c>
      <c r="H618" s="29" t="inlineStr">
        <is>
          <t>Extended</t>
        </is>
      </c>
    </row>
    <row r="619" ht="17" customHeight="1">
      <c r="A619" s="28" t="inlineStr">
        <is>
          <t>HR Executive</t>
        </is>
      </c>
      <c r="B619" s="28" t="inlineStr">
        <is>
          <t>ANA-09</t>
        </is>
      </c>
      <c r="C619" s="28" t="inlineStr">
        <is>
          <t>Analytics &amp; AI</t>
        </is>
      </c>
      <c r="D619" s="28" t="inlineStr">
        <is>
          <t>Scheduled email reports</t>
        </is>
      </c>
      <c r="E619" s="29" t="inlineStr">
        <is>
          <t>I</t>
        </is>
      </c>
      <c r="F619" s="28" t="inlineStr">
        <is>
          <t>Planned (not built yet). Informed.</t>
        </is>
      </c>
      <c r="G619" s="28" t="inlineStr">
        <is>
          <t>-</t>
        </is>
      </c>
      <c r="H619" s="29" t="inlineStr">
        <is>
          <t>Planned</t>
        </is>
      </c>
    </row>
    <row r="620" ht="17" customHeight="1">
      <c r="A620" s="28" t="inlineStr">
        <is>
          <t>HR Executive</t>
        </is>
      </c>
      <c r="B620" s="28" t="inlineStr">
        <is>
          <t>ANA-10</t>
        </is>
      </c>
      <c r="C620" s="28" t="inlineStr">
        <is>
          <t>Analytics &amp; AI</t>
        </is>
      </c>
      <c r="D620" s="28" t="inlineStr">
        <is>
          <t>Report datasets for v3 processes</t>
        </is>
      </c>
      <c r="E620" s="29" t="inlineStr">
        <is>
          <t>I</t>
        </is>
      </c>
      <c r="F620" s="28" t="inlineStr">
        <is>
          <t>Informed; sees the outcome in Reports, Ask AI.</t>
        </is>
      </c>
      <c r="G620" s="28" t="inlineStr">
        <is>
          <t>/reports/new, /ai</t>
        </is>
      </c>
      <c r="H620" s="29" t="inlineStr">
        <is>
          <t>New in v3</t>
        </is>
      </c>
    </row>
    <row r="621" ht="30" customHeight="1">
      <c r="A621" s="28" t="inlineStr">
        <is>
          <t>HR Executive</t>
        </is>
      </c>
      <c r="B621" s="28" t="inlineStr">
        <is>
          <t>ADM-01</t>
        </is>
      </c>
      <c r="C621" s="28" t="inlineStr">
        <is>
          <t>Access, master data &amp; controls</t>
        </is>
      </c>
      <c r="D621" s="28" t="inlineStr">
        <is>
          <t>Organisation profile</t>
        </is>
      </c>
      <c r="E621" s="29" t="inlineStr">
        <is>
          <t>I</t>
        </is>
      </c>
      <c r="F621" s="28" t="inlineStr">
        <is>
          <t>Informed (NTF-04 to checkers); sees the outcome in Setup checklist; welcome emails ({{company}}).</t>
        </is>
      </c>
      <c r="G621" s="28" t="inlineStr">
        <is>
          <t>/setup/org</t>
        </is>
      </c>
      <c r="H621" s="29" t="inlineStr">
        <is>
          <t>New in v4</t>
        </is>
      </c>
    </row>
    <row r="622" ht="30" customHeight="1">
      <c r="A622" s="28" t="inlineStr">
        <is>
          <t>HR Executive</t>
        </is>
      </c>
      <c r="B622" s="28" t="inlineStr">
        <is>
          <t>ADM-02</t>
        </is>
      </c>
      <c r="C622" s="28" t="inlineStr">
        <is>
          <t>Access, master data &amp; controls</t>
        </is>
      </c>
      <c r="D622" s="28" t="inlineStr">
        <is>
          <t>Locations</t>
        </is>
      </c>
      <c r="E622" s="29" t="inlineStr">
        <is>
          <t>I</t>
        </is>
      </c>
      <c r="F622" s="28" t="inlineStr">
        <is>
          <t>Informed; sees the outcome in People, Create employee.</t>
        </is>
      </c>
      <c r="G622" s="28" t="inlineStr">
        <is>
          <t>/setup/locations</t>
        </is>
      </c>
      <c r="H622" s="29" t="inlineStr">
        <is>
          <t>New in v4</t>
        </is>
      </c>
    </row>
    <row r="623" ht="30" customHeight="1">
      <c r="A623" s="28" t="inlineStr">
        <is>
          <t>HR Executive</t>
        </is>
      </c>
      <c r="B623" s="28" t="inlineStr">
        <is>
          <t>ADM-03</t>
        </is>
      </c>
      <c r="C623" s="28" t="inlineStr">
        <is>
          <t>Access, master data &amp; controls</t>
        </is>
      </c>
      <c r="D623" s="28" t="inlineStr">
        <is>
          <t>Departments and cost centres</t>
        </is>
      </c>
      <c r="E623" s="29" t="inlineStr">
        <is>
          <t>I</t>
        </is>
      </c>
      <c r="F623" s="28" t="inlineStr">
        <is>
          <t>Informed; sees the outcome in People, analytics by department, workflow approver "Head of department".</t>
        </is>
      </c>
      <c r="G623" s="28" t="inlineStr">
        <is>
          <t>/setup/departments, /setup/cost-centres</t>
        </is>
      </c>
      <c r="H623" s="29" t="inlineStr">
        <is>
          <t>New in v4</t>
        </is>
      </c>
    </row>
    <row r="624" ht="30" customHeight="1">
      <c r="A624" s="28" t="inlineStr">
        <is>
          <t>HR Executive</t>
        </is>
      </c>
      <c r="B624" s="28" t="inlineStr">
        <is>
          <t>ADM-04</t>
        </is>
      </c>
      <c r="C624" s="28" t="inlineStr">
        <is>
          <t>Access, master data &amp; controls</t>
        </is>
      </c>
      <c r="D624" s="28" t="inlineStr">
        <is>
          <t>Designations, grades and CTC bands</t>
        </is>
      </c>
      <c r="E624" s="29" t="inlineStr">
        <is>
          <t>I</t>
        </is>
      </c>
      <c r="F624" s="28" t="inlineStr">
        <is>
          <t>Informed; sees the outcome in Create employee, People.</t>
        </is>
      </c>
      <c r="G624" s="28" t="inlineStr">
        <is>
          <t>/setup/designations, /setup/grades</t>
        </is>
      </c>
      <c r="H624" s="29" t="inlineStr">
        <is>
          <t>New in v4</t>
        </is>
      </c>
    </row>
    <row r="625" ht="30" customHeight="1">
      <c r="A625" s="28" t="inlineStr">
        <is>
          <t>HR Executive</t>
        </is>
      </c>
      <c r="B625" s="28" t="inlineStr">
        <is>
          <t>ADM-05</t>
        </is>
      </c>
      <c r="C625" s="28" t="inlineStr">
        <is>
          <t>Access, master data &amp; controls</t>
        </is>
      </c>
      <c r="D625" s="28" t="inlineStr">
        <is>
          <t>Shifts and shift assignment</t>
        </is>
      </c>
      <c r="E625" s="29" t="inlineStr">
        <is>
          <t>I</t>
        </is>
      </c>
      <c r="F625" s="28" t="inlineStr">
        <is>
          <t>Informed (NTF-04 to checkers (if checked)); sees the outcome in People, Create employee.</t>
        </is>
      </c>
      <c r="G625" s="28" t="inlineStr">
        <is>
          <t>/setup/shifts</t>
        </is>
      </c>
      <c r="H625" s="29" t="inlineStr">
        <is>
          <t>New in v4</t>
        </is>
      </c>
    </row>
    <row r="626" ht="30" customHeight="1">
      <c r="A626" s="28" t="inlineStr">
        <is>
          <t>HR Executive</t>
        </is>
      </c>
      <c r="B626" s="28" t="inlineStr">
        <is>
          <t>ADM-06</t>
        </is>
      </c>
      <c r="C626" s="28" t="inlineStr">
        <is>
          <t>Access, master data &amp; controls</t>
        </is>
      </c>
      <c r="D626" s="28" t="inlineStr">
        <is>
          <t>Email templates and sent log</t>
        </is>
      </c>
      <c r="E626" s="29" t="inlineStr">
        <is>
          <t>R</t>
        </is>
      </c>
      <c r="F626" s="28" t="inlineStr">
        <is>
          <t>Does it: carries out "Email templates and sent log" in /setup/emails, /setup/emails?tab=sent.</t>
        </is>
      </c>
      <c r="G626" s="28" t="inlineStr">
        <is>
          <t>/setup/emails, /setup/emails?tab=sent</t>
        </is>
      </c>
      <c r="H626" s="29" t="inlineStr">
        <is>
          <t>New in v4</t>
        </is>
      </c>
    </row>
    <row r="627" ht="30" customHeight="1">
      <c r="A627" s="28" t="inlineStr">
        <is>
          <t>HR Executive</t>
        </is>
      </c>
      <c r="B627" s="28" t="inlineStr">
        <is>
          <t>ACC-04</t>
        </is>
      </c>
      <c r="C627" s="28" t="inlineStr">
        <is>
          <t>Access, master data &amp; controls</t>
        </is>
      </c>
      <c r="D627" s="28" t="inlineStr">
        <is>
          <t>Create employee and send the welcome email</t>
        </is>
      </c>
      <c r="E627" s="29" t="inlineStr">
        <is>
          <t>R</t>
        </is>
      </c>
      <c r="F627" s="28" t="inlineStr">
        <is>
          <t>Creates the employee and checks the welcome email in Sent.</t>
        </is>
      </c>
      <c r="G627" s="28" t="inlineStr">
        <is>
          <t>/people/new</t>
        </is>
      </c>
      <c r="H627" s="29" t="inlineStr">
        <is>
          <t>New in v4</t>
        </is>
      </c>
    </row>
    <row r="628" ht="30" customHeight="1">
      <c r="A628" s="28" t="inlineStr">
        <is>
          <t>HR Executive</t>
        </is>
      </c>
      <c r="B628" s="28" t="inlineStr">
        <is>
          <t>ACC-05</t>
        </is>
      </c>
      <c r="C628" s="28" t="inlineStr">
        <is>
          <t>Access, master data &amp; controls</t>
        </is>
      </c>
      <c r="D628" s="28" t="inlineStr">
        <is>
          <t>First sign-in: forced password change</t>
        </is>
      </c>
      <c r="E628" s="29" t="inlineStr">
        <is>
          <t>R</t>
        </is>
      </c>
      <c r="F628" s="28" t="inlineStr">
        <is>
          <t>Does it: carries out "First sign-in: forced password change" in /welcome/password.</t>
        </is>
      </c>
      <c r="G628" s="28" t="inlineStr">
        <is>
          <t>/welcome/password</t>
        </is>
      </c>
      <c r="H628" s="29" t="inlineStr">
        <is>
          <t>New in v4</t>
        </is>
      </c>
    </row>
    <row r="629" ht="30" customHeight="1">
      <c r="A629" s="28" t="inlineStr">
        <is>
          <t>HR Executive</t>
        </is>
      </c>
      <c r="B629" s="28" t="inlineStr">
        <is>
          <t>ACC-07</t>
        </is>
      </c>
      <c r="C629" s="28" t="inlineStr">
        <is>
          <t>Access, master data &amp; controls</t>
        </is>
      </c>
      <c r="D629" s="28" t="inlineStr">
        <is>
          <t>Deactivate or reactivate an employee</t>
        </is>
      </c>
      <c r="E629" s="29" t="inlineStr">
        <is>
          <t>C</t>
        </is>
      </c>
      <c r="F629" s="28" t="inlineStr">
        <is>
          <t>Consulted: gives input, data or a decision when asked.</t>
        </is>
      </c>
      <c r="G629" s="28" t="inlineStr">
        <is>
          <t>/people</t>
        </is>
      </c>
      <c r="H629" s="29" t="inlineStr">
        <is>
          <t>New in v4</t>
        </is>
      </c>
    </row>
    <row r="630" ht="30" customHeight="1">
      <c r="A630" s="28" t="inlineStr">
        <is>
          <t>HR Executive</t>
        </is>
      </c>
      <c r="B630" s="28" t="inlineStr">
        <is>
          <t>ACC-09</t>
        </is>
      </c>
      <c r="C630" s="28" t="inlineStr">
        <is>
          <t>Access, master data &amp; controls</t>
        </is>
      </c>
      <c r="D630" s="28" t="inlineStr">
        <is>
          <t>One login: screens, actions and data scope by permission</t>
        </is>
      </c>
      <c r="E630" s="29" t="inlineStr">
        <is>
          <t>I</t>
        </is>
      </c>
      <c r="F630" s="28" t="inlineStr">
        <is>
          <t>Informed; sees the outcome in All.</t>
        </is>
      </c>
      <c r="G630" s="28" t="inlineStr">
        <is>
          <t>All screens</t>
        </is>
      </c>
      <c r="H630" s="29" t="inlineStr">
        <is>
          <t>New in v4</t>
        </is>
      </c>
    </row>
    <row r="631" ht="30" customHeight="1">
      <c r="A631" s="28" t="inlineStr">
        <is>
          <t>Sales Manager</t>
        </is>
      </c>
      <c r="B631" s="28" t="inlineStr">
        <is>
          <t>WS-03</t>
        </is>
      </c>
      <c r="C631" s="28" t="inlineStr">
        <is>
          <t>Workspace &amp; access</t>
        </is>
      </c>
      <c r="D631" s="28" t="inlineStr">
        <is>
          <t>Sign in, lockout and password reset</t>
        </is>
      </c>
      <c r="E631" s="29" t="inlineStr">
        <is>
          <t>R</t>
        </is>
      </c>
      <c r="F631" s="28" t="inlineStr">
        <is>
          <t>Does it: carries out "Sign in, lockout and password reset" in /login, /reset-password.</t>
        </is>
      </c>
      <c r="G631" s="28" t="inlineStr">
        <is>
          <t>/login, /reset-password</t>
        </is>
      </c>
      <c r="H631" s="29" t="inlineStr">
        <is>
          <t>Extended</t>
        </is>
      </c>
    </row>
    <row r="632" ht="43" customHeight="1">
      <c r="A632" s="28" t="inlineStr">
        <is>
          <t>Sales Manager</t>
        </is>
      </c>
      <c r="B632" s="28" t="inlineStr">
        <is>
          <t>WS-08</t>
        </is>
      </c>
      <c r="C632" s="28" t="inlineStr">
        <is>
          <t>Workspace &amp; access</t>
        </is>
      </c>
      <c r="D632" s="28" t="inlineStr">
        <is>
          <t>Security, two-step verification and personal settings</t>
        </is>
      </c>
      <c r="E632" s="29" t="inlineStr">
        <is>
          <t>R</t>
        </is>
      </c>
      <c r="F632" s="28" t="inlineStr">
        <is>
          <t>Does it: carries out "Security, two-step verification and personal settings" in /settings/security, /settings/profile, /settings/appearance.</t>
        </is>
      </c>
      <c r="G632" s="28" t="inlineStr">
        <is>
          <t>/settings/security, /settings/profile, /settings/appearance</t>
        </is>
      </c>
      <c r="H632" s="29" t="inlineStr">
        <is>
          <t>Live</t>
        </is>
      </c>
    </row>
    <row r="633" ht="30" customHeight="1">
      <c r="A633" s="28" t="inlineStr">
        <is>
          <t>Sales Manager</t>
        </is>
      </c>
      <c r="B633" s="28" t="inlineStr">
        <is>
          <t>ORG-05</t>
        </is>
      </c>
      <c r="C633" s="28" t="inlineStr">
        <is>
          <t>Organisation &amp; master data</t>
        </is>
      </c>
      <c r="D633" s="28" t="inlineStr">
        <is>
          <t>Product, category and service catalogue maintenance</t>
        </is>
      </c>
      <c r="E633" s="29" t="inlineStr">
        <is>
          <t>C</t>
        </is>
      </c>
      <c r="F633" s="28" t="inlineStr">
        <is>
          <t>Planned (not built yet). Consulted: gives input, data or a decision when asked.</t>
        </is>
      </c>
      <c r="G633" s="28" t="inlineStr">
        <is>
          <t>-</t>
        </is>
      </c>
      <c r="H633" s="29" t="inlineStr">
        <is>
          <t>Planned</t>
        </is>
      </c>
    </row>
    <row r="634" ht="30" customHeight="1">
      <c r="A634" s="28" t="inlineStr">
        <is>
          <t>Sales Manager</t>
        </is>
      </c>
      <c r="B634" s="28" t="inlineStr">
        <is>
          <t>ORG-06</t>
        </is>
      </c>
      <c r="C634" s="28" t="inlineStr">
        <is>
          <t>Organisation &amp; master data</t>
        </is>
      </c>
      <c r="D634" s="28" t="inlineStr">
        <is>
          <t>Multi-entity and multi-currency</t>
        </is>
      </c>
      <c r="E634" s="29" t="inlineStr">
        <is>
          <t>C</t>
        </is>
      </c>
      <c r="F634" s="28" t="inlineStr">
        <is>
          <t>Planned (not built yet). Consulted: gives input, data or a decision when asked.</t>
        </is>
      </c>
      <c r="G634" s="28" t="inlineStr">
        <is>
          <t>-</t>
        </is>
      </c>
      <c r="H634" s="29" t="inlineStr">
        <is>
          <t>Planned</t>
        </is>
      </c>
    </row>
    <row r="635" ht="30" customHeight="1">
      <c r="A635" s="28" t="inlineStr">
        <is>
          <t>Sales Manager</t>
        </is>
      </c>
      <c r="B635" s="28" t="inlineStr">
        <is>
          <t>SAL-01</t>
        </is>
      </c>
      <c r="C635" s="28" t="inlineStr">
        <is>
          <t>Sales &amp; CRM</t>
        </is>
      </c>
      <c r="D635" s="28" t="inlineStr">
        <is>
          <t>Lead capture</t>
        </is>
      </c>
      <c r="E635" s="30" t="inlineStr">
        <is>
          <t>A</t>
        </is>
      </c>
      <c r="F635" s="28" t="inlineStr">
        <is>
          <t>Approves / signs off and owns the outcome; sees results in Sales Home, CEO Home, Scorecard (new leads).</t>
        </is>
      </c>
      <c r="G635" s="28" t="inlineStr">
        <is>
          <t>/sales</t>
        </is>
      </c>
      <c r="H635" s="29" t="inlineStr">
        <is>
          <t>Live</t>
        </is>
      </c>
    </row>
    <row r="636" ht="30" customHeight="1">
      <c r="A636" s="28" t="inlineStr">
        <is>
          <t>Sales Manager</t>
        </is>
      </c>
      <c r="B636" s="28" t="inlineStr">
        <is>
          <t>SAL-02</t>
        </is>
      </c>
      <c r="C636" s="28" t="inlineStr">
        <is>
          <t>Sales &amp; CRM</t>
        </is>
      </c>
      <c r="D636" s="28" t="inlineStr">
        <is>
          <t>Qualification, demo, proposal and negotiation</t>
        </is>
      </c>
      <c r="E636" s="30" t="inlineStr">
        <is>
          <t>A</t>
        </is>
      </c>
      <c r="F636" s="28" t="inlineStr">
        <is>
          <t>Approves / signs off and owns the outcome; sees results in Sales Home (pipeline by stage), CEO Home (revenue ahead).</t>
        </is>
      </c>
      <c r="G636" s="28" t="inlineStr">
        <is>
          <t>/sales, /sales/:id</t>
        </is>
      </c>
      <c r="H636" s="29" t="inlineStr">
        <is>
          <t>Live</t>
        </is>
      </c>
    </row>
    <row r="637" ht="17" customHeight="1">
      <c r="A637" s="28" t="inlineStr">
        <is>
          <t>Sales Manager</t>
        </is>
      </c>
      <c r="B637" s="28" t="inlineStr">
        <is>
          <t>SAL-03</t>
        </is>
      </c>
      <c r="C637" s="28" t="inlineStr">
        <is>
          <t>Sales &amp; CRM</t>
        </is>
      </c>
      <c r="D637" s="28" t="inlineStr">
        <is>
          <t>Log sales activities and next steps</t>
        </is>
      </c>
      <c r="E637" s="29" t="inlineStr">
        <is>
          <t>R</t>
        </is>
      </c>
      <c r="F637" s="28" t="inlineStr">
        <is>
          <t>Does it: carries out "Log sales activities and next steps" in /sales/:id.</t>
        </is>
      </c>
      <c r="G637" s="28" t="inlineStr">
        <is>
          <t>/sales/:id</t>
        </is>
      </c>
      <c r="H637" s="29" t="inlineStr">
        <is>
          <t>Live</t>
        </is>
      </c>
    </row>
    <row r="638" ht="30" customHeight="1">
      <c r="A638" s="28" t="inlineStr">
        <is>
          <t>Sales Manager</t>
        </is>
      </c>
      <c r="B638" s="28" t="inlineStr">
        <is>
          <t>SAL-04</t>
        </is>
      </c>
      <c r="C638" s="28" t="inlineStr">
        <is>
          <t>Sales &amp; CRM</t>
        </is>
      </c>
      <c r="D638" s="28" t="inlineStr">
        <is>
          <t>Close won and create the project</t>
        </is>
      </c>
      <c r="E638" s="30" t="inlineStr">
        <is>
          <t>A</t>
        </is>
      </c>
      <c r="F638" s="28" t="inlineStr">
        <is>
          <t>Approves / signs off and owns the outcome; sees results in Sales Home, CEO Home, Compensation.</t>
        </is>
      </c>
      <c r="G638" s="28" t="inlineStr">
        <is>
          <t>/sales/:id</t>
        </is>
      </c>
      <c r="H638" s="29" t="inlineStr">
        <is>
          <t>Live</t>
        </is>
      </c>
    </row>
    <row r="639" ht="30" customHeight="1">
      <c r="A639" s="28" t="inlineStr">
        <is>
          <t>Sales Manager</t>
        </is>
      </c>
      <c r="B639" s="28" t="inlineStr">
        <is>
          <t>SAL-05</t>
        </is>
      </c>
      <c r="C639" s="28" t="inlineStr">
        <is>
          <t>Sales &amp; CRM</t>
        </is>
      </c>
      <c r="D639" s="28" t="inlineStr">
        <is>
          <t>Close lost with reason</t>
        </is>
      </c>
      <c r="E639" s="30" t="inlineStr">
        <is>
          <t>A</t>
        </is>
      </c>
      <c r="F639" s="28" t="inlineStr">
        <is>
          <t>Approves / signs off and owns the outcome; sees results in Sales performance, Lost revenue.</t>
        </is>
      </c>
      <c r="G639" s="28" t="inlineStr">
        <is>
          <t>/sales</t>
        </is>
      </c>
      <c r="H639" s="29" t="inlineStr">
        <is>
          <t>Extended</t>
        </is>
      </c>
    </row>
    <row r="640" ht="17" customHeight="1">
      <c r="A640" s="28" t="inlineStr">
        <is>
          <t>Sales Manager</t>
        </is>
      </c>
      <c r="B640" s="28" t="inlineStr">
        <is>
          <t>SAL-06</t>
        </is>
      </c>
      <c r="C640" s="28" t="inlineStr">
        <is>
          <t>Sales &amp; CRM</t>
        </is>
      </c>
      <c r="D640" s="28" t="inlineStr">
        <is>
          <t>Stale deal follow-up</t>
        </is>
      </c>
      <c r="E640" s="29" t="inlineStr">
        <is>
          <t>R</t>
        </is>
      </c>
      <c r="F640" s="28" t="inlineStr">
        <is>
          <t>Does it: carries out "Stale deal follow-up" in /insights/stale_deals.</t>
        </is>
      </c>
      <c r="G640" s="28" t="inlineStr">
        <is>
          <t>/insights/stale_deals</t>
        </is>
      </c>
      <c r="H640" s="29" t="inlineStr">
        <is>
          <t>Live</t>
        </is>
      </c>
    </row>
    <row r="641" ht="30" customHeight="1">
      <c r="A641" s="28" t="inlineStr">
        <is>
          <t>Sales Manager</t>
        </is>
      </c>
      <c r="B641" s="28" t="inlineStr">
        <is>
          <t>SAL-07</t>
        </is>
      </c>
      <c r="C641" s="28" t="inlineStr">
        <is>
          <t>Sales &amp; CRM</t>
        </is>
      </c>
      <c r="D641" s="28" t="inlineStr">
        <is>
          <t>Sales performance review</t>
        </is>
      </c>
      <c r="E641" s="30" t="inlineStr">
        <is>
          <t>A</t>
        </is>
      </c>
      <c r="F641" s="28" t="inlineStr">
        <is>
          <t>Approves / signs off and owns the outcome; sees results in Sales performance, Sales Home.</t>
        </is>
      </c>
      <c r="G641" s="28" t="inlineStr">
        <is>
          <t>/sales/performance</t>
        </is>
      </c>
      <c r="H641" s="29" t="inlineStr">
        <is>
          <t>Live</t>
        </is>
      </c>
    </row>
    <row r="642" ht="17" customHeight="1">
      <c r="A642" s="28" t="inlineStr">
        <is>
          <t>Sales Manager</t>
        </is>
      </c>
      <c r="B642" s="28" t="inlineStr">
        <is>
          <t>SAL-08</t>
        </is>
      </c>
      <c r="C642" s="28" t="inlineStr">
        <is>
          <t>Sales &amp; CRM</t>
        </is>
      </c>
      <c r="D642" s="28" t="inlineStr">
        <is>
          <t>Quotation and estimate builder</t>
        </is>
      </c>
      <c r="E642" s="30" t="inlineStr">
        <is>
          <t>A</t>
        </is>
      </c>
      <c r="F642" s="28" t="inlineStr">
        <is>
          <t>Planned (not built yet). Approves / signs off and owns the outcome.</t>
        </is>
      </c>
      <c r="G642" s="28" t="inlineStr">
        <is>
          <t>-</t>
        </is>
      </c>
      <c r="H642" s="29" t="inlineStr">
        <is>
          <t>Planned</t>
        </is>
      </c>
    </row>
    <row r="643" ht="30" customHeight="1">
      <c r="A643" s="28" t="inlineStr">
        <is>
          <t>Sales Manager</t>
        </is>
      </c>
      <c r="B643" s="28" t="inlineStr">
        <is>
          <t>SAL-09</t>
        </is>
      </c>
      <c r="C643" s="28" t="inlineStr">
        <is>
          <t>Sales &amp; CRM</t>
        </is>
      </c>
      <c r="D643" s="28" t="inlineStr">
        <is>
          <t>Web and email lead capture</t>
        </is>
      </c>
      <c r="E643" s="29" t="inlineStr">
        <is>
          <t>R</t>
        </is>
      </c>
      <c r="F643" s="28" t="inlineStr">
        <is>
          <t>Planned (not built yet). Does it: carries out "Web and email lead capture".</t>
        </is>
      </c>
      <c r="G643" s="28" t="inlineStr">
        <is>
          <t>-</t>
        </is>
      </c>
      <c r="H643" s="29" t="inlineStr">
        <is>
          <t>Planned</t>
        </is>
      </c>
    </row>
    <row r="644" ht="30" customHeight="1">
      <c r="A644" s="28" t="inlineStr">
        <is>
          <t>Sales Manager</t>
        </is>
      </c>
      <c r="B644" s="28" t="inlineStr">
        <is>
          <t>CLI-01</t>
        </is>
      </c>
      <c r="C644" s="28" t="inlineStr">
        <is>
          <t>Client &amp; contract management</t>
        </is>
      </c>
      <c r="D644" s="28" t="inlineStr">
        <is>
          <t>Client master</t>
        </is>
      </c>
      <c r="E644" s="30" t="inlineStr">
        <is>
          <t>A</t>
        </is>
      </c>
      <c r="F644" s="28" t="inlineStr">
        <is>
          <t>Approves / signs off and owns the outcome; sees results in Clients &amp; contracts.</t>
        </is>
      </c>
      <c r="G644" s="28" t="inlineStr">
        <is>
          <t>/clients, /clients/:id</t>
        </is>
      </c>
      <c r="H644" s="29" t="inlineStr">
        <is>
          <t>New in v3</t>
        </is>
      </c>
    </row>
    <row r="645" ht="30" customHeight="1">
      <c r="A645" s="28" t="inlineStr">
        <is>
          <t>Sales Manager</t>
        </is>
      </c>
      <c r="B645" s="28" t="inlineStr">
        <is>
          <t>CLI-02</t>
        </is>
      </c>
      <c r="C645" s="28" t="inlineStr">
        <is>
          <t>Client &amp; contract management</t>
        </is>
      </c>
      <c r="D645" s="28" t="inlineStr">
        <is>
          <t>Contract register</t>
        </is>
      </c>
      <c r="E645" s="30" t="inlineStr">
        <is>
          <t>A</t>
        </is>
      </c>
      <c r="F645" s="28" t="inlineStr">
        <is>
          <t>Approves / signs off and owns the outcome; sees results in Clients &amp; contracts.</t>
        </is>
      </c>
      <c r="G645" s="28" t="inlineStr">
        <is>
          <t>/clients/:id</t>
        </is>
      </c>
      <c r="H645" s="29" t="inlineStr">
        <is>
          <t>New in v3</t>
        </is>
      </c>
    </row>
    <row r="646" ht="30" customHeight="1">
      <c r="A646" s="28" t="inlineStr">
        <is>
          <t>Sales Manager</t>
        </is>
      </c>
      <c r="B646" s="28" t="inlineStr">
        <is>
          <t>CLI-03</t>
        </is>
      </c>
      <c r="C646" s="28" t="inlineStr">
        <is>
          <t>Client &amp; contract management</t>
        </is>
      </c>
      <c r="D646" s="28" t="inlineStr">
        <is>
          <t>Contract renewal</t>
        </is>
      </c>
      <c r="E646" s="30" t="inlineStr">
        <is>
          <t>A</t>
        </is>
      </c>
      <c r="F646" s="28" t="inlineStr">
        <is>
          <t>Approves / signs off and owns the outcome; sees results in Clients &amp; contracts (renewals).</t>
        </is>
      </c>
      <c r="G646" s="28" t="inlineStr">
        <is>
          <t>/clients</t>
        </is>
      </c>
      <c r="H646" s="29" t="inlineStr">
        <is>
          <t>New in v3</t>
        </is>
      </c>
    </row>
    <row r="647" ht="30" customHeight="1">
      <c r="A647" s="28" t="inlineStr">
        <is>
          <t>Sales Manager</t>
        </is>
      </c>
      <c r="B647" s="28" t="inlineStr">
        <is>
          <t>CLI-04</t>
        </is>
      </c>
      <c r="C647" s="28" t="inlineStr">
        <is>
          <t>Client &amp; contract management</t>
        </is>
      </c>
      <c r="D647" s="28" t="inlineStr">
        <is>
          <t>Client health and 360 view</t>
        </is>
      </c>
      <c r="E647" s="30" t="inlineStr">
        <is>
          <t>A</t>
        </is>
      </c>
      <c r="F647" s="28" t="inlineStr">
        <is>
          <t>Approves / signs off and owns the outcome; sees results in Clients &amp; contracts, CEO (via clients).</t>
        </is>
      </c>
      <c r="G647" s="28" t="inlineStr">
        <is>
          <t>/clients/:id</t>
        </is>
      </c>
      <c r="H647" s="29" t="inlineStr">
        <is>
          <t>New in v3</t>
        </is>
      </c>
    </row>
    <row r="648" ht="30" customHeight="1">
      <c r="A648" s="28" t="inlineStr">
        <is>
          <t>Sales Manager</t>
        </is>
      </c>
      <c r="B648" s="28" t="inlineStr">
        <is>
          <t>CLI-06</t>
        </is>
      </c>
      <c r="C648" s="28" t="inlineStr">
        <is>
          <t>Client &amp; contract management</t>
        </is>
      </c>
      <c r="D648" s="28" t="inlineStr">
        <is>
          <t>Contract e-signature</t>
        </is>
      </c>
      <c r="E648" s="30" t="inlineStr">
        <is>
          <t>A</t>
        </is>
      </c>
      <c r="F648" s="28" t="inlineStr">
        <is>
          <t>Planned (not built yet). Approves / signs off and owns the outcome.</t>
        </is>
      </c>
      <c r="G648" s="28" t="inlineStr">
        <is>
          <t>-</t>
        </is>
      </c>
      <c r="H648" s="29" t="inlineStr">
        <is>
          <t>Planned</t>
        </is>
      </c>
    </row>
    <row r="649" ht="30" customHeight="1">
      <c r="A649" s="28" t="inlineStr">
        <is>
          <t>Sales Manager</t>
        </is>
      </c>
      <c r="B649" s="28" t="inlineStr">
        <is>
          <t>CLI-07</t>
        </is>
      </c>
      <c r="C649" s="28" t="inlineStr">
        <is>
          <t>Client &amp; contract management</t>
        </is>
      </c>
      <c r="D649" s="28" t="inlineStr">
        <is>
          <t>Customer satisfaction (CSAT / NPS)</t>
        </is>
      </c>
      <c r="E649" s="29" t="inlineStr">
        <is>
          <t>R</t>
        </is>
      </c>
      <c r="F649" s="28" t="inlineStr">
        <is>
          <t>Planned (not built yet). Does it: carries out "Customer satisfaction (CSAT / NPS)".</t>
        </is>
      </c>
      <c r="G649" s="28" t="inlineStr">
        <is>
          <t>-</t>
        </is>
      </c>
      <c r="H649" s="29" t="inlineStr">
        <is>
          <t>Planned</t>
        </is>
      </c>
    </row>
    <row r="650" ht="17" customHeight="1">
      <c r="A650" s="28" t="inlineStr">
        <is>
          <t>Sales Manager</t>
        </is>
      </c>
      <c r="B650" s="28" t="inlineStr">
        <is>
          <t>DEL-01</t>
        </is>
      </c>
      <c r="C650" s="28" t="inlineStr">
        <is>
          <t>Project delivery</t>
        </is>
      </c>
      <c r="D650" s="28" t="inlineStr">
        <is>
          <t>Create a project</t>
        </is>
      </c>
      <c r="E650" s="29" t="inlineStr">
        <is>
          <t>C</t>
        </is>
      </c>
      <c r="F650" s="28" t="inlineStr">
        <is>
          <t>Consulted: gives input, data or a decision when asked.</t>
        </is>
      </c>
      <c r="G650" s="28" t="inlineStr">
        <is>
          <t>/projects</t>
        </is>
      </c>
      <c r="H650" s="29" t="inlineStr">
        <is>
          <t>Live</t>
        </is>
      </c>
    </row>
    <row r="651" ht="30" customHeight="1">
      <c r="A651" s="28" t="inlineStr">
        <is>
          <t>Sales Manager</t>
        </is>
      </c>
      <c r="B651" s="28" t="inlineStr">
        <is>
          <t>DEL-13</t>
        </is>
      </c>
      <c r="C651" s="28" t="inlineStr">
        <is>
          <t>Project delivery</t>
        </is>
      </c>
      <c r="D651" s="28" t="inlineStr">
        <is>
          <t>Capacity planning and forecasting</t>
        </is>
      </c>
      <c r="E651" s="29" t="inlineStr">
        <is>
          <t>C</t>
        </is>
      </c>
      <c r="F651" s="28" t="inlineStr">
        <is>
          <t>Planned (not built yet). Consulted: gives input, data or a decision when asked.</t>
        </is>
      </c>
      <c r="G651" s="28" t="inlineStr">
        <is>
          <t>-</t>
        </is>
      </c>
      <c r="H651" s="29" t="inlineStr">
        <is>
          <t>Planned</t>
        </is>
      </c>
    </row>
    <row r="652" ht="17" customHeight="1">
      <c r="A652" s="28" t="inlineStr">
        <is>
          <t>Sales Manager</t>
        </is>
      </c>
      <c r="B652" s="28" t="inlineStr">
        <is>
          <t>TSK-01</t>
        </is>
      </c>
      <c r="C652" s="28" t="inlineStr">
        <is>
          <t>Task governance</t>
        </is>
      </c>
      <c r="D652" s="28" t="inlineStr">
        <is>
          <t>Manager assigns a task</t>
        </is>
      </c>
      <c r="E652" s="29" t="inlineStr">
        <is>
          <t>R</t>
        </is>
      </c>
      <c r="F652" s="28" t="inlineStr">
        <is>
          <t>Can assign to own reports (if any).</t>
        </is>
      </c>
      <c r="G652" s="28" t="inlineStr">
        <is>
          <t>/team-tasks?tab=assign</t>
        </is>
      </c>
      <c r="H652" s="29" t="inlineStr">
        <is>
          <t>New in v3</t>
        </is>
      </c>
    </row>
    <row r="653" ht="30" customHeight="1">
      <c r="A653" s="28" t="inlineStr">
        <is>
          <t>Sales Manager</t>
        </is>
      </c>
      <c r="B653" s="28" t="inlineStr">
        <is>
          <t>TSK-02</t>
        </is>
      </c>
      <c r="C653" s="28" t="inlineStr">
        <is>
          <t>Task governance</t>
        </is>
      </c>
      <c r="D653" s="28" t="inlineStr">
        <is>
          <t>Work my tasks (start, progress, covering)</t>
        </is>
      </c>
      <c r="E653" s="29" t="inlineStr">
        <is>
          <t>C</t>
        </is>
      </c>
      <c r="F653" s="28" t="inlineStr">
        <is>
          <t>Consulted: gives input, data or a decision when asked.</t>
        </is>
      </c>
      <c r="G653" s="28" t="inlineStr">
        <is>
          <t>/my-tasks, task drawer</t>
        </is>
      </c>
      <c r="H653" s="29" t="inlineStr">
        <is>
          <t>Live</t>
        </is>
      </c>
    </row>
    <row r="654" ht="30" customHeight="1">
      <c r="A654" s="28" t="inlineStr">
        <is>
          <t>Sales Manager</t>
        </is>
      </c>
      <c r="B654" s="28" t="inlineStr">
        <is>
          <t>TSK-04</t>
        </is>
      </c>
      <c r="C654" s="28" t="inlineStr">
        <is>
          <t>Task governance</t>
        </is>
      </c>
      <c r="D654" s="28" t="inlineStr">
        <is>
          <t>Submit task for review</t>
        </is>
      </c>
      <c r="E654" s="29" t="inlineStr">
        <is>
          <t>C</t>
        </is>
      </c>
      <c r="F654" s="28" t="inlineStr">
        <is>
          <t>Consulted: gives input, data or a decision when asked.</t>
        </is>
      </c>
      <c r="G654" s="28" t="inlineStr">
        <is>
          <t>Task drawer &gt; Submit for review</t>
        </is>
      </c>
      <c r="H654" s="29" t="inlineStr">
        <is>
          <t>New in v3</t>
        </is>
      </c>
    </row>
    <row r="655" ht="30" customHeight="1">
      <c r="A655" s="28" t="inlineStr">
        <is>
          <t>Sales Manager</t>
        </is>
      </c>
      <c r="B655" s="28" t="inlineStr">
        <is>
          <t>TSK-05</t>
        </is>
      </c>
      <c r="C655" s="28" t="inlineStr">
        <is>
          <t>Task governance</t>
        </is>
      </c>
      <c r="D655" s="28" t="inlineStr">
        <is>
          <t>Delay reason capture</t>
        </is>
      </c>
      <c r="E655" s="29" t="inlineStr">
        <is>
          <t>C</t>
        </is>
      </c>
      <c r="F655" s="28" t="inlineStr">
        <is>
          <t>Consulted: gives input, data or a decision when asked.</t>
        </is>
      </c>
      <c r="G655" s="28" t="inlineStr">
        <is>
          <t>Task drawer &gt; Submit for review</t>
        </is>
      </c>
      <c r="H655" s="29" t="inlineStr">
        <is>
          <t>New in v3</t>
        </is>
      </c>
    </row>
    <row r="656" ht="30" customHeight="1">
      <c r="A656" s="28" t="inlineStr">
        <is>
          <t>Sales Manager</t>
        </is>
      </c>
      <c r="B656" s="28" t="inlineStr">
        <is>
          <t>TSK-06</t>
        </is>
      </c>
      <c r="C656" s="28" t="inlineStr">
        <is>
          <t>Task governance</t>
        </is>
      </c>
      <c r="D656" s="28" t="inlineStr">
        <is>
          <t>Approve task with quality rating</t>
        </is>
      </c>
      <c r="E656" s="29" t="inlineStr">
        <is>
          <t>R</t>
        </is>
      </c>
      <c r="F656" s="28" t="inlineStr">
        <is>
          <t>Does it: carries out "Approve task with quality rating" in /inbox, /team-tasks?tab=review, task drawer.</t>
        </is>
      </c>
      <c r="G656" s="28" t="inlineStr">
        <is>
          <t>/inbox, /team-tasks?tab=review, task drawer</t>
        </is>
      </c>
      <c r="H656" s="29" t="inlineStr">
        <is>
          <t>Extended</t>
        </is>
      </c>
    </row>
    <row r="657" ht="17" customHeight="1">
      <c r="A657" s="28" t="inlineStr">
        <is>
          <t>Sales Manager</t>
        </is>
      </c>
      <c r="B657" s="28" t="inlineStr">
        <is>
          <t>TSK-07</t>
        </is>
      </c>
      <c r="C657" s="28" t="inlineStr">
        <is>
          <t>Task governance</t>
        </is>
      </c>
      <c r="D657" s="28" t="inlineStr">
        <is>
          <t>Send back with reason</t>
        </is>
      </c>
      <c r="E657" s="29" t="inlineStr">
        <is>
          <t>R</t>
        </is>
      </c>
      <c r="F657" s="28" t="inlineStr">
        <is>
          <t>Does it: carries out "Send back with reason" in /inbox, task drawer.</t>
        </is>
      </c>
      <c r="G657" s="28" t="inlineStr">
        <is>
          <t>/inbox, task drawer</t>
        </is>
      </c>
      <c r="H657" s="29" t="inlineStr">
        <is>
          <t>Extended</t>
        </is>
      </c>
    </row>
    <row r="658" ht="43" customHeight="1">
      <c r="A658" s="28" t="inlineStr">
        <is>
          <t>Sales Manager</t>
        </is>
      </c>
      <c r="B658" s="28" t="inlineStr">
        <is>
          <t>TSK-09</t>
        </is>
      </c>
      <c r="C658" s="28" t="inlineStr">
        <is>
          <t>Task governance</t>
        </is>
      </c>
      <c r="D658" s="28" t="inlineStr">
        <is>
          <t>Timeliness: early, on time or late</t>
        </is>
      </c>
      <c r="E658" s="29" t="inlineStr">
        <is>
          <t>I</t>
        </is>
      </c>
      <c r="F658" s="28" t="inlineStr">
        <is>
          <t>Informed; sees the outcome in CEO Home, HR &amp; operations Home, PM Home, Employee Home (task delivery panels), Team tasks &gt; Performance, Scorecard, Appraisals, Reports / Ask AI (tasks.timeliness).</t>
        </is>
      </c>
      <c r="G658" s="28" t="inlineStr">
        <is>
          <t>Computed (performance.ts)</t>
        </is>
      </c>
      <c r="H658" s="29" t="inlineStr">
        <is>
          <t>New in v3</t>
        </is>
      </c>
    </row>
    <row r="659" ht="17" customHeight="1">
      <c r="A659" s="28" t="inlineStr">
        <is>
          <t>Sales Manager</t>
        </is>
      </c>
      <c r="B659" s="28" t="inlineStr">
        <is>
          <t>TSK-10</t>
        </is>
      </c>
      <c r="C659" s="28" t="inlineStr">
        <is>
          <t>Task governance</t>
        </is>
      </c>
      <c r="D659" s="28" t="inlineStr">
        <is>
          <t>Team task monitoring</t>
        </is>
      </c>
      <c r="E659" s="29" t="inlineStr">
        <is>
          <t>C</t>
        </is>
      </c>
      <c r="F659" s="28" t="inlineStr">
        <is>
          <t>Consulted: gives input, data or a decision when asked.</t>
        </is>
      </c>
      <c r="G659" s="28" t="inlineStr">
        <is>
          <t>/team-tasks?tab=team</t>
        </is>
      </c>
      <c r="H659" s="29" t="inlineStr">
        <is>
          <t>New in v3</t>
        </is>
      </c>
    </row>
    <row r="660" ht="30" customHeight="1">
      <c r="A660" s="28" t="inlineStr">
        <is>
          <t>Sales Manager</t>
        </is>
      </c>
      <c r="B660" s="28" t="inlineStr">
        <is>
          <t>TSK-11</t>
        </is>
      </c>
      <c r="C660" s="28" t="inlineStr">
        <is>
          <t>Task governance</t>
        </is>
      </c>
      <c r="D660" s="28" t="inlineStr">
        <is>
          <t>Team and company delivery performance</t>
        </is>
      </c>
      <c r="E660" s="29" t="inlineStr">
        <is>
          <t>C</t>
        </is>
      </c>
      <c r="F660" s="28" t="inlineStr">
        <is>
          <t>Consulted: gives input, data or a decision when asked.</t>
        </is>
      </c>
      <c r="G660" s="28" t="inlineStr">
        <is>
          <t>/team-tasks?tab=performance, /home</t>
        </is>
      </c>
      <c r="H660" s="29" t="inlineStr">
        <is>
          <t>New in v3</t>
        </is>
      </c>
    </row>
    <row r="661" ht="17" customHeight="1">
      <c r="A661" s="28" t="inlineStr">
        <is>
          <t>Sales Manager</t>
        </is>
      </c>
      <c r="B661" s="28" t="inlineStr">
        <is>
          <t>TIM-01</t>
        </is>
      </c>
      <c r="C661" s="28" t="inlineStr">
        <is>
          <t>Time &amp; attendance</t>
        </is>
      </c>
      <c r="D661" s="28" t="inlineStr">
        <is>
          <t>Weekly timesheet entry</t>
        </is>
      </c>
      <c r="E661" s="29" t="inlineStr">
        <is>
          <t>R</t>
        </is>
      </c>
      <c r="F661" s="28" t="inlineStr">
        <is>
          <t>Does it: carries out "Weekly timesheet entry" in /timesheet.</t>
        </is>
      </c>
      <c r="G661" s="28" t="inlineStr">
        <is>
          <t>/timesheet</t>
        </is>
      </c>
      <c r="H661" s="29" t="inlineStr">
        <is>
          <t>Live</t>
        </is>
      </c>
    </row>
    <row r="662" ht="17" customHeight="1">
      <c r="A662" s="28" t="inlineStr">
        <is>
          <t>Sales Manager</t>
        </is>
      </c>
      <c r="B662" s="28" t="inlineStr">
        <is>
          <t>TIM-02</t>
        </is>
      </c>
      <c r="C662" s="28" t="inlineStr">
        <is>
          <t>Time &amp; attendance</t>
        </is>
      </c>
      <c r="D662" s="28" t="inlineStr">
        <is>
          <t>Submit the week</t>
        </is>
      </c>
      <c r="E662" s="29" t="inlineStr">
        <is>
          <t>R</t>
        </is>
      </c>
      <c r="F662" s="28" t="inlineStr">
        <is>
          <t>Does it: carries out "Submit the week" in /timesheet.</t>
        </is>
      </c>
      <c r="G662" s="28" t="inlineStr">
        <is>
          <t>/timesheet</t>
        </is>
      </c>
      <c r="H662" s="29" t="inlineStr">
        <is>
          <t>Live</t>
        </is>
      </c>
    </row>
    <row r="663" ht="30" customHeight="1">
      <c r="A663" s="28" t="inlineStr">
        <is>
          <t>Sales Manager</t>
        </is>
      </c>
      <c r="B663" s="28" t="inlineStr">
        <is>
          <t>TIM-04</t>
        </is>
      </c>
      <c r="C663" s="28" t="inlineStr">
        <is>
          <t>Time &amp; attendance</t>
        </is>
      </c>
      <c r="D663" s="28" t="inlineStr">
        <is>
          <t>Weekly lock and unlock request</t>
        </is>
      </c>
      <c r="E663" s="29" t="inlineStr">
        <is>
          <t>R</t>
        </is>
      </c>
      <c r="F663" s="28" t="inlineStr">
        <is>
          <t>Does it: carries out "Weekly lock and unlock request" in /timesheet, /approvals, /inbox.</t>
        </is>
      </c>
      <c r="G663" s="28" t="inlineStr">
        <is>
          <t>/timesheet, /approvals, /inbox</t>
        </is>
      </c>
      <c r="H663" s="29" t="inlineStr">
        <is>
          <t>Live</t>
        </is>
      </c>
    </row>
    <row r="664" ht="17" customHeight="1">
      <c r="A664" s="28" t="inlineStr">
        <is>
          <t>Sales Manager</t>
        </is>
      </c>
      <c r="B664" s="28" t="inlineStr">
        <is>
          <t>TIM-05</t>
        </is>
      </c>
      <c r="C664" s="28" t="inlineStr">
        <is>
          <t>Time &amp; attendance</t>
        </is>
      </c>
      <c r="D664" s="28" t="inlineStr">
        <is>
          <t>Daily update with proof</t>
        </is>
      </c>
      <c r="E664" s="29" t="inlineStr">
        <is>
          <t>R</t>
        </is>
      </c>
      <c r="F664" s="28" t="inlineStr">
        <is>
          <t>Does it: carries out "Daily update with proof" in /daily.</t>
        </is>
      </c>
      <c r="G664" s="28" t="inlineStr">
        <is>
          <t>/daily</t>
        </is>
      </c>
      <c r="H664" s="29" t="inlineStr">
        <is>
          <t>Live</t>
        </is>
      </c>
    </row>
    <row r="665" ht="17" customHeight="1">
      <c r="A665" s="28" t="inlineStr">
        <is>
          <t>Sales Manager</t>
        </is>
      </c>
      <c r="B665" s="28" t="inlineStr">
        <is>
          <t>TIM-06</t>
        </is>
      </c>
      <c r="C665" s="28" t="inlineStr">
        <is>
          <t>Time &amp; attendance</t>
        </is>
      </c>
      <c r="D665" s="28" t="inlineStr">
        <is>
          <t>Apply for leave</t>
        </is>
      </c>
      <c r="E665" s="29" t="inlineStr">
        <is>
          <t>R</t>
        </is>
      </c>
      <c r="F665" s="28" t="inlineStr">
        <is>
          <t>Does it: carries out "Apply for leave" in /leave.</t>
        </is>
      </c>
      <c r="G665" s="28" t="inlineStr">
        <is>
          <t>/leave</t>
        </is>
      </c>
      <c r="H665" s="29" t="inlineStr">
        <is>
          <t>New in v3</t>
        </is>
      </c>
    </row>
    <row r="666" ht="30" customHeight="1">
      <c r="A666" s="28" t="inlineStr">
        <is>
          <t>Sales Manager</t>
        </is>
      </c>
      <c r="B666" s="28" t="inlineStr">
        <is>
          <t>TIM-11</t>
        </is>
      </c>
      <c r="C666" s="28" t="inlineStr">
        <is>
          <t>Time &amp; attendance</t>
        </is>
      </c>
      <c r="D666" s="28" t="inlineStr">
        <is>
          <t>Attendance capture (office / WFH / client site)</t>
        </is>
      </c>
      <c r="E666" s="29" t="inlineStr">
        <is>
          <t>R</t>
        </is>
      </c>
      <c r="F666" s="28" t="inlineStr">
        <is>
          <t>Planned (not built yet). Does it: carries out "Attendance capture (office / WFH / client site)".</t>
        </is>
      </c>
      <c r="G666" s="28" t="inlineStr">
        <is>
          <t>-</t>
        </is>
      </c>
      <c r="H666" s="29" t="inlineStr">
        <is>
          <t>Planned</t>
        </is>
      </c>
    </row>
    <row r="667" ht="30" customHeight="1">
      <c r="A667" s="28" t="inlineStr">
        <is>
          <t>Sales Manager</t>
        </is>
      </c>
      <c r="B667" s="28" t="inlineStr">
        <is>
          <t>DOC-02</t>
        </is>
      </c>
      <c r="C667" s="28" t="inlineStr">
        <is>
          <t>Documents &amp; knowledge</t>
        </is>
      </c>
      <c r="D667" s="28" t="inlineStr">
        <is>
          <t>Employees access project documents</t>
        </is>
      </c>
      <c r="E667" s="29" t="inlineStr">
        <is>
          <t>R</t>
        </is>
      </c>
      <c r="F667" s="28" t="inlineStr">
        <is>
          <t>Does it: carries out "Employees access project documents" in /documents, /projects/:id/documents.</t>
        </is>
      </c>
      <c r="G667" s="28" t="inlineStr">
        <is>
          <t>/documents, /projects/:id/documents</t>
        </is>
      </c>
      <c r="H667" s="29" t="inlineStr">
        <is>
          <t>New in v3</t>
        </is>
      </c>
    </row>
    <row r="668" ht="17" customHeight="1">
      <c r="A668" s="28" t="inlineStr">
        <is>
          <t>Sales Manager</t>
        </is>
      </c>
      <c r="B668" s="28" t="inlineStr">
        <is>
          <t>DOC-04</t>
        </is>
      </c>
      <c r="C668" s="28" t="inlineStr">
        <is>
          <t>Documents &amp; knowledge</t>
        </is>
      </c>
      <c r="D668" s="28" t="inlineStr">
        <is>
          <t>Must-read acknowledgement</t>
        </is>
      </c>
      <c r="E668" s="29" t="inlineStr">
        <is>
          <t>R</t>
        </is>
      </c>
      <c r="F668" s="28" t="inlineStr">
        <is>
          <t>Does it: carries out "Must-read acknowledgement" in /inbox, /documents.</t>
        </is>
      </c>
      <c r="G668" s="28" t="inlineStr">
        <is>
          <t>/inbox, /documents</t>
        </is>
      </c>
      <c r="H668" s="29" t="inlineStr">
        <is>
          <t>New in v3</t>
        </is>
      </c>
    </row>
    <row r="669" ht="30" customHeight="1">
      <c r="A669" s="28" t="inlineStr">
        <is>
          <t>Sales Manager</t>
        </is>
      </c>
      <c r="B669" s="28" t="inlineStr">
        <is>
          <t>DOC-05</t>
        </is>
      </c>
      <c r="C669" s="28" t="inlineStr">
        <is>
          <t>Documents &amp; knowledge</t>
        </is>
      </c>
      <c r="D669" s="28" t="inlineStr">
        <is>
          <t>Company library and policies</t>
        </is>
      </c>
      <c r="E669" s="29" t="inlineStr">
        <is>
          <t>I</t>
        </is>
      </c>
      <c r="F669" s="28" t="inlineStr">
        <is>
          <t>Informed (NTF-14 must-read); sees the outcome in Documents, Approvals inbox; Reports / Ask AI (documents).</t>
        </is>
      </c>
      <c r="G669" s="28" t="inlineStr">
        <is>
          <t>/documents</t>
        </is>
      </c>
      <c r="H669" s="29" t="inlineStr">
        <is>
          <t>New in v3</t>
        </is>
      </c>
    </row>
    <row r="670" ht="30" customHeight="1">
      <c r="A670" s="28" t="inlineStr">
        <is>
          <t>Sales Manager</t>
        </is>
      </c>
      <c r="B670" s="28" t="inlineStr">
        <is>
          <t>DOC-07</t>
        </is>
      </c>
      <c r="C670" s="28" t="inlineStr">
        <is>
          <t>Documents &amp; knowledge</t>
        </is>
      </c>
      <c r="D670" s="28" t="inlineStr">
        <is>
          <t>Policy attestation cycles</t>
        </is>
      </c>
      <c r="E670" s="29" t="inlineStr">
        <is>
          <t>R</t>
        </is>
      </c>
      <c r="F670" s="28" t="inlineStr">
        <is>
          <t>Planned (not built yet). Does it: carries out "Policy attestation cycles".</t>
        </is>
      </c>
      <c r="G670" s="28" t="inlineStr">
        <is>
          <t>-</t>
        </is>
      </c>
      <c r="H670" s="29" t="inlineStr">
        <is>
          <t>Planned</t>
        </is>
      </c>
    </row>
    <row r="671" ht="17" customHeight="1">
      <c r="A671" s="28" t="inlineStr">
        <is>
          <t>Sales Manager</t>
        </is>
      </c>
      <c r="B671" s="28" t="inlineStr">
        <is>
          <t>DOC-08</t>
        </is>
      </c>
      <c r="C671" s="28" t="inlineStr">
        <is>
          <t>Documents &amp; knowledge</t>
        </is>
      </c>
      <c r="D671" s="28" t="inlineStr">
        <is>
          <t>Internal announcements</t>
        </is>
      </c>
      <c r="E671" s="29" t="inlineStr">
        <is>
          <t>I</t>
        </is>
      </c>
      <c r="F671" s="28" t="inlineStr">
        <is>
          <t>Planned (not built yet). Informed.</t>
        </is>
      </c>
      <c r="G671" s="28" t="inlineStr">
        <is>
          <t>-</t>
        </is>
      </c>
      <c r="H671" s="29" t="inlineStr">
        <is>
          <t>Planned</t>
        </is>
      </c>
    </row>
    <row r="672" ht="17" customHeight="1">
      <c r="A672" s="28" t="inlineStr">
        <is>
          <t>Sales Manager</t>
        </is>
      </c>
      <c r="B672" s="28" t="inlineStr">
        <is>
          <t>HR-08</t>
        </is>
      </c>
      <c r="C672" s="28" t="inlineStr">
        <is>
          <t>People &amp; HR</t>
        </is>
      </c>
      <c r="D672" s="28" t="inlineStr">
        <is>
          <t>Goals and KRAs</t>
        </is>
      </c>
      <c r="E672" s="29" t="inlineStr">
        <is>
          <t>R</t>
        </is>
      </c>
      <c r="F672" s="28" t="inlineStr">
        <is>
          <t>Does it: carries out "Goals and KRAs" in /performance.</t>
        </is>
      </c>
      <c r="G672" s="28" t="inlineStr">
        <is>
          <t>/performance</t>
        </is>
      </c>
      <c r="H672" s="29" t="inlineStr">
        <is>
          <t>New in v3</t>
        </is>
      </c>
    </row>
    <row r="673" ht="17" customHeight="1">
      <c r="A673" s="28" t="inlineStr">
        <is>
          <t>Sales Manager</t>
        </is>
      </c>
      <c r="B673" s="28" t="inlineStr">
        <is>
          <t>HR-09</t>
        </is>
      </c>
      <c r="C673" s="28" t="inlineStr">
        <is>
          <t>People &amp; HR</t>
        </is>
      </c>
      <c r="D673" s="28" t="inlineStr">
        <is>
          <t>Continuous feedback and praise</t>
        </is>
      </c>
      <c r="E673" s="29" t="inlineStr">
        <is>
          <t>R</t>
        </is>
      </c>
      <c r="F673" s="28" t="inlineStr">
        <is>
          <t>Does it: carries out "Continuous feedback and praise" in /performance.</t>
        </is>
      </c>
      <c r="G673" s="28" t="inlineStr">
        <is>
          <t>/performance</t>
        </is>
      </c>
      <c r="H673" s="29" t="inlineStr">
        <is>
          <t>New in v3</t>
        </is>
      </c>
    </row>
    <row r="674" ht="17" customHeight="1">
      <c r="A674" s="28" t="inlineStr">
        <is>
          <t>Sales Manager</t>
        </is>
      </c>
      <c r="B674" s="28" t="inlineStr">
        <is>
          <t>HR-11</t>
        </is>
      </c>
      <c r="C674" s="28" t="inlineStr">
        <is>
          <t>People &amp; HR</t>
        </is>
      </c>
      <c r="D674" s="28" t="inlineStr">
        <is>
          <t>Self review</t>
        </is>
      </c>
      <c r="E674" s="29" t="inlineStr">
        <is>
          <t>R</t>
        </is>
      </c>
      <c r="F674" s="28" t="inlineStr">
        <is>
          <t>Does it: carries out "Self review" in /appraisals/:id.</t>
        </is>
      </c>
      <c r="G674" s="28" t="inlineStr">
        <is>
          <t>/appraisals/:id</t>
        </is>
      </c>
      <c r="H674" s="29" t="inlineStr">
        <is>
          <t>New in v3</t>
        </is>
      </c>
    </row>
    <row r="675" ht="30" customHeight="1">
      <c r="A675" s="28" t="inlineStr">
        <is>
          <t>Sales Manager</t>
        </is>
      </c>
      <c r="B675" s="28" t="inlineStr">
        <is>
          <t>HR-14</t>
        </is>
      </c>
      <c r="C675" s="28" t="inlineStr">
        <is>
          <t>People &amp; HR</t>
        </is>
      </c>
      <c r="D675" s="28" t="inlineStr">
        <is>
          <t>Performance profile</t>
        </is>
      </c>
      <c r="E675" s="29" t="inlineStr">
        <is>
          <t>R</t>
        </is>
      </c>
      <c r="F675" s="28" t="inlineStr">
        <is>
          <t>Does it: carries out "Performance profile" in /performance, /performance/:userId.</t>
        </is>
      </c>
      <c r="G675" s="28" t="inlineStr">
        <is>
          <t>/performance, /performance/:userId</t>
        </is>
      </c>
      <c r="H675" s="29" t="inlineStr">
        <is>
          <t>New in v3</t>
        </is>
      </c>
    </row>
    <row r="676" ht="30" customHeight="1">
      <c r="A676" s="28" t="inlineStr">
        <is>
          <t>Sales Manager</t>
        </is>
      </c>
      <c r="B676" s="28" t="inlineStr">
        <is>
          <t>HR-17</t>
        </is>
      </c>
      <c r="C676" s="28" t="inlineStr">
        <is>
          <t>People &amp; HR</t>
        </is>
      </c>
      <c r="D676" s="28" t="inlineStr">
        <is>
          <t>Training and certification tracking</t>
        </is>
      </c>
      <c r="E676" s="29" t="inlineStr">
        <is>
          <t>R</t>
        </is>
      </c>
      <c r="F676" s="28" t="inlineStr">
        <is>
          <t>Planned (not built yet). Does it: carries out "Training and certification tracking".</t>
        </is>
      </c>
      <c r="G676" s="28" t="inlineStr">
        <is>
          <t>-</t>
        </is>
      </c>
      <c r="H676" s="29" t="inlineStr">
        <is>
          <t>Planned</t>
        </is>
      </c>
    </row>
    <row r="677" ht="30" customHeight="1">
      <c r="A677" s="28" t="inlineStr">
        <is>
          <t>Sales Manager</t>
        </is>
      </c>
      <c r="B677" s="28" t="inlineStr">
        <is>
          <t>HR-19</t>
        </is>
      </c>
      <c r="C677" s="28" t="inlineStr">
        <is>
          <t>People &amp; HR</t>
        </is>
      </c>
      <c r="D677" s="28" t="inlineStr">
        <is>
          <t>Employee self-service letters</t>
        </is>
      </c>
      <c r="E677" s="29" t="inlineStr">
        <is>
          <t>R</t>
        </is>
      </c>
      <c r="F677" s="28" t="inlineStr">
        <is>
          <t>Planned (not built yet). Does it: carries out "Employee self-service letters".</t>
        </is>
      </c>
      <c r="G677" s="28" t="inlineStr">
        <is>
          <t>-</t>
        </is>
      </c>
      <c r="H677" s="29" t="inlineStr">
        <is>
          <t>Planned</t>
        </is>
      </c>
    </row>
    <row r="678" ht="17" customHeight="1">
      <c r="A678" s="28" t="inlineStr">
        <is>
          <t>Sales Manager</t>
        </is>
      </c>
      <c r="B678" s="28" t="inlineStr">
        <is>
          <t>HR-20</t>
        </is>
      </c>
      <c r="C678" s="28" t="inlineStr">
        <is>
          <t>People &amp; HR</t>
        </is>
      </c>
      <c r="D678" s="28" t="inlineStr">
        <is>
          <t>Employee referral bonus</t>
        </is>
      </c>
      <c r="E678" s="29" t="inlineStr">
        <is>
          <t>R</t>
        </is>
      </c>
      <c r="F678" s="28" t="inlineStr">
        <is>
          <t>Planned (not built yet). Does it: carries out "Employee referral bonus".</t>
        </is>
      </c>
      <c r="G678" s="28" t="inlineStr">
        <is>
          <t>-</t>
        </is>
      </c>
      <c r="H678" s="29" t="inlineStr">
        <is>
          <t>Planned</t>
        </is>
      </c>
    </row>
    <row r="679" ht="17" customHeight="1">
      <c r="A679" s="28" t="inlineStr">
        <is>
          <t>Sales Manager</t>
        </is>
      </c>
      <c r="B679" s="28" t="inlineStr">
        <is>
          <t>PAY-02</t>
        </is>
      </c>
      <c r="C679" s="28" t="inlineStr">
        <is>
          <t>Payroll &amp; compensation</t>
        </is>
      </c>
      <c r="D679" s="28" t="inlineStr">
        <is>
          <t>Deductions for unapproved and LWP days</t>
        </is>
      </c>
      <c r="E679" s="29" t="inlineStr">
        <is>
          <t>I</t>
        </is>
      </c>
      <c r="F679" s="28" t="inlineStr">
        <is>
          <t>Informed; sees the outcome in Payroll.</t>
        </is>
      </c>
      <c r="G679" s="28" t="inlineStr">
        <is>
          <t>/payroll/:id</t>
        </is>
      </c>
      <c r="H679" s="29" t="inlineStr">
        <is>
          <t>Live</t>
        </is>
      </c>
    </row>
    <row r="680" ht="30" customHeight="1">
      <c r="A680" s="28" t="inlineStr">
        <is>
          <t>Sales Manager</t>
        </is>
      </c>
      <c r="B680" s="28" t="inlineStr">
        <is>
          <t>PAY-03</t>
        </is>
      </c>
      <c r="C680" s="28" t="inlineStr">
        <is>
          <t>Payroll &amp; compensation</t>
        </is>
      </c>
      <c r="D680" s="28" t="inlineStr">
        <is>
          <t>Sales variable pay</t>
        </is>
      </c>
      <c r="E680" s="29" t="inlineStr">
        <is>
          <t>I</t>
        </is>
      </c>
      <c r="F680" s="28" t="inlineStr">
        <is>
          <t>Informed; sees the outcome in Sales compensation, Sales Home (my target), Payroll.</t>
        </is>
      </c>
      <c r="G680" s="28" t="inlineStr">
        <is>
          <t>/sales/compensation</t>
        </is>
      </c>
      <c r="H680" s="29" t="inlineStr">
        <is>
          <t>Live</t>
        </is>
      </c>
    </row>
    <row r="681" ht="17" customHeight="1">
      <c r="A681" s="28" t="inlineStr">
        <is>
          <t>Sales Manager</t>
        </is>
      </c>
      <c r="B681" s="28" t="inlineStr">
        <is>
          <t>PAY-07</t>
        </is>
      </c>
      <c r="C681" s="28" t="inlineStr">
        <is>
          <t>Payroll &amp; compensation</t>
        </is>
      </c>
      <c r="D681" s="28" t="inlineStr">
        <is>
          <t>Payslips and Form 16</t>
        </is>
      </c>
      <c r="E681" s="29" t="inlineStr">
        <is>
          <t>R</t>
        </is>
      </c>
      <c r="F681" s="28" t="inlineStr">
        <is>
          <t>Planned (not built yet). Does it: carries out "Payslips and Form 16".</t>
        </is>
      </c>
      <c r="G681" s="28" t="inlineStr">
        <is>
          <t>-</t>
        </is>
      </c>
      <c r="H681" s="29" t="inlineStr">
        <is>
          <t>Planned</t>
        </is>
      </c>
    </row>
    <row r="682" ht="17" customHeight="1">
      <c r="A682" s="28" t="inlineStr">
        <is>
          <t>Sales Manager</t>
        </is>
      </c>
      <c r="B682" s="28" t="inlineStr">
        <is>
          <t>FIN-03</t>
        </is>
      </c>
      <c r="C682" s="28" t="inlineStr">
        <is>
          <t>Finance</t>
        </is>
      </c>
      <c r="D682" s="28" t="inlineStr">
        <is>
          <t>Receivables, ageing and DSO</t>
        </is>
      </c>
      <c r="E682" s="29" t="inlineStr">
        <is>
          <t>I</t>
        </is>
      </c>
      <c r="F682" s="28" t="inlineStr">
        <is>
          <t>Informed; sees the outcome in Invoices, Client health, Lost revenue.</t>
        </is>
      </c>
      <c r="G682" s="28" t="inlineStr">
        <is>
          <t>/finance/invoices</t>
        </is>
      </c>
      <c r="H682" s="29" t="inlineStr">
        <is>
          <t>Live</t>
        </is>
      </c>
    </row>
    <row r="683" ht="17" customHeight="1">
      <c r="A683" s="28" t="inlineStr">
        <is>
          <t>Sales Manager</t>
        </is>
      </c>
      <c r="B683" s="28" t="inlineStr">
        <is>
          <t>FIN-06</t>
        </is>
      </c>
      <c r="C683" s="28" t="inlineStr">
        <is>
          <t>Finance</t>
        </is>
      </c>
      <c r="D683" s="28" t="inlineStr">
        <is>
          <t>Cash runway and revenue ahead</t>
        </is>
      </c>
      <c r="E683" s="29" t="inlineStr">
        <is>
          <t>I</t>
        </is>
      </c>
      <c r="F683" s="28" t="inlineStr">
        <is>
          <t>Informed; sees the outcome in CEO Home (cash runway, revenue ahead), P&amp;L.</t>
        </is>
      </c>
      <c r="G683" s="28" t="inlineStr">
        <is>
          <t>/home, /finance/pnl</t>
        </is>
      </c>
      <c r="H683" s="29" t="inlineStr">
        <is>
          <t>Live</t>
        </is>
      </c>
    </row>
    <row r="684" ht="30" customHeight="1">
      <c r="A684" s="28" t="inlineStr">
        <is>
          <t>Sales Manager</t>
        </is>
      </c>
      <c r="B684" s="28" t="inlineStr">
        <is>
          <t>FIN-11</t>
        </is>
      </c>
      <c r="C684" s="28" t="inlineStr">
        <is>
          <t>Finance</t>
        </is>
      </c>
      <c r="D684" s="28" t="inlineStr">
        <is>
          <t>Collections follow-up and dunning</t>
        </is>
      </c>
      <c r="E684" s="29" t="inlineStr">
        <is>
          <t>R</t>
        </is>
      </c>
      <c r="F684" s="28" t="inlineStr">
        <is>
          <t>Planned (not built yet). Does it: carries out "Collections follow-up and dunning".</t>
        </is>
      </c>
      <c r="G684" s="28" t="inlineStr">
        <is>
          <t>-</t>
        </is>
      </c>
      <c r="H684" s="29" t="inlineStr">
        <is>
          <t>Planned</t>
        </is>
      </c>
    </row>
    <row r="685" ht="17" customHeight="1">
      <c r="A685" s="28" t="inlineStr">
        <is>
          <t>Sales Manager</t>
        </is>
      </c>
      <c r="B685" s="28" t="inlineStr">
        <is>
          <t>SPD-01</t>
        </is>
      </c>
      <c r="C685" s="28" t="inlineStr">
        <is>
          <t>Spend &amp; procurement</t>
        </is>
      </c>
      <c r="D685" s="28" t="inlineStr">
        <is>
          <t>Submit an expense claim</t>
        </is>
      </c>
      <c r="E685" s="29" t="inlineStr">
        <is>
          <t>R</t>
        </is>
      </c>
      <c r="F685" s="28" t="inlineStr">
        <is>
          <t>Does it: carries out "Submit an expense claim" in /expenses.</t>
        </is>
      </c>
      <c r="G685" s="28" t="inlineStr">
        <is>
          <t>/expenses</t>
        </is>
      </c>
      <c r="H685" s="29" t="inlineStr">
        <is>
          <t>New in v3</t>
        </is>
      </c>
    </row>
    <row r="686" ht="17" customHeight="1">
      <c r="A686" s="28" t="inlineStr">
        <is>
          <t>Sales Manager</t>
        </is>
      </c>
      <c r="B686" s="28" t="inlineStr">
        <is>
          <t>SPD-08</t>
        </is>
      </c>
      <c r="C686" s="28" t="inlineStr">
        <is>
          <t>Spend &amp; procurement</t>
        </is>
      </c>
      <c r="D686" s="28" t="inlineStr">
        <is>
          <t>Annual budget and monthly phasing</t>
        </is>
      </c>
      <c r="E686" s="29" t="inlineStr">
        <is>
          <t>C</t>
        </is>
      </c>
      <c r="F686" s="28" t="inlineStr">
        <is>
          <t>Consulted: gives input, data or a decision when asked.</t>
        </is>
      </c>
      <c r="G686" s="28" t="inlineStr">
        <is>
          <t>/budgets</t>
        </is>
      </c>
      <c r="H686" s="29" t="inlineStr">
        <is>
          <t>Extended</t>
        </is>
      </c>
    </row>
    <row r="687" ht="17" customHeight="1">
      <c r="A687" s="28" t="inlineStr">
        <is>
          <t>Sales Manager</t>
        </is>
      </c>
      <c r="B687" s="28" t="inlineStr">
        <is>
          <t>SPD-09</t>
        </is>
      </c>
      <c r="C687" s="28" t="inlineStr">
        <is>
          <t>Spend &amp; procurement</t>
        </is>
      </c>
      <c r="D687" s="28" t="inlineStr">
        <is>
          <t>Budget vs actual review</t>
        </is>
      </c>
      <c r="E687" s="29" t="inlineStr">
        <is>
          <t>C</t>
        </is>
      </c>
      <c r="F687" s="28" t="inlineStr">
        <is>
          <t>Consulted: gives input, data or a decision when asked.</t>
        </is>
      </c>
      <c r="G687" s="28" t="inlineStr">
        <is>
          <t>/budgets</t>
        </is>
      </c>
      <c r="H687" s="29" t="inlineStr">
        <is>
          <t>New in v3</t>
        </is>
      </c>
    </row>
    <row r="688" ht="30" customHeight="1">
      <c r="A688" s="28" t="inlineStr">
        <is>
          <t>Sales Manager</t>
        </is>
      </c>
      <c r="B688" s="28" t="inlineStr">
        <is>
          <t>SPD-11</t>
        </is>
      </c>
      <c r="C688" s="28" t="inlineStr">
        <is>
          <t>Spend &amp; procurement</t>
        </is>
      </c>
      <c r="D688" s="28" t="inlineStr">
        <is>
          <t>Travel requests and advances</t>
        </is>
      </c>
      <c r="E688" s="29" t="inlineStr">
        <is>
          <t>R</t>
        </is>
      </c>
      <c r="F688" s="28" t="inlineStr">
        <is>
          <t>Planned (not built yet). Does it: carries out "Travel requests and advances".</t>
        </is>
      </c>
      <c r="G688" s="28" t="inlineStr">
        <is>
          <t>-</t>
        </is>
      </c>
      <c r="H688" s="29" t="inlineStr">
        <is>
          <t>Planned</t>
        </is>
      </c>
    </row>
    <row r="689" ht="17" customHeight="1">
      <c r="A689" s="28" t="inlineStr">
        <is>
          <t>Sales Manager</t>
        </is>
      </c>
      <c r="B689" s="28" t="inlineStr">
        <is>
          <t>REV-02</t>
        </is>
      </c>
      <c r="C689" s="28" t="inlineStr">
        <is>
          <t>Revenue assurance</t>
        </is>
      </c>
      <c r="D689" s="28" t="inlineStr">
        <is>
          <t>Auto-detect: lost deals</t>
        </is>
      </c>
      <c r="E689" s="29" t="inlineStr">
        <is>
          <t>R</t>
        </is>
      </c>
      <c r="F689" s="28" t="inlineStr">
        <is>
          <t>Does it: carries out "Auto-detect: lost deals" in /leakage.</t>
        </is>
      </c>
      <c r="G689" s="28" t="inlineStr">
        <is>
          <t>/leakage</t>
        </is>
      </c>
      <c r="H689" s="29" t="inlineStr">
        <is>
          <t>New in v3</t>
        </is>
      </c>
    </row>
    <row r="690" ht="30" customHeight="1">
      <c r="A690" s="28" t="inlineStr">
        <is>
          <t>Sales Manager</t>
        </is>
      </c>
      <c r="B690" s="28" t="inlineStr">
        <is>
          <t>REV-04</t>
        </is>
      </c>
      <c r="C690" s="28" t="inlineStr">
        <is>
          <t>Revenue assurance</t>
        </is>
      </c>
      <c r="D690" s="28" t="inlineStr">
        <is>
          <t>Auto-detect: bad-debt risk</t>
        </is>
      </c>
      <c r="E690" s="29" t="inlineStr">
        <is>
          <t>I</t>
        </is>
      </c>
      <c r="F690" s="28" t="inlineStr">
        <is>
          <t>Informed; sees the outcome in Lost revenue, Client health; Reports / Ask AI (revenue_leakage).</t>
        </is>
      </c>
      <c r="G690" s="28" t="inlineStr">
        <is>
          <t>/leakage</t>
        </is>
      </c>
      <c r="H690" s="29" t="inlineStr">
        <is>
          <t>New in v3</t>
        </is>
      </c>
    </row>
    <row r="691" ht="30" customHeight="1">
      <c r="A691" s="28" t="inlineStr">
        <is>
          <t>Sales Manager</t>
        </is>
      </c>
      <c r="B691" s="28" t="inlineStr">
        <is>
          <t>REV-06</t>
        </is>
      </c>
      <c r="C691" s="28" t="inlineStr">
        <is>
          <t>Revenue assurance</t>
        </is>
      </c>
      <c r="D691" s="28" t="inlineStr">
        <is>
          <t>Record discounts, write-offs, credit notes, penalties and churn</t>
        </is>
      </c>
      <c r="E691" s="29" t="inlineStr">
        <is>
          <t>C</t>
        </is>
      </c>
      <c r="F691" s="28" t="inlineStr">
        <is>
          <t>Consulted: gives input, data or a decision when asked.</t>
        </is>
      </c>
      <c r="G691" s="28" t="inlineStr">
        <is>
          <t>/leakage</t>
        </is>
      </c>
      <c r="H691" s="29" t="inlineStr">
        <is>
          <t>New in v3</t>
        </is>
      </c>
    </row>
    <row r="692" ht="17" customHeight="1">
      <c r="A692" s="28" t="inlineStr">
        <is>
          <t>Sales Manager</t>
        </is>
      </c>
      <c r="B692" s="28" t="inlineStr">
        <is>
          <t>REV-07</t>
        </is>
      </c>
      <c r="C692" s="28" t="inlineStr">
        <is>
          <t>Revenue assurance</t>
        </is>
      </c>
      <c r="D692" s="28" t="inlineStr">
        <is>
          <t>Recovery tracking</t>
        </is>
      </c>
      <c r="E692" s="29" t="inlineStr">
        <is>
          <t>C</t>
        </is>
      </c>
      <c r="F692" s="28" t="inlineStr">
        <is>
          <t>Consulted: gives input, data or a decision when asked.</t>
        </is>
      </c>
      <c r="G692" s="28" t="inlineStr">
        <is>
          <t>/leakage</t>
        </is>
      </c>
      <c r="H692" s="29" t="inlineStr">
        <is>
          <t>New in v3</t>
        </is>
      </c>
    </row>
    <row r="693" ht="30" customHeight="1">
      <c r="A693" s="28" t="inlineStr">
        <is>
          <t>Sales Manager</t>
        </is>
      </c>
      <c r="B693" s="28" t="inlineStr">
        <is>
          <t>REV-08</t>
        </is>
      </c>
      <c r="C693" s="28" t="inlineStr">
        <is>
          <t>Revenue assurance</t>
        </is>
      </c>
      <c r="D693" s="28" t="inlineStr">
        <is>
          <t>Discount approval workflow</t>
        </is>
      </c>
      <c r="E693" s="29" t="inlineStr">
        <is>
          <t>R</t>
        </is>
      </c>
      <c r="F693" s="28" t="inlineStr">
        <is>
          <t>Planned (not built yet). Does it: carries out "Discount approval workflow".</t>
        </is>
      </c>
      <c r="G693" s="28" t="inlineStr">
        <is>
          <t>-</t>
        </is>
      </c>
      <c r="H693" s="29" t="inlineStr">
        <is>
          <t>Planned</t>
        </is>
      </c>
    </row>
    <row r="694" ht="30" customHeight="1">
      <c r="A694" s="28" t="inlineStr">
        <is>
          <t>Sales Manager</t>
        </is>
      </c>
      <c r="B694" s="28" t="inlineStr">
        <is>
          <t>GOV-01</t>
        </is>
      </c>
      <c r="C694" s="28" t="inlineStr">
        <is>
          <t>Strategy &amp; governance</t>
        </is>
      </c>
      <c r="D694" s="28" t="inlineStr">
        <is>
          <t>Set objectives (company, team, personal)</t>
        </is>
      </c>
      <c r="E694" s="29" t="inlineStr">
        <is>
          <t>R</t>
        </is>
      </c>
      <c r="F694" s="28" t="inlineStr">
        <is>
          <t>Does it: carries out "Set objectives (company, team, personal)" in /okrs.</t>
        </is>
      </c>
      <c r="G694" s="28" t="inlineStr">
        <is>
          <t>/okrs</t>
        </is>
      </c>
      <c r="H694" s="29" t="inlineStr">
        <is>
          <t>New in v3</t>
        </is>
      </c>
    </row>
    <row r="695" ht="30" customHeight="1">
      <c r="A695" s="28" t="inlineStr">
        <is>
          <t>Sales Manager</t>
        </is>
      </c>
      <c r="B695" s="28" t="inlineStr">
        <is>
          <t>GOV-02</t>
        </is>
      </c>
      <c r="C695" s="28" t="inlineStr">
        <is>
          <t>Strategy &amp; governance</t>
        </is>
      </c>
      <c r="D695" s="28" t="inlineStr">
        <is>
          <t>Key results with automatic measures and check-ins</t>
        </is>
      </c>
      <c r="E695" s="29" t="inlineStr">
        <is>
          <t>R</t>
        </is>
      </c>
      <c r="F695" s="28" t="inlineStr">
        <is>
          <t>Does it: carries out "Key results with automatic measures and check-ins" in /okrs.</t>
        </is>
      </c>
      <c r="G695" s="28" t="inlineStr">
        <is>
          <t>/okrs</t>
        </is>
      </c>
      <c r="H695" s="29" t="inlineStr">
        <is>
          <t>New in v3</t>
        </is>
      </c>
    </row>
    <row r="696" ht="17" customHeight="1">
      <c r="A696" s="28" t="inlineStr">
        <is>
          <t>Sales Manager</t>
        </is>
      </c>
      <c r="B696" s="28" t="inlineStr">
        <is>
          <t>GOV-03</t>
        </is>
      </c>
      <c r="C696" s="28" t="inlineStr">
        <is>
          <t>Strategy &amp; governance</t>
        </is>
      </c>
      <c r="D696" s="28" t="inlineStr">
        <is>
          <t>Approvals inbox</t>
        </is>
      </c>
      <c r="E696" s="29" t="inlineStr">
        <is>
          <t>R</t>
        </is>
      </c>
      <c r="F696" s="28" t="inlineStr">
        <is>
          <t>Does it: carries out "Approvals inbox" in /inbox.</t>
        </is>
      </c>
      <c r="G696" s="28" t="inlineStr">
        <is>
          <t>/inbox</t>
        </is>
      </c>
      <c r="H696" s="29" t="inlineStr">
        <is>
          <t>Extended</t>
        </is>
      </c>
    </row>
    <row r="697" ht="17" customHeight="1">
      <c r="A697" s="28" t="inlineStr">
        <is>
          <t>Sales Manager</t>
        </is>
      </c>
      <c r="B697" s="28" t="inlineStr">
        <is>
          <t>GOV-05</t>
        </is>
      </c>
      <c r="C697" s="28" t="inlineStr">
        <is>
          <t>Strategy &amp; governance</t>
        </is>
      </c>
      <c r="D697" s="28" t="inlineStr">
        <is>
          <t>Notifications centre</t>
        </is>
      </c>
      <c r="E697" s="29" t="inlineStr">
        <is>
          <t>R</t>
        </is>
      </c>
      <c r="F697" s="28" t="inlineStr">
        <is>
          <t>Does it: carries out "Notifications centre" in /notifications.</t>
        </is>
      </c>
      <c r="G697" s="28" t="inlineStr">
        <is>
          <t>/notifications</t>
        </is>
      </c>
      <c r="H697" s="29" t="inlineStr">
        <is>
          <t>Live</t>
        </is>
      </c>
    </row>
    <row r="698" ht="17" customHeight="1">
      <c r="A698" s="28" t="inlineStr">
        <is>
          <t>Sales Manager</t>
        </is>
      </c>
      <c r="B698" s="28" t="inlineStr">
        <is>
          <t>GOV-06</t>
        </is>
      </c>
      <c r="C698" s="28" t="inlineStr">
        <is>
          <t>Strategy &amp; governance</t>
        </is>
      </c>
      <c r="D698" s="28" t="inlineStr">
        <is>
          <t>Weekly scorecard</t>
        </is>
      </c>
      <c r="E698" s="29" t="inlineStr">
        <is>
          <t>I</t>
        </is>
      </c>
      <c r="F698" s="28" t="inlineStr">
        <is>
          <t>Informed; sees the outcome in Scorecard.</t>
        </is>
      </c>
      <c r="G698" s="28" t="inlineStr">
        <is>
          <t>/scorecard</t>
        </is>
      </c>
      <c r="H698" s="29" t="inlineStr">
        <is>
          <t>Live</t>
        </is>
      </c>
    </row>
    <row r="699" ht="17" customHeight="1">
      <c r="A699" s="28" t="inlineStr">
        <is>
          <t>Sales Manager</t>
        </is>
      </c>
      <c r="B699" s="28" t="inlineStr">
        <is>
          <t>ANA-03</t>
        </is>
      </c>
      <c r="C699" s="28" t="inlineStr">
        <is>
          <t>Analytics &amp; AI</t>
        </is>
      </c>
      <c r="D699" s="28" t="inlineStr">
        <is>
          <t>Sales dashboard</t>
        </is>
      </c>
      <c r="E699" s="29" t="inlineStr">
        <is>
          <t>R</t>
        </is>
      </c>
      <c r="F699" s="28" t="inlineStr">
        <is>
          <t>Does it: carries out "Sales dashboard" in /home.</t>
        </is>
      </c>
      <c r="G699" s="28" t="inlineStr">
        <is>
          <t>/home</t>
        </is>
      </c>
      <c r="H699" s="29" t="inlineStr">
        <is>
          <t>Live</t>
        </is>
      </c>
    </row>
    <row r="700" ht="17" customHeight="1">
      <c r="A700" s="28" t="inlineStr">
        <is>
          <t>Sales Manager</t>
        </is>
      </c>
      <c r="B700" s="28" t="inlineStr">
        <is>
          <t>ANA-06</t>
        </is>
      </c>
      <c r="C700" s="28" t="inlineStr">
        <is>
          <t>Analytics &amp; AI</t>
        </is>
      </c>
      <c r="D700" s="28" t="inlineStr">
        <is>
          <t>Insights views</t>
        </is>
      </c>
      <c r="E700" s="29" t="inlineStr">
        <is>
          <t>R</t>
        </is>
      </c>
      <c r="F700" s="28" t="inlineStr">
        <is>
          <t>Does it: carries out "Insights views" in /insights, /insights/:view.</t>
        </is>
      </c>
      <c r="G700" s="28" t="inlineStr">
        <is>
          <t>/insights, /insights/:view</t>
        </is>
      </c>
      <c r="H700" s="29" t="inlineStr">
        <is>
          <t>Live</t>
        </is>
      </c>
    </row>
    <row r="701" ht="30" customHeight="1">
      <c r="A701" s="28" t="inlineStr">
        <is>
          <t>Sales Manager</t>
        </is>
      </c>
      <c r="B701" s="28" t="inlineStr">
        <is>
          <t>ANA-07</t>
        </is>
      </c>
      <c r="C701" s="28" t="inlineStr">
        <is>
          <t>Analytics &amp; AI</t>
        </is>
      </c>
      <c r="D701" s="28" t="inlineStr">
        <is>
          <t>Custom report builder and exports</t>
        </is>
      </c>
      <c r="E701" s="29" t="inlineStr">
        <is>
          <t>R</t>
        </is>
      </c>
      <c r="F701" s="28" t="inlineStr">
        <is>
          <t>Does it: carries out "Custom report builder and exports" in /reports, /reports/new, /reports/:id.</t>
        </is>
      </c>
      <c r="G701" s="28" t="inlineStr">
        <is>
          <t>/reports, /reports/new, /reports/:id</t>
        </is>
      </c>
      <c r="H701" s="29" t="inlineStr">
        <is>
          <t>Extended</t>
        </is>
      </c>
    </row>
    <row r="702" ht="17" customHeight="1">
      <c r="A702" s="28" t="inlineStr">
        <is>
          <t>Sales Manager</t>
        </is>
      </c>
      <c r="B702" s="28" t="inlineStr">
        <is>
          <t>ANA-08</t>
        </is>
      </c>
      <c r="C702" s="28" t="inlineStr">
        <is>
          <t>Analytics &amp; AI</t>
        </is>
      </c>
      <c r="D702" s="28" t="inlineStr">
        <is>
          <t>Ask AI and AI report planning</t>
        </is>
      </c>
      <c r="E702" s="29" t="inlineStr">
        <is>
          <t>R</t>
        </is>
      </c>
      <c r="F702" s="28" t="inlineStr">
        <is>
          <t>Does it: carries out "Ask AI and AI report planning" in /ai.</t>
        </is>
      </c>
      <c r="G702" s="28" t="inlineStr">
        <is>
          <t>/ai</t>
        </is>
      </c>
      <c r="H702" s="29" t="inlineStr">
        <is>
          <t>Extended</t>
        </is>
      </c>
    </row>
    <row r="703" ht="17" customHeight="1">
      <c r="A703" s="28" t="inlineStr">
        <is>
          <t>Sales Manager</t>
        </is>
      </c>
      <c r="B703" s="28" t="inlineStr">
        <is>
          <t>ANA-09</t>
        </is>
      </c>
      <c r="C703" s="28" t="inlineStr">
        <is>
          <t>Analytics &amp; AI</t>
        </is>
      </c>
      <c r="D703" s="28" t="inlineStr">
        <is>
          <t>Scheduled email reports</t>
        </is>
      </c>
      <c r="E703" s="29" t="inlineStr">
        <is>
          <t>R</t>
        </is>
      </c>
      <c r="F703" s="28" t="inlineStr">
        <is>
          <t>Planned (not built yet). Does it: carries out "Scheduled email reports".</t>
        </is>
      </c>
      <c r="G703" s="28" t="inlineStr">
        <is>
          <t>-</t>
        </is>
      </c>
      <c r="H703" s="29" t="inlineStr">
        <is>
          <t>Planned</t>
        </is>
      </c>
    </row>
    <row r="704" ht="17" customHeight="1">
      <c r="A704" s="28" t="inlineStr">
        <is>
          <t>Sales Manager</t>
        </is>
      </c>
      <c r="B704" s="28" t="inlineStr">
        <is>
          <t>ANA-10</t>
        </is>
      </c>
      <c r="C704" s="28" t="inlineStr">
        <is>
          <t>Analytics &amp; AI</t>
        </is>
      </c>
      <c r="D704" s="28" t="inlineStr">
        <is>
          <t>Report datasets for v3 processes</t>
        </is>
      </c>
      <c r="E704" s="29" t="inlineStr">
        <is>
          <t>C</t>
        </is>
      </c>
      <c r="F704" s="28" t="inlineStr">
        <is>
          <t>Consulted: gives input, data or a decision when asked.</t>
        </is>
      </c>
      <c r="G704" s="28" t="inlineStr">
        <is>
          <t>/reports/new, /ai</t>
        </is>
      </c>
      <c r="H704" s="29" t="inlineStr">
        <is>
          <t>New in v3</t>
        </is>
      </c>
    </row>
    <row r="705" ht="30" customHeight="1">
      <c r="A705" s="28" t="inlineStr">
        <is>
          <t>Sales Manager</t>
        </is>
      </c>
      <c r="B705" s="28" t="inlineStr">
        <is>
          <t>ACC-05</t>
        </is>
      </c>
      <c r="C705" s="28" t="inlineStr">
        <is>
          <t>Access, master data &amp; controls</t>
        </is>
      </c>
      <c r="D705" s="28" t="inlineStr">
        <is>
          <t>First sign-in: forced password change</t>
        </is>
      </c>
      <c r="E705" s="29" t="inlineStr">
        <is>
          <t>R</t>
        </is>
      </c>
      <c r="F705" s="28" t="inlineStr">
        <is>
          <t>Does it: carries out "First sign-in: forced password change" in /welcome/password.</t>
        </is>
      </c>
      <c r="G705" s="28" t="inlineStr">
        <is>
          <t>/welcome/password</t>
        </is>
      </c>
      <c r="H705" s="29" t="inlineStr">
        <is>
          <t>New in v4</t>
        </is>
      </c>
    </row>
    <row r="706" ht="30" customHeight="1">
      <c r="A706" s="28" t="inlineStr">
        <is>
          <t>Sales Manager</t>
        </is>
      </c>
      <c r="B706" s="28" t="inlineStr">
        <is>
          <t>ACC-09</t>
        </is>
      </c>
      <c r="C706" s="28" t="inlineStr">
        <is>
          <t>Access, master data &amp; controls</t>
        </is>
      </c>
      <c r="D706" s="28" t="inlineStr">
        <is>
          <t>One login: screens, actions and data scope by permission</t>
        </is>
      </c>
      <c r="E706" s="29" t="inlineStr">
        <is>
          <t>I</t>
        </is>
      </c>
      <c r="F706" s="28" t="inlineStr">
        <is>
          <t>Informed; sees the outcome in All.</t>
        </is>
      </c>
      <c r="G706" s="28" t="inlineStr">
        <is>
          <t>All screens</t>
        </is>
      </c>
      <c r="H706" s="29" t="inlineStr">
        <is>
          <t>New in v4</t>
        </is>
      </c>
    </row>
    <row r="707" ht="30" customHeight="1">
      <c r="A707" s="28" t="inlineStr">
        <is>
          <t>Sales Manager</t>
        </is>
      </c>
      <c r="B707" s="28" t="inlineStr">
        <is>
          <t>WF-03</t>
        </is>
      </c>
      <c r="C707" s="28" t="inlineStr">
        <is>
          <t>Access, master data &amp; controls</t>
        </is>
      </c>
      <c r="D707" s="28" t="inlineStr">
        <is>
          <t>Multi-step routing, SLA and escalation at run time</t>
        </is>
      </c>
      <c r="E707" s="29" t="inlineStr">
        <is>
          <t>R</t>
        </is>
      </c>
      <c r="F707" s="28" t="inlineStr">
        <is>
          <t>Does it: carries out "Multi-step routing, SLA and escalation at run time" in /inbox.</t>
        </is>
      </c>
      <c r="G707" s="28" t="inlineStr">
        <is>
          <t>/inbox</t>
        </is>
      </c>
      <c r="H707" s="29" t="inlineStr">
        <is>
          <t>New in v4</t>
        </is>
      </c>
    </row>
    <row r="708" ht="30" customHeight="1">
      <c r="A708" s="28" t="inlineStr">
        <is>
          <t>Sales Executive</t>
        </is>
      </c>
      <c r="B708" s="28" t="inlineStr">
        <is>
          <t>WS-03</t>
        </is>
      </c>
      <c r="C708" s="28" t="inlineStr">
        <is>
          <t>Workspace &amp; access</t>
        </is>
      </c>
      <c r="D708" s="28" t="inlineStr">
        <is>
          <t>Sign in, lockout and password reset</t>
        </is>
      </c>
      <c r="E708" s="29" t="inlineStr">
        <is>
          <t>R</t>
        </is>
      </c>
      <c r="F708" s="28" t="inlineStr">
        <is>
          <t>Does it: carries out "Sign in, lockout and password reset" in /login, /reset-password.</t>
        </is>
      </c>
      <c r="G708" s="28" t="inlineStr">
        <is>
          <t>/login, /reset-password</t>
        </is>
      </c>
      <c r="H708" s="29" t="inlineStr">
        <is>
          <t>Extended</t>
        </is>
      </c>
    </row>
    <row r="709" ht="43" customHeight="1">
      <c r="A709" s="28" t="inlineStr">
        <is>
          <t>Sales Executive</t>
        </is>
      </c>
      <c r="B709" s="28" t="inlineStr">
        <is>
          <t>WS-08</t>
        </is>
      </c>
      <c r="C709" s="28" t="inlineStr">
        <is>
          <t>Workspace &amp; access</t>
        </is>
      </c>
      <c r="D709" s="28" t="inlineStr">
        <is>
          <t>Security, two-step verification and personal settings</t>
        </is>
      </c>
      <c r="E709" s="29" t="inlineStr">
        <is>
          <t>R</t>
        </is>
      </c>
      <c r="F709" s="28" t="inlineStr">
        <is>
          <t>Does it: carries out "Security, two-step verification and personal settings" in /settings/security, /settings/profile, /settings/appearance.</t>
        </is>
      </c>
      <c r="G709" s="28" t="inlineStr">
        <is>
          <t>/settings/security, /settings/profile, /settings/appearance</t>
        </is>
      </c>
      <c r="H709" s="29" t="inlineStr">
        <is>
          <t>Live</t>
        </is>
      </c>
    </row>
    <row r="710" ht="30" customHeight="1">
      <c r="A710" s="28" t="inlineStr">
        <is>
          <t>Sales Executive</t>
        </is>
      </c>
      <c r="B710" s="28" t="inlineStr">
        <is>
          <t>ORG-05</t>
        </is>
      </c>
      <c r="C710" s="28" t="inlineStr">
        <is>
          <t>Organisation &amp; master data</t>
        </is>
      </c>
      <c r="D710" s="28" t="inlineStr">
        <is>
          <t>Product, category and service catalogue maintenance</t>
        </is>
      </c>
      <c r="E710" s="29" t="inlineStr">
        <is>
          <t>C</t>
        </is>
      </c>
      <c r="F710" s="28" t="inlineStr">
        <is>
          <t>Planned (not built yet). Consulted: gives input, data or a decision when asked.</t>
        </is>
      </c>
      <c r="G710" s="28" t="inlineStr">
        <is>
          <t>-</t>
        </is>
      </c>
      <c r="H710" s="29" t="inlineStr">
        <is>
          <t>Planned</t>
        </is>
      </c>
    </row>
    <row r="711" ht="30" customHeight="1">
      <c r="A711" s="28" t="inlineStr">
        <is>
          <t>Sales Executive</t>
        </is>
      </c>
      <c r="B711" s="28" t="inlineStr">
        <is>
          <t>ORG-06</t>
        </is>
      </c>
      <c r="C711" s="28" t="inlineStr">
        <is>
          <t>Organisation &amp; master data</t>
        </is>
      </c>
      <c r="D711" s="28" t="inlineStr">
        <is>
          <t>Multi-entity and multi-currency</t>
        </is>
      </c>
      <c r="E711" s="29" t="inlineStr">
        <is>
          <t>C</t>
        </is>
      </c>
      <c r="F711" s="28" t="inlineStr">
        <is>
          <t>Planned (not built yet). Consulted: gives input, data or a decision when asked.</t>
        </is>
      </c>
      <c r="G711" s="28" t="inlineStr">
        <is>
          <t>-</t>
        </is>
      </c>
      <c r="H711" s="29" t="inlineStr">
        <is>
          <t>Planned</t>
        </is>
      </c>
    </row>
    <row r="712" ht="17" customHeight="1">
      <c r="A712" s="28" t="inlineStr">
        <is>
          <t>Sales Executive</t>
        </is>
      </c>
      <c r="B712" s="28" t="inlineStr">
        <is>
          <t>SAL-01</t>
        </is>
      </c>
      <c r="C712" s="28" t="inlineStr">
        <is>
          <t>Sales &amp; CRM</t>
        </is>
      </c>
      <c r="D712" s="28" t="inlineStr">
        <is>
          <t>Lead capture</t>
        </is>
      </c>
      <c r="E712" s="29" t="inlineStr">
        <is>
          <t>R</t>
        </is>
      </c>
      <c r="F712" s="28" t="inlineStr">
        <is>
          <t>Does it: carries out "Lead capture" in /sales.</t>
        </is>
      </c>
      <c r="G712" s="28" t="inlineStr">
        <is>
          <t>/sales</t>
        </is>
      </c>
      <c r="H712" s="29" t="inlineStr">
        <is>
          <t>Live</t>
        </is>
      </c>
    </row>
    <row r="713" ht="30" customHeight="1">
      <c r="A713" s="28" t="inlineStr">
        <is>
          <t>Sales Executive</t>
        </is>
      </c>
      <c r="B713" s="28" t="inlineStr">
        <is>
          <t>SAL-02</t>
        </is>
      </c>
      <c r="C713" s="28" t="inlineStr">
        <is>
          <t>Sales &amp; CRM</t>
        </is>
      </c>
      <c r="D713" s="28" t="inlineStr">
        <is>
          <t>Qualification, demo, proposal and negotiation</t>
        </is>
      </c>
      <c r="E713" s="29" t="inlineStr">
        <is>
          <t>R</t>
        </is>
      </c>
      <c r="F713" s="28" t="inlineStr">
        <is>
          <t>Does it: carries out "Qualification, demo, proposal and negotiation" in /sales, /sales/:id.</t>
        </is>
      </c>
      <c r="G713" s="28" t="inlineStr">
        <is>
          <t>/sales, /sales/:id</t>
        </is>
      </c>
      <c r="H713" s="29" t="inlineStr">
        <is>
          <t>Live</t>
        </is>
      </c>
    </row>
    <row r="714" ht="17" customHeight="1">
      <c r="A714" s="28" t="inlineStr">
        <is>
          <t>Sales Executive</t>
        </is>
      </c>
      <c r="B714" s="28" t="inlineStr">
        <is>
          <t>SAL-03</t>
        </is>
      </c>
      <c r="C714" s="28" t="inlineStr">
        <is>
          <t>Sales &amp; CRM</t>
        </is>
      </c>
      <c r="D714" s="28" t="inlineStr">
        <is>
          <t>Log sales activities and next steps</t>
        </is>
      </c>
      <c r="E714" s="29" t="inlineStr">
        <is>
          <t>R</t>
        </is>
      </c>
      <c r="F714" s="28" t="inlineStr">
        <is>
          <t>Does it: carries out "Log sales activities and next steps" in /sales/:id.</t>
        </is>
      </c>
      <c r="G714" s="28" t="inlineStr">
        <is>
          <t>/sales/:id</t>
        </is>
      </c>
      <c r="H714" s="29" t="inlineStr">
        <is>
          <t>Live</t>
        </is>
      </c>
    </row>
    <row r="715" ht="17" customHeight="1">
      <c r="A715" s="28" t="inlineStr">
        <is>
          <t>Sales Executive</t>
        </is>
      </c>
      <c r="B715" s="28" t="inlineStr">
        <is>
          <t>SAL-04</t>
        </is>
      </c>
      <c r="C715" s="28" t="inlineStr">
        <is>
          <t>Sales &amp; CRM</t>
        </is>
      </c>
      <c r="D715" s="28" t="inlineStr">
        <is>
          <t>Close won and create the project</t>
        </is>
      </c>
      <c r="E715" s="29" t="inlineStr">
        <is>
          <t>R</t>
        </is>
      </c>
      <c r="F715" s="28" t="inlineStr">
        <is>
          <t>Does it: carries out "Close won and create the project" in /sales/:id.</t>
        </is>
      </c>
      <c r="G715" s="28" t="inlineStr">
        <is>
          <t>/sales/:id</t>
        </is>
      </c>
      <c r="H715" s="29" t="inlineStr">
        <is>
          <t>Live</t>
        </is>
      </c>
    </row>
    <row r="716" ht="17" customHeight="1">
      <c r="A716" s="28" t="inlineStr">
        <is>
          <t>Sales Executive</t>
        </is>
      </c>
      <c r="B716" s="28" t="inlineStr">
        <is>
          <t>SAL-05</t>
        </is>
      </c>
      <c r="C716" s="28" t="inlineStr">
        <is>
          <t>Sales &amp; CRM</t>
        </is>
      </c>
      <c r="D716" s="28" t="inlineStr">
        <is>
          <t>Close lost with reason</t>
        </is>
      </c>
      <c r="E716" s="29" t="inlineStr">
        <is>
          <t>R</t>
        </is>
      </c>
      <c r="F716" s="28" t="inlineStr">
        <is>
          <t>Does it: carries out "Close lost with reason" in /sales.</t>
        </is>
      </c>
      <c r="G716" s="28" t="inlineStr">
        <is>
          <t>/sales</t>
        </is>
      </c>
      <c r="H716" s="29" t="inlineStr">
        <is>
          <t>Extended</t>
        </is>
      </c>
    </row>
    <row r="717" ht="17" customHeight="1">
      <c r="A717" s="28" t="inlineStr">
        <is>
          <t>Sales Executive</t>
        </is>
      </c>
      <c r="B717" s="28" t="inlineStr">
        <is>
          <t>SAL-06</t>
        </is>
      </c>
      <c r="C717" s="28" t="inlineStr">
        <is>
          <t>Sales &amp; CRM</t>
        </is>
      </c>
      <c r="D717" s="28" t="inlineStr">
        <is>
          <t>Stale deal follow-up</t>
        </is>
      </c>
      <c r="E717" s="29" t="inlineStr">
        <is>
          <t>R</t>
        </is>
      </c>
      <c r="F717" s="28" t="inlineStr">
        <is>
          <t>Does it: carries out "Stale deal follow-up" in /insights/stale_deals.</t>
        </is>
      </c>
      <c r="G717" s="28" t="inlineStr">
        <is>
          <t>/insights/stale_deals</t>
        </is>
      </c>
      <c r="H717" s="29" t="inlineStr">
        <is>
          <t>Live</t>
        </is>
      </c>
    </row>
    <row r="718" ht="17" customHeight="1">
      <c r="A718" s="28" t="inlineStr">
        <is>
          <t>Sales Executive</t>
        </is>
      </c>
      <c r="B718" s="28" t="inlineStr">
        <is>
          <t>SAL-07</t>
        </is>
      </c>
      <c r="C718" s="28" t="inlineStr">
        <is>
          <t>Sales &amp; CRM</t>
        </is>
      </c>
      <c r="D718" s="28" t="inlineStr">
        <is>
          <t>Sales performance review</t>
        </is>
      </c>
      <c r="E718" s="29" t="inlineStr">
        <is>
          <t>R</t>
        </is>
      </c>
      <c r="F718" s="28" t="inlineStr">
        <is>
          <t>Does it: carries out "Sales performance review" in /sales/performance.</t>
        </is>
      </c>
      <c r="G718" s="28" t="inlineStr">
        <is>
          <t>/sales/performance</t>
        </is>
      </c>
      <c r="H718" s="29" t="inlineStr">
        <is>
          <t>Live</t>
        </is>
      </c>
    </row>
    <row r="719" ht="30" customHeight="1">
      <c r="A719" s="28" t="inlineStr">
        <is>
          <t>Sales Executive</t>
        </is>
      </c>
      <c r="B719" s="28" t="inlineStr">
        <is>
          <t>SAL-08</t>
        </is>
      </c>
      <c r="C719" s="28" t="inlineStr">
        <is>
          <t>Sales &amp; CRM</t>
        </is>
      </c>
      <c r="D719" s="28" t="inlineStr">
        <is>
          <t>Quotation and estimate builder</t>
        </is>
      </c>
      <c r="E719" s="29" t="inlineStr">
        <is>
          <t>R</t>
        </is>
      </c>
      <c r="F719" s="28" t="inlineStr">
        <is>
          <t>Planned (not built yet). Does it: carries out "Quotation and estimate builder".</t>
        </is>
      </c>
      <c r="G719" s="28" t="inlineStr">
        <is>
          <t>-</t>
        </is>
      </c>
      <c r="H719" s="29" t="inlineStr">
        <is>
          <t>Planned</t>
        </is>
      </c>
    </row>
    <row r="720" ht="30" customHeight="1">
      <c r="A720" s="28" t="inlineStr">
        <is>
          <t>Sales Executive</t>
        </is>
      </c>
      <c r="B720" s="28" t="inlineStr">
        <is>
          <t>SAL-09</t>
        </is>
      </c>
      <c r="C720" s="28" t="inlineStr">
        <is>
          <t>Sales &amp; CRM</t>
        </is>
      </c>
      <c r="D720" s="28" t="inlineStr">
        <is>
          <t>Web and email lead capture</t>
        </is>
      </c>
      <c r="E720" s="29" t="inlineStr">
        <is>
          <t>R</t>
        </is>
      </c>
      <c r="F720" s="28" t="inlineStr">
        <is>
          <t>Planned (not built yet). Does it: carries out "Web and email lead capture".</t>
        </is>
      </c>
      <c r="G720" s="28" t="inlineStr">
        <is>
          <t>-</t>
        </is>
      </c>
      <c r="H720" s="29" t="inlineStr">
        <is>
          <t>Planned</t>
        </is>
      </c>
    </row>
    <row r="721" ht="30" customHeight="1">
      <c r="A721" s="28" t="inlineStr">
        <is>
          <t>Sales Executive</t>
        </is>
      </c>
      <c r="B721" s="28" t="inlineStr">
        <is>
          <t>CLI-01</t>
        </is>
      </c>
      <c r="C721" s="28" t="inlineStr">
        <is>
          <t>Client &amp; contract management</t>
        </is>
      </c>
      <c r="D721" s="28" t="inlineStr">
        <is>
          <t>Client master</t>
        </is>
      </c>
      <c r="E721" s="29" t="inlineStr">
        <is>
          <t>R</t>
        </is>
      </c>
      <c r="F721" s="28" t="inlineStr">
        <is>
          <t>Does it: carries out "Client master" in /clients, /clients/:id.</t>
        </is>
      </c>
      <c r="G721" s="28" t="inlineStr">
        <is>
          <t>/clients, /clients/:id</t>
        </is>
      </c>
      <c r="H721" s="29" t="inlineStr">
        <is>
          <t>New in v3</t>
        </is>
      </c>
    </row>
    <row r="722" ht="30" customHeight="1">
      <c r="A722" s="28" t="inlineStr">
        <is>
          <t>Sales Executive</t>
        </is>
      </c>
      <c r="B722" s="28" t="inlineStr">
        <is>
          <t>CLI-02</t>
        </is>
      </c>
      <c r="C722" s="28" t="inlineStr">
        <is>
          <t>Client &amp; contract management</t>
        </is>
      </c>
      <c r="D722" s="28" t="inlineStr">
        <is>
          <t>Contract register</t>
        </is>
      </c>
      <c r="E722" s="29" t="inlineStr">
        <is>
          <t>R</t>
        </is>
      </c>
      <c r="F722" s="28" t="inlineStr">
        <is>
          <t>Does it: carries out "Contract register" in /clients/:id.</t>
        </is>
      </c>
      <c r="G722" s="28" t="inlineStr">
        <is>
          <t>/clients/:id</t>
        </is>
      </c>
      <c r="H722" s="29" t="inlineStr">
        <is>
          <t>New in v3</t>
        </is>
      </c>
    </row>
    <row r="723" ht="30" customHeight="1">
      <c r="A723" s="28" t="inlineStr">
        <is>
          <t>Sales Executive</t>
        </is>
      </c>
      <c r="B723" s="28" t="inlineStr">
        <is>
          <t>CLI-03</t>
        </is>
      </c>
      <c r="C723" s="28" t="inlineStr">
        <is>
          <t>Client &amp; contract management</t>
        </is>
      </c>
      <c r="D723" s="28" t="inlineStr">
        <is>
          <t>Contract renewal</t>
        </is>
      </c>
      <c r="E723" s="29" t="inlineStr">
        <is>
          <t>R</t>
        </is>
      </c>
      <c r="F723" s="28" t="inlineStr">
        <is>
          <t>Does it: carries out "Contract renewal" in /clients.</t>
        </is>
      </c>
      <c r="G723" s="28" t="inlineStr">
        <is>
          <t>/clients</t>
        </is>
      </c>
      <c r="H723" s="29" t="inlineStr">
        <is>
          <t>New in v3</t>
        </is>
      </c>
    </row>
    <row r="724" ht="30" customHeight="1">
      <c r="A724" s="28" t="inlineStr">
        <is>
          <t>Sales Executive</t>
        </is>
      </c>
      <c r="B724" s="28" t="inlineStr">
        <is>
          <t>CLI-04</t>
        </is>
      </c>
      <c r="C724" s="28" t="inlineStr">
        <is>
          <t>Client &amp; contract management</t>
        </is>
      </c>
      <c r="D724" s="28" t="inlineStr">
        <is>
          <t>Client health and 360 view</t>
        </is>
      </c>
      <c r="E724" s="29" t="inlineStr">
        <is>
          <t>R</t>
        </is>
      </c>
      <c r="F724" s="28" t="inlineStr">
        <is>
          <t>Does it: carries out "Client health and 360 view" in /clients/:id.</t>
        </is>
      </c>
      <c r="G724" s="28" t="inlineStr">
        <is>
          <t>/clients/:id</t>
        </is>
      </c>
      <c r="H724" s="29" t="inlineStr">
        <is>
          <t>New in v3</t>
        </is>
      </c>
    </row>
    <row r="725" ht="30" customHeight="1">
      <c r="A725" s="28" t="inlineStr">
        <is>
          <t>Sales Executive</t>
        </is>
      </c>
      <c r="B725" s="28" t="inlineStr">
        <is>
          <t>CLI-06</t>
        </is>
      </c>
      <c r="C725" s="28" t="inlineStr">
        <is>
          <t>Client &amp; contract management</t>
        </is>
      </c>
      <c r="D725" s="28" t="inlineStr">
        <is>
          <t>Contract e-signature</t>
        </is>
      </c>
      <c r="E725" s="29" t="inlineStr">
        <is>
          <t>R</t>
        </is>
      </c>
      <c r="F725" s="28" t="inlineStr">
        <is>
          <t>Planned (not built yet). Does it: carries out "Contract e-signature".</t>
        </is>
      </c>
      <c r="G725" s="28" t="inlineStr">
        <is>
          <t>-</t>
        </is>
      </c>
      <c r="H725" s="29" t="inlineStr">
        <is>
          <t>Planned</t>
        </is>
      </c>
    </row>
    <row r="726" ht="30" customHeight="1">
      <c r="A726" s="28" t="inlineStr">
        <is>
          <t>Sales Executive</t>
        </is>
      </c>
      <c r="B726" s="28" t="inlineStr">
        <is>
          <t>CLI-07</t>
        </is>
      </c>
      <c r="C726" s="28" t="inlineStr">
        <is>
          <t>Client &amp; contract management</t>
        </is>
      </c>
      <c r="D726" s="28" t="inlineStr">
        <is>
          <t>Customer satisfaction (CSAT / NPS)</t>
        </is>
      </c>
      <c r="E726" s="29" t="inlineStr">
        <is>
          <t>R</t>
        </is>
      </c>
      <c r="F726" s="28" t="inlineStr">
        <is>
          <t>Planned (not built yet). Does it: carries out "Customer satisfaction (CSAT / NPS)".</t>
        </is>
      </c>
      <c r="G726" s="28" t="inlineStr">
        <is>
          <t>-</t>
        </is>
      </c>
      <c r="H726" s="29" t="inlineStr">
        <is>
          <t>Planned</t>
        </is>
      </c>
    </row>
    <row r="727" ht="17" customHeight="1">
      <c r="A727" s="28" t="inlineStr">
        <is>
          <t>Sales Executive</t>
        </is>
      </c>
      <c r="B727" s="28" t="inlineStr">
        <is>
          <t>DEL-01</t>
        </is>
      </c>
      <c r="C727" s="28" t="inlineStr">
        <is>
          <t>Project delivery</t>
        </is>
      </c>
      <c r="D727" s="28" t="inlineStr">
        <is>
          <t>Create a project</t>
        </is>
      </c>
      <c r="E727" s="29" t="inlineStr">
        <is>
          <t>C</t>
        </is>
      </c>
      <c r="F727" s="28" t="inlineStr">
        <is>
          <t>Consulted: gives input, data or a decision when asked.</t>
        </is>
      </c>
      <c r="G727" s="28" t="inlineStr">
        <is>
          <t>/projects</t>
        </is>
      </c>
      <c r="H727" s="29" t="inlineStr">
        <is>
          <t>Live</t>
        </is>
      </c>
    </row>
    <row r="728" ht="30" customHeight="1">
      <c r="A728" s="28" t="inlineStr">
        <is>
          <t>Sales Executive</t>
        </is>
      </c>
      <c r="B728" s="28" t="inlineStr">
        <is>
          <t>DEL-13</t>
        </is>
      </c>
      <c r="C728" s="28" t="inlineStr">
        <is>
          <t>Project delivery</t>
        </is>
      </c>
      <c r="D728" s="28" t="inlineStr">
        <is>
          <t>Capacity planning and forecasting</t>
        </is>
      </c>
      <c r="E728" s="29" t="inlineStr">
        <is>
          <t>C</t>
        </is>
      </c>
      <c r="F728" s="28" t="inlineStr">
        <is>
          <t>Planned (not built yet). Consulted: gives input, data or a decision when asked.</t>
        </is>
      </c>
      <c r="G728" s="28" t="inlineStr">
        <is>
          <t>-</t>
        </is>
      </c>
      <c r="H728" s="29" t="inlineStr">
        <is>
          <t>Planned</t>
        </is>
      </c>
    </row>
    <row r="729" ht="30" customHeight="1">
      <c r="A729" s="28" t="inlineStr">
        <is>
          <t>Sales Executive</t>
        </is>
      </c>
      <c r="B729" s="28" t="inlineStr">
        <is>
          <t>TSK-01</t>
        </is>
      </c>
      <c r="C729" s="28" t="inlineStr">
        <is>
          <t>Task governance</t>
        </is>
      </c>
      <c r="D729" s="28" t="inlineStr">
        <is>
          <t>Manager assigns a task</t>
        </is>
      </c>
      <c r="E729" s="29" t="inlineStr">
        <is>
          <t>I</t>
        </is>
      </c>
      <c r="F729" s="28" t="inlineStr">
        <is>
          <t>Informed (NTF-14 task assigned); sees the outcome in Team tasks, My tasks, Employee Home (Today / This week).</t>
        </is>
      </c>
      <c r="G729" s="28" t="inlineStr">
        <is>
          <t>/team-tasks?tab=assign</t>
        </is>
      </c>
      <c r="H729" s="29" t="inlineStr">
        <is>
          <t>New in v3</t>
        </is>
      </c>
    </row>
    <row r="730" ht="30" customHeight="1">
      <c r="A730" s="28" t="inlineStr">
        <is>
          <t>Sales Executive</t>
        </is>
      </c>
      <c r="B730" s="28" t="inlineStr">
        <is>
          <t>TSK-02</t>
        </is>
      </c>
      <c r="C730" s="28" t="inlineStr">
        <is>
          <t>Task governance</t>
        </is>
      </c>
      <c r="D730" s="28" t="inlineStr">
        <is>
          <t>Work my tasks (start, progress, covering)</t>
        </is>
      </c>
      <c r="E730" s="29" t="inlineStr">
        <is>
          <t>C</t>
        </is>
      </c>
      <c r="F730" s="28" t="inlineStr">
        <is>
          <t>Consulted: gives input, data or a decision when asked.</t>
        </is>
      </c>
      <c r="G730" s="28" t="inlineStr">
        <is>
          <t>/my-tasks, task drawer</t>
        </is>
      </c>
      <c r="H730" s="29" t="inlineStr">
        <is>
          <t>Live</t>
        </is>
      </c>
    </row>
    <row r="731" ht="30" customHeight="1">
      <c r="A731" s="28" t="inlineStr">
        <is>
          <t>Sales Executive</t>
        </is>
      </c>
      <c r="B731" s="28" t="inlineStr">
        <is>
          <t>TSK-04</t>
        </is>
      </c>
      <c r="C731" s="28" t="inlineStr">
        <is>
          <t>Task governance</t>
        </is>
      </c>
      <c r="D731" s="28" t="inlineStr">
        <is>
          <t>Submit task for review</t>
        </is>
      </c>
      <c r="E731" s="29" t="inlineStr">
        <is>
          <t>C</t>
        </is>
      </c>
      <c r="F731" s="28" t="inlineStr">
        <is>
          <t>Consulted: gives input, data or a decision when asked.</t>
        </is>
      </c>
      <c r="G731" s="28" t="inlineStr">
        <is>
          <t>Task drawer &gt; Submit for review</t>
        </is>
      </c>
      <c r="H731" s="29" t="inlineStr">
        <is>
          <t>New in v3</t>
        </is>
      </c>
    </row>
    <row r="732" ht="30" customHeight="1">
      <c r="A732" s="28" t="inlineStr">
        <is>
          <t>Sales Executive</t>
        </is>
      </c>
      <c r="B732" s="28" t="inlineStr">
        <is>
          <t>TSK-05</t>
        </is>
      </c>
      <c r="C732" s="28" t="inlineStr">
        <is>
          <t>Task governance</t>
        </is>
      </c>
      <c r="D732" s="28" t="inlineStr">
        <is>
          <t>Delay reason capture</t>
        </is>
      </c>
      <c r="E732" s="29" t="inlineStr">
        <is>
          <t>C</t>
        </is>
      </c>
      <c r="F732" s="28" t="inlineStr">
        <is>
          <t>Consulted: gives input, data or a decision when asked.</t>
        </is>
      </c>
      <c r="G732" s="28" t="inlineStr">
        <is>
          <t>Task drawer &gt; Submit for review</t>
        </is>
      </c>
      <c r="H732" s="29" t="inlineStr">
        <is>
          <t>New in v3</t>
        </is>
      </c>
    </row>
    <row r="733" ht="56" customHeight="1">
      <c r="A733" s="28" t="inlineStr">
        <is>
          <t>Sales Executive</t>
        </is>
      </c>
      <c r="B733" s="28" t="inlineStr">
        <is>
          <t>TSK-06</t>
        </is>
      </c>
      <c r="C733" s="28" t="inlineStr">
        <is>
          <t>Task governance</t>
        </is>
      </c>
      <c r="D733" s="28" t="inlineStr">
        <is>
          <t>Approve task with quality rating</t>
        </is>
      </c>
      <c r="E733" s="29" t="inlineStr">
        <is>
          <t>I</t>
        </is>
      </c>
      <c r="F733" s="28" t="inlineStr">
        <is>
          <t>Informed (NTF-05 task approved (with rating and timeliness)); sees the outcome in CEO/PM/Employee Home (task delivery), Team tasks &gt; Performance, My performance, Appraisal metrics, Scorecard; Reports / Ask AI (tasks, task_reviews).</t>
        </is>
      </c>
      <c r="G733" s="28" t="inlineStr">
        <is>
          <t>/inbox, /team-tasks?tab=review, task drawer</t>
        </is>
      </c>
      <c r="H733" s="29" t="inlineStr">
        <is>
          <t>Extended</t>
        </is>
      </c>
    </row>
    <row r="734" ht="30" customHeight="1">
      <c r="A734" s="28" t="inlineStr">
        <is>
          <t>Sales Executive</t>
        </is>
      </c>
      <c r="B734" s="28" t="inlineStr">
        <is>
          <t>TSK-07</t>
        </is>
      </c>
      <c r="C734" s="28" t="inlineStr">
        <is>
          <t>Task governance</t>
        </is>
      </c>
      <c r="D734" s="28" t="inlineStr">
        <is>
          <t>Send back with reason</t>
        </is>
      </c>
      <c r="E734" s="29" t="inlineStr">
        <is>
          <t>I</t>
        </is>
      </c>
      <c r="F734" s="28" t="inlineStr">
        <is>
          <t>Informed (NTF-06 task sent back); sees the outcome in Team tasks (sent-back count, last reason), My performance; Reports / Ask AI (task_reviews).</t>
        </is>
      </c>
      <c r="G734" s="28" t="inlineStr">
        <is>
          <t>/inbox, task drawer</t>
        </is>
      </c>
      <c r="H734" s="29" t="inlineStr">
        <is>
          <t>Extended</t>
        </is>
      </c>
    </row>
    <row r="735" ht="43" customHeight="1">
      <c r="A735" s="28" t="inlineStr">
        <is>
          <t>Sales Executive</t>
        </is>
      </c>
      <c r="B735" s="28" t="inlineStr">
        <is>
          <t>TSK-09</t>
        </is>
      </c>
      <c r="C735" s="28" t="inlineStr">
        <is>
          <t>Task governance</t>
        </is>
      </c>
      <c r="D735" s="28" t="inlineStr">
        <is>
          <t>Timeliness: early, on time or late</t>
        </is>
      </c>
      <c r="E735" s="29" t="inlineStr">
        <is>
          <t>I</t>
        </is>
      </c>
      <c r="F735" s="28" t="inlineStr">
        <is>
          <t>Informed; sees the outcome in CEO Home, HR &amp; operations Home, PM Home, Employee Home (task delivery panels), Team tasks &gt; Performance, Scorecard, Appraisals, Reports / Ask AI (tasks.timeliness).</t>
        </is>
      </c>
      <c r="G735" s="28" t="inlineStr">
        <is>
          <t>Computed (performance.ts)</t>
        </is>
      </c>
      <c r="H735" s="29" t="inlineStr">
        <is>
          <t>New in v3</t>
        </is>
      </c>
    </row>
    <row r="736" ht="17" customHeight="1">
      <c r="A736" s="28" t="inlineStr">
        <is>
          <t>Sales Executive</t>
        </is>
      </c>
      <c r="B736" s="28" t="inlineStr">
        <is>
          <t>TSK-10</t>
        </is>
      </c>
      <c r="C736" s="28" t="inlineStr">
        <is>
          <t>Task governance</t>
        </is>
      </c>
      <c r="D736" s="28" t="inlineStr">
        <is>
          <t>Team task monitoring</t>
        </is>
      </c>
      <c r="E736" s="29" t="inlineStr">
        <is>
          <t>C</t>
        </is>
      </c>
      <c r="F736" s="28" t="inlineStr">
        <is>
          <t>Consulted: gives input, data or a decision when asked.</t>
        </is>
      </c>
      <c r="G736" s="28" t="inlineStr">
        <is>
          <t>/team-tasks?tab=team</t>
        </is>
      </c>
      <c r="H736" s="29" t="inlineStr">
        <is>
          <t>New in v3</t>
        </is>
      </c>
    </row>
    <row r="737" ht="30" customHeight="1">
      <c r="A737" s="28" t="inlineStr">
        <is>
          <t>Sales Executive</t>
        </is>
      </c>
      <c r="B737" s="28" t="inlineStr">
        <is>
          <t>TSK-11</t>
        </is>
      </c>
      <c r="C737" s="28" t="inlineStr">
        <is>
          <t>Task governance</t>
        </is>
      </c>
      <c r="D737" s="28" t="inlineStr">
        <is>
          <t>Team and company delivery performance</t>
        </is>
      </c>
      <c r="E737" s="29" t="inlineStr">
        <is>
          <t>C</t>
        </is>
      </c>
      <c r="F737" s="28" t="inlineStr">
        <is>
          <t>Consulted: gives input, data or a decision when asked.</t>
        </is>
      </c>
      <c r="G737" s="28" t="inlineStr">
        <is>
          <t>/team-tasks?tab=performance, /home</t>
        </is>
      </c>
      <c r="H737" s="29" t="inlineStr">
        <is>
          <t>New in v3</t>
        </is>
      </c>
    </row>
    <row r="738" ht="17" customHeight="1">
      <c r="A738" s="28" t="inlineStr">
        <is>
          <t>Sales Executive</t>
        </is>
      </c>
      <c r="B738" s="28" t="inlineStr">
        <is>
          <t>TIM-01</t>
        </is>
      </c>
      <c r="C738" s="28" t="inlineStr">
        <is>
          <t>Time &amp; attendance</t>
        </is>
      </c>
      <c r="D738" s="28" t="inlineStr">
        <is>
          <t>Weekly timesheet entry</t>
        </is>
      </c>
      <c r="E738" s="29" t="inlineStr">
        <is>
          <t>R</t>
        </is>
      </c>
      <c r="F738" s="28" t="inlineStr">
        <is>
          <t>Does it: carries out "Weekly timesheet entry" in /timesheet.</t>
        </is>
      </c>
      <c r="G738" s="28" t="inlineStr">
        <is>
          <t>/timesheet</t>
        </is>
      </c>
      <c r="H738" s="29" t="inlineStr">
        <is>
          <t>Live</t>
        </is>
      </c>
    </row>
    <row r="739" ht="17" customHeight="1">
      <c r="A739" s="28" t="inlineStr">
        <is>
          <t>Sales Executive</t>
        </is>
      </c>
      <c r="B739" s="28" t="inlineStr">
        <is>
          <t>TIM-02</t>
        </is>
      </c>
      <c r="C739" s="28" t="inlineStr">
        <is>
          <t>Time &amp; attendance</t>
        </is>
      </c>
      <c r="D739" s="28" t="inlineStr">
        <is>
          <t>Submit the week</t>
        </is>
      </c>
      <c r="E739" s="29" t="inlineStr">
        <is>
          <t>R</t>
        </is>
      </c>
      <c r="F739" s="28" t="inlineStr">
        <is>
          <t>Does it: carries out "Submit the week" in /timesheet.</t>
        </is>
      </c>
      <c r="G739" s="28" t="inlineStr">
        <is>
          <t>/timesheet</t>
        </is>
      </c>
      <c r="H739" s="29" t="inlineStr">
        <is>
          <t>Live</t>
        </is>
      </c>
    </row>
    <row r="740" ht="30" customHeight="1">
      <c r="A740" s="28" t="inlineStr">
        <is>
          <t>Sales Executive</t>
        </is>
      </c>
      <c r="B740" s="28" t="inlineStr">
        <is>
          <t>TIM-04</t>
        </is>
      </c>
      <c r="C740" s="28" t="inlineStr">
        <is>
          <t>Time &amp; attendance</t>
        </is>
      </c>
      <c r="D740" s="28" t="inlineStr">
        <is>
          <t>Weekly lock and unlock request</t>
        </is>
      </c>
      <c r="E740" s="29" t="inlineStr">
        <is>
          <t>R</t>
        </is>
      </c>
      <c r="F740" s="28" t="inlineStr">
        <is>
          <t>Does it: carries out "Weekly lock and unlock request" in /timesheet, /approvals, /inbox.</t>
        </is>
      </c>
      <c r="G740" s="28" t="inlineStr">
        <is>
          <t>/timesheet, /approvals, /inbox</t>
        </is>
      </c>
      <c r="H740" s="29" t="inlineStr">
        <is>
          <t>Live</t>
        </is>
      </c>
    </row>
    <row r="741" ht="17" customHeight="1">
      <c r="A741" s="28" t="inlineStr">
        <is>
          <t>Sales Executive</t>
        </is>
      </c>
      <c r="B741" s="28" t="inlineStr">
        <is>
          <t>TIM-05</t>
        </is>
      </c>
      <c r="C741" s="28" t="inlineStr">
        <is>
          <t>Time &amp; attendance</t>
        </is>
      </c>
      <c r="D741" s="28" t="inlineStr">
        <is>
          <t>Daily update with proof</t>
        </is>
      </c>
      <c r="E741" s="29" t="inlineStr">
        <is>
          <t>R</t>
        </is>
      </c>
      <c r="F741" s="28" t="inlineStr">
        <is>
          <t>Does it: carries out "Daily update with proof" in /daily.</t>
        </is>
      </c>
      <c r="G741" s="28" t="inlineStr">
        <is>
          <t>/daily</t>
        </is>
      </c>
      <c r="H741" s="29" t="inlineStr">
        <is>
          <t>Live</t>
        </is>
      </c>
    </row>
    <row r="742" ht="17" customHeight="1">
      <c r="A742" s="28" t="inlineStr">
        <is>
          <t>Sales Executive</t>
        </is>
      </c>
      <c r="B742" s="28" t="inlineStr">
        <is>
          <t>TIM-06</t>
        </is>
      </c>
      <c r="C742" s="28" t="inlineStr">
        <is>
          <t>Time &amp; attendance</t>
        </is>
      </c>
      <c r="D742" s="28" t="inlineStr">
        <is>
          <t>Apply for leave</t>
        </is>
      </c>
      <c r="E742" s="29" t="inlineStr">
        <is>
          <t>R</t>
        </is>
      </c>
      <c r="F742" s="28" t="inlineStr">
        <is>
          <t>Does it: carries out "Apply for leave" in /leave.</t>
        </is>
      </c>
      <c r="G742" s="28" t="inlineStr">
        <is>
          <t>/leave</t>
        </is>
      </c>
      <c r="H742" s="29" t="inlineStr">
        <is>
          <t>New in v3</t>
        </is>
      </c>
    </row>
    <row r="743" ht="30" customHeight="1">
      <c r="A743" s="28" t="inlineStr">
        <is>
          <t>Sales Executive</t>
        </is>
      </c>
      <c r="B743" s="28" t="inlineStr">
        <is>
          <t>TIM-11</t>
        </is>
      </c>
      <c r="C743" s="28" t="inlineStr">
        <is>
          <t>Time &amp; attendance</t>
        </is>
      </c>
      <c r="D743" s="28" t="inlineStr">
        <is>
          <t>Attendance capture (office / WFH / client site)</t>
        </is>
      </c>
      <c r="E743" s="29" t="inlineStr">
        <is>
          <t>R</t>
        </is>
      </c>
      <c r="F743" s="28" t="inlineStr">
        <is>
          <t>Planned (not built yet). Does it: carries out "Attendance capture (office / WFH / client site)".</t>
        </is>
      </c>
      <c r="G743" s="28" t="inlineStr">
        <is>
          <t>-</t>
        </is>
      </c>
      <c r="H743" s="29" t="inlineStr">
        <is>
          <t>Planned</t>
        </is>
      </c>
    </row>
    <row r="744" ht="30" customHeight="1">
      <c r="A744" s="28" t="inlineStr">
        <is>
          <t>Sales Executive</t>
        </is>
      </c>
      <c r="B744" s="28" t="inlineStr">
        <is>
          <t>DOC-02</t>
        </is>
      </c>
      <c r="C744" s="28" t="inlineStr">
        <is>
          <t>Documents &amp; knowledge</t>
        </is>
      </c>
      <c r="D744" s="28" t="inlineStr">
        <is>
          <t>Employees access project documents</t>
        </is>
      </c>
      <c r="E744" s="29" t="inlineStr">
        <is>
          <t>R</t>
        </is>
      </c>
      <c r="F744" s="28" t="inlineStr">
        <is>
          <t>Does it: carries out "Employees access project documents" in /documents, /projects/:id/documents.</t>
        </is>
      </c>
      <c r="G744" s="28" t="inlineStr">
        <is>
          <t>/documents, /projects/:id/documents</t>
        </is>
      </c>
      <c r="H744" s="29" t="inlineStr">
        <is>
          <t>New in v3</t>
        </is>
      </c>
    </row>
    <row r="745" ht="17" customHeight="1">
      <c r="A745" s="28" t="inlineStr">
        <is>
          <t>Sales Executive</t>
        </is>
      </c>
      <c r="B745" s="28" t="inlineStr">
        <is>
          <t>DOC-04</t>
        </is>
      </c>
      <c r="C745" s="28" t="inlineStr">
        <is>
          <t>Documents &amp; knowledge</t>
        </is>
      </c>
      <c r="D745" s="28" t="inlineStr">
        <is>
          <t>Must-read acknowledgement</t>
        </is>
      </c>
      <c r="E745" s="29" t="inlineStr">
        <is>
          <t>R</t>
        </is>
      </c>
      <c r="F745" s="28" t="inlineStr">
        <is>
          <t>Does it: carries out "Must-read acknowledgement" in /inbox, /documents.</t>
        </is>
      </c>
      <c r="G745" s="28" t="inlineStr">
        <is>
          <t>/inbox, /documents</t>
        </is>
      </c>
      <c r="H745" s="29" t="inlineStr">
        <is>
          <t>New in v3</t>
        </is>
      </c>
    </row>
    <row r="746" ht="30" customHeight="1">
      <c r="A746" s="28" t="inlineStr">
        <is>
          <t>Sales Executive</t>
        </is>
      </c>
      <c r="B746" s="28" t="inlineStr">
        <is>
          <t>DOC-05</t>
        </is>
      </c>
      <c r="C746" s="28" t="inlineStr">
        <is>
          <t>Documents &amp; knowledge</t>
        </is>
      </c>
      <c r="D746" s="28" t="inlineStr">
        <is>
          <t>Company library and policies</t>
        </is>
      </c>
      <c r="E746" s="29" t="inlineStr">
        <is>
          <t>I</t>
        </is>
      </c>
      <c r="F746" s="28" t="inlineStr">
        <is>
          <t>Informed (NTF-14 must-read); sees the outcome in Documents, Approvals inbox; Reports / Ask AI (documents).</t>
        </is>
      </c>
      <c r="G746" s="28" t="inlineStr">
        <is>
          <t>/documents</t>
        </is>
      </c>
      <c r="H746" s="29" t="inlineStr">
        <is>
          <t>New in v3</t>
        </is>
      </c>
    </row>
    <row r="747" ht="30" customHeight="1">
      <c r="A747" s="28" t="inlineStr">
        <is>
          <t>Sales Executive</t>
        </is>
      </c>
      <c r="B747" s="28" t="inlineStr">
        <is>
          <t>DOC-07</t>
        </is>
      </c>
      <c r="C747" s="28" t="inlineStr">
        <is>
          <t>Documents &amp; knowledge</t>
        </is>
      </c>
      <c r="D747" s="28" t="inlineStr">
        <is>
          <t>Policy attestation cycles</t>
        </is>
      </c>
      <c r="E747" s="29" t="inlineStr">
        <is>
          <t>R</t>
        </is>
      </c>
      <c r="F747" s="28" t="inlineStr">
        <is>
          <t>Planned (not built yet). Does it: carries out "Policy attestation cycles".</t>
        </is>
      </c>
      <c r="G747" s="28" t="inlineStr">
        <is>
          <t>-</t>
        </is>
      </c>
      <c r="H747" s="29" t="inlineStr">
        <is>
          <t>Planned</t>
        </is>
      </c>
    </row>
    <row r="748" ht="17" customHeight="1">
      <c r="A748" s="28" t="inlineStr">
        <is>
          <t>Sales Executive</t>
        </is>
      </c>
      <c r="B748" s="28" t="inlineStr">
        <is>
          <t>DOC-08</t>
        </is>
      </c>
      <c r="C748" s="28" t="inlineStr">
        <is>
          <t>Documents &amp; knowledge</t>
        </is>
      </c>
      <c r="D748" s="28" t="inlineStr">
        <is>
          <t>Internal announcements</t>
        </is>
      </c>
      <c r="E748" s="29" t="inlineStr">
        <is>
          <t>I</t>
        </is>
      </c>
      <c r="F748" s="28" t="inlineStr">
        <is>
          <t>Planned (not built yet). Informed.</t>
        </is>
      </c>
      <c r="G748" s="28" t="inlineStr">
        <is>
          <t>-</t>
        </is>
      </c>
      <c r="H748" s="29" t="inlineStr">
        <is>
          <t>Planned</t>
        </is>
      </c>
    </row>
    <row r="749" ht="17" customHeight="1">
      <c r="A749" s="28" t="inlineStr">
        <is>
          <t>Sales Executive</t>
        </is>
      </c>
      <c r="B749" s="28" t="inlineStr">
        <is>
          <t>HR-08</t>
        </is>
      </c>
      <c r="C749" s="28" t="inlineStr">
        <is>
          <t>People &amp; HR</t>
        </is>
      </c>
      <c r="D749" s="28" t="inlineStr">
        <is>
          <t>Goals and KRAs</t>
        </is>
      </c>
      <c r="E749" s="29" t="inlineStr">
        <is>
          <t>R</t>
        </is>
      </c>
      <c r="F749" s="28" t="inlineStr">
        <is>
          <t>Does it: carries out "Goals and KRAs" in /performance.</t>
        </is>
      </c>
      <c r="G749" s="28" t="inlineStr">
        <is>
          <t>/performance</t>
        </is>
      </c>
      <c r="H749" s="29" t="inlineStr">
        <is>
          <t>New in v3</t>
        </is>
      </c>
    </row>
    <row r="750" ht="17" customHeight="1">
      <c r="A750" s="28" t="inlineStr">
        <is>
          <t>Sales Executive</t>
        </is>
      </c>
      <c r="B750" s="28" t="inlineStr">
        <is>
          <t>HR-09</t>
        </is>
      </c>
      <c r="C750" s="28" t="inlineStr">
        <is>
          <t>People &amp; HR</t>
        </is>
      </c>
      <c r="D750" s="28" t="inlineStr">
        <is>
          <t>Continuous feedback and praise</t>
        </is>
      </c>
      <c r="E750" s="29" t="inlineStr">
        <is>
          <t>R</t>
        </is>
      </c>
      <c r="F750" s="28" t="inlineStr">
        <is>
          <t>Does it: carries out "Continuous feedback and praise" in /performance.</t>
        </is>
      </c>
      <c r="G750" s="28" t="inlineStr">
        <is>
          <t>/performance</t>
        </is>
      </c>
      <c r="H750" s="29" t="inlineStr">
        <is>
          <t>New in v3</t>
        </is>
      </c>
    </row>
    <row r="751" ht="17" customHeight="1">
      <c r="A751" s="28" t="inlineStr">
        <is>
          <t>Sales Executive</t>
        </is>
      </c>
      <c r="B751" s="28" t="inlineStr">
        <is>
          <t>HR-11</t>
        </is>
      </c>
      <c r="C751" s="28" t="inlineStr">
        <is>
          <t>People &amp; HR</t>
        </is>
      </c>
      <c r="D751" s="28" t="inlineStr">
        <is>
          <t>Self review</t>
        </is>
      </c>
      <c r="E751" s="29" t="inlineStr">
        <is>
          <t>R</t>
        </is>
      </c>
      <c r="F751" s="28" t="inlineStr">
        <is>
          <t>Does it: carries out "Self review" in /appraisals/:id.</t>
        </is>
      </c>
      <c r="G751" s="28" t="inlineStr">
        <is>
          <t>/appraisals/:id</t>
        </is>
      </c>
      <c r="H751" s="29" t="inlineStr">
        <is>
          <t>New in v3</t>
        </is>
      </c>
    </row>
    <row r="752" ht="30" customHeight="1">
      <c r="A752" s="28" t="inlineStr">
        <is>
          <t>Sales Executive</t>
        </is>
      </c>
      <c r="B752" s="28" t="inlineStr">
        <is>
          <t>HR-14</t>
        </is>
      </c>
      <c r="C752" s="28" t="inlineStr">
        <is>
          <t>People &amp; HR</t>
        </is>
      </c>
      <c r="D752" s="28" t="inlineStr">
        <is>
          <t>Performance profile</t>
        </is>
      </c>
      <c r="E752" s="29" t="inlineStr">
        <is>
          <t>R</t>
        </is>
      </c>
      <c r="F752" s="28" t="inlineStr">
        <is>
          <t>Does it: carries out "Performance profile" in /performance, /performance/:userId.</t>
        </is>
      </c>
      <c r="G752" s="28" t="inlineStr">
        <is>
          <t>/performance, /performance/:userId</t>
        </is>
      </c>
      <c r="H752" s="29" t="inlineStr">
        <is>
          <t>New in v3</t>
        </is>
      </c>
    </row>
    <row r="753" ht="30" customHeight="1">
      <c r="A753" s="28" t="inlineStr">
        <is>
          <t>Sales Executive</t>
        </is>
      </c>
      <c r="B753" s="28" t="inlineStr">
        <is>
          <t>HR-17</t>
        </is>
      </c>
      <c r="C753" s="28" t="inlineStr">
        <is>
          <t>People &amp; HR</t>
        </is>
      </c>
      <c r="D753" s="28" t="inlineStr">
        <is>
          <t>Training and certification tracking</t>
        </is>
      </c>
      <c r="E753" s="29" t="inlineStr">
        <is>
          <t>R</t>
        </is>
      </c>
      <c r="F753" s="28" t="inlineStr">
        <is>
          <t>Planned (not built yet). Does it: carries out "Training and certification tracking".</t>
        </is>
      </c>
      <c r="G753" s="28" t="inlineStr">
        <is>
          <t>-</t>
        </is>
      </c>
      <c r="H753" s="29" t="inlineStr">
        <is>
          <t>Planned</t>
        </is>
      </c>
    </row>
    <row r="754" ht="30" customHeight="1">
      <c r="A754" s="28" t="inlineStr">
        <is>
          <t>Sales Executive</t>
        </is>
      </c>
      <c r="B754" s="28" t="inlineStr">
        <is>
          <t>HR-19</t>
        </is>
      </c>
      <c r="C754" s="28" t="inlineStr">
        <is>
          <t>People &amp; HR</t>
        </is>
      </c>
      <c r="D754" s="28" t="inlineStr">
        <is>
          <t>Employee self-service letters</t>
        </is>
      </c>
      <c r="E754" s="29" t="inlineStr">
        <is>
          <t>R</t>
        </is>
      </c>
      <c r="F754" s="28" t="inlineStr">
        <is>
          <t>Planned (not built yet). Does it: carries out "Employee self-service letters".</t>
        </is>
      </c>
      <c r="G754" s="28" t="inlineStr">
        <is>
          <t>-</t>
        </is>
      </c>
      <c r="H754" s="29" t="inlineStr">
        <is>
          <t>Planned</t>
        </is>
      </c>
    </row>
    <row r="755" ht="17" customHeight="1">
      <c r="A755" s="28" t="inlineStr">
        <is>
          <t>Sales Executive</t>
        </is>
      </c>
      <c r="B755" s="28" t="inlineStr">
        <is>
          <t>HR-20</t>
        </is>
      </c>
      <c r="C755" s="28" t="inlineStr">
        <is>
          <t>People &amp; HR</t>
        </is>
      </c>
      <c r="D755" s="28" t="inlineStr">
        <is>
          <t>Employee referral bonus</t>
        </is>
      </c>
      <c r="E755" s="29" t="inlineStr">
        <is>
          <t>R</t>
        </is>
      </c>
      <c r="F755" s="28" t="inlineStr">
        <is>
          <t>Planned (not built yet). Does it: carries out "Employee referral bonus".</t>
        </is>
      </c>
      <c r="G755" s="28" t="inlineStr">
        <is>
          <t>-</t>
        </is>
      </c>
      <c r="H755" s="29" t="inlineStr">
        <is>
          <t>Planned</t>
        </is>
      </c>
    </row>
    <row r="756" ht="17" customHeight="1">
      <c r="A756" s="28" t="inlineStr">
        <is>
          <t>Sales Executive</t>
        </is>
      </c>
      <c r="B756" s="28" t="inlineStr">
        <is>
          <t>PAY-02</t>
        </is>
      </c>
      <c r="C756" s="28" t="inlineStr">
        <is>
          <t>Payroll &amp; compensation</t>
        </is>
      </c>
      <c r="D756" s="28" t="inlineStr">
        <is>
          <t>Deductions for unapproved and LWP days</t>
        </is>
      </c>
      <c r="E756" s="29" t="inlineStr">
        <is>
          <t>I</t>
        </is>
      </c>
      <c r="F756" s="28" t="inlineStr">
        <is>
          <t>Informed; sees the outcome in Payroll.</t>
        </is>
      </c>
      <c r="G756" s="28" t="inlineStr">
        <is>
          <t>/payroll/:id</t>
        </is>
      </c>
      <c r="H756" s="29" t="inlineStr">
        <is>
          <t>Live</t>
        </is>
      </c>
    </row>
    <row r="757" ht="30" customHeight="1">
      <c r="A757" s="28" t="inlineStr">
        <is>
          <t>Sales Executive</t>
        </is>
      </c>
      <c r="B757" s="28" t="inlineStr">
        <is>
          <t>PAY-03</t>
        </is>
      </c>
      <c r="C757" s="28" t="inlineStr">
        <is>
          <t>Payroll &amp; compensation</t>
        </is>
      </c>
      <c r="D757" s="28" t="inlineStr">
        <is>
          <t>Sales variable pay</t>
        </is>
      </c>
      <c r="E757" s="29" t="inlineStr">
        <is>
          <t>I</t>
        </is>
      </c>
      <c r="F757" s="28" t="inlineStr">
        <is>
          <t>Informed; sees the outcome in Sales compensation, Sales Home (my target), Payroll.</t>
        </is>
      </c>
      <c r="G757" s="28" t="inlineStr">
        <is>
          <t>/sales/compensation</t>
        </is>
      </c>
      <c r="H757" s="29" t="inlineStr">
        <is>
          <t>Live</t>
        </is>
      </c>
    </row>
    <row r="758" ht="17" customHeight="1">
      <c r="A758" s="28" t="inlineStr">
        <is>
          <t>Sales Executive</t>
        </is>
      </c>
      <c r="B758" s="28" t="inlineStr">
        <is>
          <t>PAY-07</t>
        </is>
      </c>
      <c r="C758" s="28" t="inlineStr">
        <is>
          <t>Payroll &amp; compensation</t>
        </is>
      </c>
      <c r="D758" s="28" t="inlineStr">
        <is>
          <t>Payslips and Form 16</t>
        </is>
      </c>
      <c r="E758" s="29" t="inlineStr">
        <is>
          <t>R</t>
        </is>
      </c>
      <c r="F758" s="28" t="inlineStr">
        <is>
          <t>Planned (not built yet). Does it: carries out "Payslips and Form 16".</t>
        </is>
      </c>
      <c r="G758" s="28" t="inlineStr">
        <is>
          <t>-</t>
        </is>
      </c>
      <c r="H758" s="29" t="inlineStr">
        <is>
          <t>Planned</t>
        </is>
      </c>
    </row>
    <row r="759" ht="17" customHeight="1">
      <c r="A759" s="28" t="inlineStr">
        <is>
          <t>Sales Executive</t>
        </is>
      </c>
      <c r="B759" s="28" t="inlineStr">
        <is>
          <t>FIN-03</t>
        </is>
      </c>
      <c r="C759" s="28" t="inlineStr">
        <is>
          <t>Finance</t>
        </is>
      </c>
      <c r="D759" s="28" t="inlineStr">
        <is>
          <t>Receivables, ageing and DSO</t>
        </is>
      </c>
      <c r="E759" s="29" t="inlineStr">
        <is>
          <t>I</t>
        </is>
      </c>
      <c r="F759" s="28" t="inlineStr">
        <is>
          <t>Informed; sees the outcome in Invoices, Client health, Lost revenue.</t>
        </is>
      </c>
      <c r="G759" s="28" t="inlineStr">
        <is>
          <t>/finance/invoices</t>
        </is>
      </c>
      <c r="H759" s="29" t="inlineStr">
        <is>
          <t>Live</t>
        </is>
      </c>
    </row>
    <row r="760" ht="17" customHeight="1">
      <c r="A760" s="28" t="inlineStr">
        <is>
          <t>Sales Executive</t>
        </is>
      </c>
      <c r="B760" s="28" t="inlineStr">
        <is>
          <t>FIN-06</t>
        </is>
      </c>
      <c r="C760" s="28" t="inlineStr">
        <is>
          <t>Finance</t>
        </is>
      </c>
      <c r="D760" s="28" t="inlineStr">
        <is>
          <t>Cash runway and revenue ahead</t>
        </is>
      </c>
      <c r="E760" s="29" t="inlineStr">
        <is>
          <t>I</t>
        </is>
      </c>
      <c r="F760" s="28" t="inlineStr">
        <is>
          <t>Informed; sees the outcome in CEO Home (cash runway, revenue ahead), P&amp;L.</t>
        </is>
      </c>
      <c r="G760" s="28" t="inlineStr">
        <is>
          <t>/home, /finance/pnl</t>
        </is>
      </c>
      <c r="H760" s="29" t="inlineStr">
        <is>
          <t>Live</t>
        </is>
      </c>
    </row>
    <row r="761" ht="30" customHeight="1">
      <c r="A761" s="28" t="inlineStr">
        <is>
          <t>Sales Executive</t>
        </is>
      </c>
      <c r="B761" s="28" t="inlineStr">
        <is>
          <t>FIN-11</t>
        </is>
      </c>
      <c r="C761" s="28" t="inlineStr">
        <is>
          <t>Finance</t>
        </is>
      </c>
      <c r="D761" s="28" t="inlineStr">
        <is>
          <t>Collections follow-up and dunning</t>
        </is>
      </c>
      <c r="E761" s="29" t="inlineStr">
        <is>
          <t>R</t>
        </is>
      </c>
      <c r="F761" s="28" t="inlineStr">
        <is>
          <t>Planned (not built yet). Does it: carries out "Collections follow-up and dunning".</t>
        </is>
      </c>
      <c r="G761" s="28" t="inlineStr">
        <is>
          <t>-</t>
        </is>
      </c>
      <c r="H761" s="29" t="inlineStr">
        <is>
          <t>Planned</t>
        </is>
      </c>
    </row>
    <row r="762" ht="17" customHeight="1">
      <c r="A762" s="28" t="inlineStr">
        <is>
          <t>Sales Executive</t>
        </is>
      </c>
      <c r="B762" s="28" t="inlineStr">
        <is>
          <t>SPD-01</t>
        </is>
      </c>
      <c r="C762" s="28" t="inlineStr">
        <is>
          <t>Spend &amp; procurement</t>
        </is>
      </c>
      <c r="D762" s="28" t="inlineStr">
        <is>
          <t>Submit an expense claim</t>
        </is>
      </c>
      <c r="E762" s="29" t="inlineStr">
        <is>
          <t>R</t>
        </is>
      </c>
      <c r="F762" s="28" t="inlineStr">
        <is>
          <t>Does it: carries out "Submit an expense claim" in /expenses.</t>
        </is>
      </c>
      <c r="G762" s="28" t="inlineStr">
        <is>
          <t>/expenses</t>
        </is>
      </c>
      <c r="H762" s="29" t="inlineStr">
        <is>
          <t>New in v3</t>
        </is>
      </c>
    </row>
    <row r="763" ht="17" customHeight="1">
      <c r="A763" s="28" t="inlineStr">
        <is>
          <t>Sales Executive</t>
        </is>
      </c>
      <c r="B763" s="28" t="inlineStr">
        <is>
          <t>SPD-08</t>
        </is>
      </c>
      <c r="C763" s="28" t="inlineStr">
        <is>
          <t>Spend &amp; procurement</t>
        </is>
      </c>
      <c r="D763" s="28" t="inlineStr">
        <is>
          <t>Annual budget and monthly phasing</t>
        </is>
      </c>
      <c r="E763" s="29" t="inlineStr">
        <is>
          <t>C</t>
        </is>
      </c>
      <c r="F763" s="28" t="inlineStr">
        <is>
          <t>Consulted: gives input, data or a decision when asked.</t>
        </is>
      </c>
      <c r="G763" s="28" t="inlineStr">
        <is>
          <t>/budgets</t>
        </is>
      </c>
      <c r="H763" s="29" t="inlineStr">
        <is>
          <t>Extended</t>
        </is>
      </c>
    </row>
    <row r="764" ht="17" customHeight="1">
      <c r="A764" s="28" t="inlineStr">
        <is>
          <t>Sales Executive</t>
        </is>
      </c>
      <c r="B764" s="28" t="inlineStr">
        <is>
          <t>SPD-09</t>
        </is>
      </c>
      <c r="C764" s="28" t="inlineStr">
        <is>
          <t>Spend &amp; procurement</t>
        </is>
      </c>
      <c r="D764" s="28" t="inlineStr">
        <is>
          <t>Budget vs actual review</t>
        </is>
      </c>
      <c r="E764" s="29" t="inlineStr">
        <is>
          <t>C</t>
        </is>
      </c>
      <c r="F764" s="28" t="inlineStr">
        <is>
          <t>Consulted: gives input, data or a decision when asked.</t>
        </is>
      </c>
      <c r="G764" s="28" t="inlineStr">
        <is>
          <t>/budgets</t>
        </is>
      </c>
      <c r="H764" s="29" t="inlineStr">
        <is>
          <t>New in v3</t>
        </is>
      </c>
    </row>
    <row r="765" ht="30" customHeight="1">
      <c r="A765" s="28" t="inlineStr">
        <is>
          <t>Sales Executive</t>
        </is>
      </c>
      <c r="B765" s="28" t="inlineStr">
        <is>
          <t>SPD-11</t>
        </is>
      </c>
      <c r="C765" s="28" t="inlineStr">
        <is>
          <t>Spend &amp; procurement</t>
        </is>
      </c>
      <c r="D765" s="28" t="inlineStr">
        <is>
          <t>Travel requests and advances</t>
        </is>
      </c>
      <c r="E765" s="29" t="inlineStr">
        <is>
          <t>R</t>
        </is>
      </c>
      <c r="F765" s="28" t="inlineStr">
        <is>
          <t>Planned (not built yet). Does it: carries out "Travel requests and advances".</t>
        </is>
      </c>
      <c r="G765" s="28" t="inlineStr">
        <is>
          <t>-</t>
        </is>
      </c>
      <c r="H765" s="29" t="inlineStr">
        <is>
          <t>Planned</t>
        </is>
      </c>
    </row>
    <row r="766" ht="30" customHeight="1">
      <c r="A766" s="28" t="inlineStr">
        <is>
          <t>Sales Executive</t>
        </is>
      </c>
      <c r="B766" s="28" t="inlineStr">
        <is>
          <t>REV-02</t>
        </is>
      </c>
      <c r="C766" s="28" t="inlineStr">
        <is>
          <t>Revenue assurance</t>
        </is>
      </c>
      <c r="D766" s="28" t="inlineStr">
        <is>
          <t>Auto-detect: lost deals</t>
        </is>
      </c>
      <c r="E766" s="29" t="inlineStr">
        <is>
          <t>I</t>
        </is>
      </c>
      <c r="F766" s="28" t="inlineStr">
        <is>
          <t>Informed; sees the outcome in Lost revenue; Reports / Ask AI (revenue_leakage).</t>
        </is>
      </c>
      <c r="G766" s="28" t="inlineStr">
        <is>
          <t>/leakage</t>
        </is>
      </c>
      <c r="H766" s="29" t="inlineStr">
        <is>
          <t>New in v3</t>
        </is>
      </c>
    </row>
    <row r="767" ht="30" customHeight="1">
      <c r="A767" s="28" t="inlineStr">
        <is>
          <t>Sales Executive</t>
        </is>
      </c>
      <c r="B767" s="28" t="inlineStr">
        <is>
          <t>REV-04</t>
        </is>
      </c>
      <c r="C767" s="28" t="inlineStr">
        <is>
          <t>Revenue assurance</t>
        </is>
      </c>
      <c r="D767" s="28" t="inlineStr">
        <is>
          <t>Auto-detect: bad-debt risk</t>
        </is>
      </c>
      <c r="E767" s="29" t="inlineStr">
        <is>
          <t>I</t>
        </is>
      </c>
      <c r="F767" s="28" t="inlineStr">
        <is>
          <t>Informed; sees the outcome in Lost revenue, Client health; Reports / Ask AI (revenue_leakage).</t>
        </is>
      </c>
      <c r="G767" s="28" t="inlineStr">
        <is>
          <t>/leakage</t>
        </is>
      </c>
      <c r="H767" s="29" t="inlineStr">
        <is>
          <t>New in v3</t>
        </is>
      </c>
    </row>
    <row r="768" ht="30" customHeight="1">
      <c r="A768" s="28" t="inlineStr">
        <is>
          <t>Sales Executive</t>
        </is>
      </c>
      <c r="B768" s="28" t="inlineStr">
        <is>
          <t>REV-06</t>
        </is>
      </c>
      <c r="C768" s="28" t="inlineStr">
        <is>
          <t>Revenue assurance</t>
        </is>
      </c>
      <c r="D768" s="28" t="inlineStr">
        <is>
          <t>Record discounts, write-offs, credit notes, penalties and churn</t>
        </is>
      </c>
      <c r="E768" s="29" t="inlineStr">
        <is>
          <t>C</t>
        </is>
      </c>
      <c r="F768" s="28" t="inlineStr">
        <is>
          <t>Consulted: gives input, data or a decision when asked.</t>
        </is>
      </c>
      <c r="G768" s="28" t="inlineStr">
        <is>
          <t>/leakage</t>
        </is>
      </c>
      <c r="H768" s="29" t="inlineStr">
        <is>
          <t>New in v3</t>
        </is>
      </c>
    </row>
    <row r="769" ht="17" customHeight="1">
      <c r="A769" s="28" t="inlineStr">
        <is>
          <t>Sales Executive</t>
        </is>
      </c>
      <c r="B769" s="28" t="inlineStr">
        <is>
          <t>REV-07</t>
        </is>
      </c>
      <c r="C769" s="28" t="inlineStr">
        <is>
          <t>Revenue assurance</t>
        </is>
      </c>
      <c r="D769" s="28" t="inlineStr">
        <is>
          <t>Recovery tracking</t>
        </is>
      </c>
      <c r="E769" s="29" t="inlineStr">
        <is>
          <t>C</t>
        </is>
      </c>
      <c r="F769" s="28" t="inlineStr">
        <is>
          <t>Consulted: gives input, data or a decision when asked.</t>
        </is>
      </c>
      <c r="G769" s="28" t="inlineStr">
        <is>
          <t>/leakage</t>
        </is>
      </c>
      <c r="H769" s="29" t="inlineStr">
        <is>
          <t>New in v3</t>
        </is>
      </c>
    </row>
    <row r="770" ht="30" customHeight="1">
      <c r="A770" s="28" t="inlineStr">
        <is>
          <t>Sales Executive</t>
        </is>
      </c>
      <c r="B770" s="28" t="inlineStr">
        <is>
          <t>REV-08</t>
        </is>
      </c>
      <c r="C770" s="28" t="inlineStr">
        <is>
          <t>Revenue assurance</t>
        </is>
      </c>
      <c r="D770" s="28" t="inlineStr">
        <is>
          <t>Discount approval workflow</t>
        </is>
      </c>
      <c r="E770" s="29" t="inlineStr">
        <is>
          <t>R</t>
        </is>
      </c>
      <c r="F770" s="28" t="inlineStr">
        <is>
          <t>Planned (not built yet). Does it: carries out "Discount approval workflow".</t>
        </is>
      </c>
      <c r="G770" s="28" t="inlineStr">
        <is>
          <t>-</t>
        </is>
      </c>
      <c r="H770" s="29" t="inlineStr">
        <is>
          <t>Planned</t>
        </is>
      </c>
    </row>
    <row r="771" ht="30" customHeight="1">
      <c r="A771" s="28" t="inlineStr">
        <is>
          <t>Sales Executive</t>
        </is>
      </c>
      <c r="B771" s="28" t="inlineStr">
        <is>
          <t>GOV-01</t>
        </is>
      </c>
      <c r="C771" s="28" t="inlineStr">
        <is>
          <t>Strategy &amp; governance</t>
        </is>
      </c>
      <c r="D771" s="28" t="inlineStr">
        <is>
          <t>Set objectives (company, team, personal)</t>
        </is>
      </c>
      <c r="E771" s="29" t="inlineStr">
        <is>
          <t>R</t>
        </is>
      </c>
      <c r="F771" s="28" t="inlineStr">
        <is>
          <t>Does it: carries out "Set objectives (company, team, personal)" in /okrs.</t>
        </is>
      </c>
      <c r="G771" s="28" t="inlineStr">
        <is>
          <t>/okrs</t>
        </is>
      </c>
      <c r="H771" s="29" t="inlineStr">
        <is>
          <t>New in v3</t>
        </is>
      </c>
    </row>
    <row r="772" ht="30" customHeight="1">
      <c r="A772" s="28" t="inlineStr">
        <is>
          <t>Sales Executive</t>
        </is>
      </c>
      <c r="B772" s="28" t="inlineStr">
        <is>
          <t>GOV-02</t>
        </is>
      </c>
      <c r="C772" s="28" t="inlineStr">
        <is>
          <t>Strategy &amp; governance</t>
        </is>
      </c>
      <c r="D772" s="28" t="inlineStr">
        <is>
          <t>Key results with automatic measures and check-ins</t>
        </is>
      </c>
      <c r="E772" s="29" t="inlineStr">
        <is>
          <t>R</t>
        </is>
      </c>
      <c r="F772" s="28" t="inlineStr">
        <is>
          <t>Does it: carries out "Key results with automatic measures and check-ins" in /okrs.</t>
        </is>
      </c>
      <c r="G772" s="28" t="inlineStr">
        <is>
          <t>/okrs</t>
        </is>
      </c>
      <c r="H772" s="29" t="inlineStr">
        <is>
          <t>New in v3</t>
        </is>
      </c>
    </row>
    <row r="773" ht="17" customHeight="1">
      <c r="A773" s="28" t="inlineStr">
        <is>
          <t>Sales Executive</t>
        </is>
      </c>
      <c r="B773" s="28" t="inlineStr">
        <is>
          <t>GOV-03</t>
        </is>
      </c>
      <c r="C773" s="28" t="inlineStr">
        <is>
          <t>Strategy &amp; governance</t>
        </is>
      </c>
      <c r="D773" s="28" t="inlineStr">
        <is>
          <t>Approvals inbox</t>
        </is>
      </c>
      <c r="E773" s="29" t="inlineStr">
        <is>
          <t>R</t>
        </is>
      </c>
      <c r="F773" s="28" t="inlineStr">
        <is>
          <t>Does it: carries out "Approvals inbox" in /inbox.</t>
        </is>
      </c>
      <c r="G773" s="28" t="inlineStr">
        <is>
          <t>/inbox</t>
        </is>
      </c>
      <c r="H773" s="29" t="inlineStr">
        <is>
          <t>Extended</t>
        </is>
      </c>
    </row>
    <row r="774" ht="17" customHeight="1">
      <c r="A774" s="28" t="inlineStr">
        <is>
          <t>Sales Executive</t>
        </is>
      </c>
      <c r="B774" s="28" t="inlineStr">
        <is>
          <t>GOV-05</t>
        </is>
      </c>
      <c r="C774" s="28" t="inlineStr">
        <is>
          <t>Strategy &amp; governance</t>
        </is>
      </c>
      <c r="D774" s="28" t="inlineStr">
        <is>
          <t>Notifications centre</t>
        </is>
      </c>
      <c r="E774" s="29" t="inlineStr">
        <is>
          <t>R</t>
        </is>
      </c>
      <c r="F774" s="28" t="inlineStr">
        <is>
          <t>Does it: carries out "Notifications centre" in /notifications.</t>
        </is>
      </c>
      <c r="G774" s="28" t="inlineStr">
        <is>
          <t>/notifications</t>
        </is>
      </c>
      <c r="H774" s="29" t="inlineStr">
        <is>
          <t>Live</t>
        </is>
      </c>
    </row>
    <row r="775" ht="17" customHeight="1">
      <c r="A775" s="28" t="inlineStr">
        <is>
          <t>Sales Executive</t>
        </is>
      </c>
      <c r="B775" s="28" t="inlineStr">
        <is>
          <t>GOV-06</t>
        </is>
      </c>
      <c r="C775" s="28" t="inlineStr">
        <is>
          <t>Strategy &amp; governance</t>
        </is>
      </c>
      <c r="D775" s="28" t="inlineStr">
        <is>
          <t>Weekly scorecard</t>
        </is>
      </c>
      <c r="E775" s="29" t="inlineStr">
        <is>
          <t>I</t>
        </is>
      </c>
      <c r="F775" s="28" t="inlineStr">
        <is>
          <t>Informed; sees the outcome in Scorecard.</t>
        </is>
      </c>
      <c r="G775" s="28" t="inlineStr">
        <is>
          <t>/scorecard</t>
        </is>
      </c>
      <c r="H775" s="29" t="inlineStr">
        <is>
          <t>Live</t>
        </is>
      </c>
    </row>
    <row r="776" ht="17" customHeight="1">
      <c r="A776" s="28" t="inlineStr">
        <is>
          <t>Sales Executive</t>
        </is>
      </c>
      <c r="B776" s="28" t="inlineStr">
        <is>
          <t>ANA-03</t>
        </is>
      </c>
      <c r="C776" s="28" t="inlineStr">
        <is>
          <t>Analytics &amp; AI</t>
        </is>
      </c>
      <c r="D776" s="28" t="inlineStr">
        <is>
          <t>Sales dashboard</t>
        </is>
      </c>
      <c r="E776" s="29" t="inlineStr">
        <is>
          <t>R</t>
        </is>
      </c>
      <c r="F776" s="28" t="inlineStr">
        <is>
          <t>Does it: carries out "Sales dashboard" in /home.</t>
        </is>
      </c>
      <c r="G776" s="28" t="inlineStr">
        <is>
          <t>/home</t>
        </is>
      </c>
      <c r="H776" s="29" t="inlineStr">
        <is>
          <t>Live</t>
        </is>
      </c>
    </row>
    <row r="777" ht="17" customHeight="1">
      <c r="A777" s="28" t="inlineStr">
        <is>
          <t>Sales Executive</t>
        </is>
      </c>
      <c r="B777" s="28" t="inlineStr">
        <is>
          <t>ANA-06</t>
        </is>
      </c>
      <c r="C777" s="28" t="inlineStr">
        <is>
          <t>Analytics &amp; AI</t>
        </is>
      </c>
      <c r="D777" s="28" t="inlineStr">
        <is>
          <t>Insights views</t>
        </is>
      </c>
      <c r="E777" s="29" t="inlineStr">
        <is>
          <t>R</t>
        </is>
      </c>
      <c r="F777" s="28" t="inlineStr">
        <is>
          <t>Does it: carries out "Insights views" in /insights, /insights/:view.</t>
        </is>
      </c>
      <c r="G777" s="28" t="inlineStr">
        <is>
          <t>/insights, /insights/:view</t>
        </is>
      </c>
      <c r="H777" s="29" t="inlineStr">
        <is>
          <t>Live</t>
        </is>
      </c>
    </row>
    <row r="778" ht="30" customHeight="1">
      <c r="A778" s="28" t="inlineStr">
        <is>
          <t>Sales Executive</t>
        </is>
      </c>
      <c r="B778" s="28" t="inlineStr">
        <is>
          <t>ANA-07</t>
        </is>
      </c>
      <c r="C778" s="28" t="inlineStr">
        <is>
          <t>Analytics &amp; AI</t>
        </is>
      </c>
      <c r="D778" s="28" t="inlineStr">
        <is>
          <t>Custom report builder and exports</t>
        </is>
      </c>
      <c r="E778" s="29" t="inlineStr">
        <is>
          <t>R</t>
        </is>
      </c>
      <c r="F778" s="28" t="inlineStr">
        <is>
          <t>Does it: carries out "Custom report builder and exports" in /reports, /reports/new, /reports/:id.</t>
        </is>
      </c>
      <c r="G778" s="28" t="inlineStr">
        <is>
          <t>/reports, /reports/new, /reports/:id</t>
        </is>
      </c>
      <c r="H778" s="29" t="inlineStr">
        <is>
          <t>Extended</t>
        </is>
      </c>
    </row>
    <row r="779" ht="17" customHeight="1">
      <c r="A779" s="28" t="inlineStr">
        <is>
          <t>Sales Executive</t>
        </is>
      </c>
      <c r="B779" s="28" t="inlineStr">
        <is>
          <t>ANA-08</t>
        </is>
      </c>
      <c r="C779" s="28" t="inlineStr">
        <is>
          <t>Analytics &amp; AI</t>
        </is>
      </c>
      <c r="D779" s="28" t="inlineStr">
        <is>
          <t>Ask AI and AI report planning</t>
        </is>
      </c>
      <c r="E779" s="29" t="inlineStr">
        <is>
          <t>R</t>
        </is>
      </c>
      <c r="F779" s="28" t="inlineStr">
        <is>
          <t>Does it: carries out "Ask AI and AI report planning" in /ai.</t>
        </is>
      </c>
      <c r="G779" s="28" t="inlineStr">
        <is>
          <t>/ai</t>
        </is>
      </c>
      <c r="H779" s="29" t="inlineStr">
        <is>
          <t>Extended</t>
        </is>
      </c>
    </row>
    <row r="780" ht="17" customHeight="1">
      <c r="A780" s="28" t="inlineStr">
        <is>
          <t>Sales Executive</t>
        </is>
      </c>
      <c r="B780" s="28" t="inlineStr">
        <is>
          <t>ANA-09</t>
        </is>
      </c>
      <c r="C780" s="28" t="inlineStr">
        <is>
          <t>Analytics &amp; AI</t>
        </is>
      </c>
      <c r="D780" s="28" t="inlineStr">
        <is>
          <t>Scheduled email reports</t>
        </is>
      </c>
      <c r="E780" s="29" t="inlineStr">
        <is>
          <t>R</t>
        </is>
      </c>
      <c r="F780" s="28" t="inlineStr">
        <is>
          <t>Planned (not built yet). Does it: carries out "Scheduled email reports".</t>
        </is>
      </c>
      <c r="G780" s="28" t="inlineStr">
        <is>
          <t>-</t>
        </is>
      </c>
      <c r="H780" s="29" t="inlineStr">
        <is>
          <t>Planned</t>
        </is>
      </c>
    </row>
    <row r="781" ht="17" customHeight="1">
      <c r="A781" s="28" t="inlineStr">
        <is>
          <t>Sales Executive</t>
        </is>
      </c>
      <c r="B781" s="28" t="inlineStr">
        <is>
          <t>ANA-10</t>
        </is>
      </c>
      <c r="C781" s="28" t="inlineStr">
        <is>
          <t>Analytics &amp; AI</t>
        </is>
      </c>
      <c r="D781" s="28" t="inlineStr">
        <is>
          <t>Report datasets for v3 processes</t>
        </is>
      </c>
      <c r="E781" s="29" t="inlineStr">
        <is>
          <t>C</t>
        </is>
      </c>
      <c r="F781" s="28" t="inlineStr">
        <is>
          <t>Consulted: gives input, data or a decision when asked.</t>
        </is>
      </c>
      <c r="G781" s="28" t="inlineStr">
        <is>
          <t>/reports/new, /ai</t>
        </is>
      </c>
      <c r="H781" s="29" t="inlineStr">
        <is>
          <t>New in v3</t>
        </is>
      </c>
    </row>
    <row r="782" ht="30" customHeight="1">
      <c r="A782" s="28" t="inlineStr">
        <is>
          <t>Sales Executive</t>
        </is>
      </c>
      <c r="B782" s="28" t="inlineStr">
        <is>
          <t>ACC-05</t>
        </is>
      </c>
      <c r="C782" s="28" t="inlineStr">
        <is>
          <t>Access, master data &amp; controls</t>
        </is>
      </c>
      <c r="D782" s="28" t="inlineStr">
        <is>
          <t>First sign-in: forced password change</t>
        </is>
      </c>
      <c r="E782" s="29" t="inlineStr">
        <is>
          <t>R</t>
        </is>
      </c>
      <c r="F782" s="28" t="inlineStr">
        <is>
          <t>Does it: carries out "First sign-in: forced password change" in /welcome/password.</t>
        </is>
      </c>
      <c r="G782" s="28" t="inlineStr">
        <is>
          <t>/welcome/password</t>
        </is>
      </c>
      <c r="H782" s="29" t="inlineStr">
        <is>
          <t>New in v4</t>
        </is>
      </c>
    </row>
    <row r="783" ht="30" customHeight="1">
      <c r="A783" s="28" t="inlineStr">
        <is>
          <t>Sales Executive</t>
        </is>
      </c>
      <c r="B783" s="28" t="inlineStr">
        <is>
          <t>ACC-09</t>
        </is>
      </c>
      <c r="C783" s="28" t="inlineStr">
        <is>
          <t>Access, master data &amp; controls</t>
        </is>
      </c>
      <c r="D783" s="28" t="inlineStr">
        <is>
          <t>One login: screens, actions and data scope by permission</t>
        </is>
      </c>
      <c r="E783" s="29" t="inlineStr">
        <is>
          <t>I</t>
        </is>
      </c>
      <c r="F783" s="28" t="inlineStr">
        <is>
          <t>Informed; sees the outcome in All.</t>
        </is>
      </c>
      <c r="G783" s="28" t="inlineStr">
        <is>
          <t>All screens</t>
        </is>
      </c>
      <c r="H783" s="29" t="inlineStr">
        <is>
          <t>New in v4</t>
        </is>
      </c>
    </row>
    <row r="784" ht="30" customHeight="1">
      <c r="A784" s="28" t="inlineStr">
        <is>
          <t>Employee</t>
        </is>
      </c>
      <c r="B784" s="28" t="inlineStr">
        <is>
          <t>WS-03</t>
        </is>
      </c>
      <c r="C784" s="28" t="inlineStr">
        <is>
          <t>Workspace &amp; access</t>
        </is>
      </c>
      <c r="D784" s="28" t="inlineStr">
        <is>
          <t>Sign in, lockout and password reset</t>
        </is>
      </c>
      <c r="E784" s="29" t="inlineStr">
        <is>
          <t>R</t>
        </is>
      </c>
      <c r="F784" s="28" t="inlineStr">
        <is>
          <t>Does it: carries out "Sign in, lockout and password reset" in /login, /reset-password.</t>
        </is>
      </c>
      <c r="G784" s="28" t="inlineStr">
        <is>
          <t>/login, /reset-password</t>
        </is>
      </c>
      <c r="H784" s="29" t="inlineStr">
        <is>
          <t>Extended</t>
        </is>
      </c>
    </row>
    <row r="785" ht="30" customHeight="1">
      <c r="A785" s="28" t="inlineStr">
        <is>
          <t>Employee</t>
        </is>
      </c>
      <c r="B785" s="28" t="inlineStr">
        <is>
          <t>WS-04</t>
        </is>
      </c>
      <c r="C785" s="28" t="inlineStr">
        <is>
          <t>Workspace &amp; access</t>
        </is>
      </c>
      <c r="D785" s="28" t="inlineStr">
        <is>
          <t>Invite people (single or bulk CSV) and accept invitation</t>
        </is>
      </c>
      <c r="E785" s="29" t="inlineStr">
        <is>
          <t>R</t>
        </is>
      </c>
      <c r="F785" s="28" t="inlineStr">
        <is>
          <t>Accepts the invite and sets a password.</t>
        </is>
      </c>
      <c r="G785" s="28" t="inlineStr">
        <is>
          <t>/people, /invite/:token</t>
        </is>
      </c>
      <c r="H785" s="29" t="inlineStr">
        <is>
          <t>Extended</t>
        </is>
      </c>
    </row>
    <row r="786" ht="30" customHeight="1">
      <c r="A786" s="28" t="inlineStr">
        <is>
          <t>Employee</t>
        </is>
      </c>
      <c r="B786" s="28" t="inlineStr">
        <is>
          <t>WS-05</t>
        </is>
      </c>
      <c r="C786" s="28" t="inlineStr">
        <is>
          <t>Workspace &amp; access</t>
        </is>
      </c>
      <c r="D786" s="28" t="inlineStr">
        <is>
          <t>Roles, reporting lines and access grants</t>
        </is>
      </c>
      <c r="E786" s="29" t="inlineStr">
        <is>
          <t>I</t>
        </is>
      </c>
      <c r="F786" s="28" t="inlineStr">
        <is>
          <t>Informed; sees the outcome in Team, Approvals inbox routing.</t>
        </is>
      </c>
      <c r="G786" s="28" t="inlineStr">
        <is>
          <t>/people</t>
        </is>
      </c>
      <c r="H786" s="29" t="inlineStr">
        <is>
          <t>Extended</t>
        </is>
      </c>
    </row>
    <row r="787" ht="43" customHeight="1">
      <c r="A787" s="28" t="inlineStr">
        <is>
          <t>Employee</t>
        </is>
      </c>
      <c r="B787" s="28" t="inlineStr">
        <is>
          <t>WS-08</t>
        </is>
      </c>
      <c r="C787" s="28" t="inlineStr">
        <is>
          <t>Workspace &amp; access</t>
        </is>
      </c>
      <c r="D787" s="28" t="inlineStr">
        <is>
          <t>Security, two-step verification and personal settings</t>
        </is>
      </c>
      <c r="E787" s="29" t="inlineStr">
        <is>
          <t>R</t>
        </is>
      </c>
      <c r="F787" s="28" t="inlineStr">
        <is>
          <t>Does it: carries out "Security, two-step verification and personal settings" in /settings/security, /settings/profile, /settings/appearance.</t>
        </is>
      </c>
      <c r="G787" s="28" t="inlineStr">
        <is>
          <t>/settings/security, /settings/profile, /settings/appearance</t>
        </is>
      </c>
      <c r="H787" s="29" t="inlineStr">
        <is>
          <t>Live</t>
        </is>
      </c>
    </row>
    <row r="788" ht="17" customHeight="1">
      <c r="A788" s="28" t="inlineStr">
        <is>
          <t>Employee</t>
        </is>
      </c>
      <c r="B788" s="28" t="inlineStr">
        <is>
          <t>WS-13</t>
        </is>
      </c>
      <c r="C788" s="28" t="inlineStr">
        <is>
          <t>Workspace &amp; access</t>
        </is>
      </c>
      <c r="D788" s="28" t="inlineStr">
        <is>
          <t>Single sign-on and custom roles</t>
        </is>
      </c>
      <c r="E788" s="29" t="inlineStr">
        <is>
          <t>I</t>
        </is>
      </c>
      <c r="F788" s="28" t="inlineStr">
        <is>
          <t>Planned (not built yet). Informed.</t>
        </is>
      </c>
      <c r="G788" s="28" t="inlineStr">
        <is>
          <t>-</t>
        </is>
      </c>
      <c r="H788" s="29" t="inlineStr">
        <is>
          <t>Planned</t>
        </is>
      </c>
    </row>
    <row r="789" ht="30" customHeight="1">
      <c r="A789" s="28" t="inlineStr">
        <is>
          <t>Employee</t>
        </is>
      </c>
      <c r="B789" s="28" t="inlineStr">
        <is>
          <t>ORG-02</t>
        </is>
      </c>
      <c r="C789" s="28" t="inlineStr">
        <is>
          <t>Organisation &amp; master data</t>
        </is>
      </c>
      <c r="D789" s="28" t="inlineStr">
        <is>
          <t>Working calendar and holidays</t>
        </is>
      </c>
      <c r="E789" s="29" t="inlineStr">
        <is>
          <t>I</t>
        </is>
      </c>
      <c r="F789" s="28" t="inlineStr">
        <is>
          <t>Informed; sees the outcome in Timesheet, Leave, Payroll.</t>
        </is>
      </c>
      <c r="G789" s="28" t="inlineStr">
        <is>
          <t>/settings/holidays</t>
        </is>
      </c>
      <c r="H789" s="29" t="inlineStr">
        <is>
          <t>Extended</t>
        </is>
      </c>
    </row>
    <row r="790" ht="30" customHeight="1">
      <c r="A790" s="28" t="inlineStr">
        <is>
          <t>Employee</t>
        </is>
      </c>
      <c r="B790" s="28" t="inlineStr">
        <is>
          <t>DEL-02</t>
        </is>
      </c>
      <c r="C790" s="28" t="inlineStr">
        <is>
          <t>Project delivery</t>
        </is>
      </c>
      <c r="D790" s="28" t="inlineStr">
        <is>
          <t>Milestones: plan, baseline and slip</t>
        </is>
      </c>
      <c r="E790" s="29" t="inlineStr">
        <is>
          <t>I</t>
        </is>
      </c>
      <c r="F790" s="28" t="inlineStr">
        <is>
          <t>Informed (NTF-15 milestone auto-deleted / deleted); sees the outcome in PM Home (upcoming milestones), CEO Home (milestones due 30 days).</t>
        </is>
      </c>
      <c r="G790" s="28" t="inlineStr">
        <is>
          <t>/projects/:id/wbs</t>
        </is>
      </c>
      <c r="H790" s="29" t="inlineStr">
        <is>
          <t>Live</t>
        </is>
      </c>
    </row>
    <row r="791" ht="30" customHeight="1">
      <c r="A791" s="28" t="inlineStr">
        <is>
          <t>Employee</t>
        </is>
      </c>
      <c r="B791" s="28" t="inlineStr">
        <is>
          <t>DEL-03</t>
        </is>
      </c>
      <c r="C791" s="28" t="inlineStr">
        <is>
          <t>Project delivery</t>
        </is>
      </c>
      <c r="D791" s="28" t="inlineStr">
        <is>
          <t>Build the WBS (tasks, owners, estimates, dependencies)</t>
        </is>
      </c>
      <c r="E791" s="29" t="inlineStr">
        <is>
          <t>I</t>
        </is>
      </c>
      <c r="F791" s="28" t="inlineStr">
        <is>
          <t>Informed (NTF-14 task assigned); sees the outcome in Project WBS, My tasks.</t>
        </is>
      </c>
      <c r="G791" s="28" t="inlineStr">
        <is>
          <t>/projects/:id/wbs</t>
        </is>
      </c>
      <c r="H791" s="29" t="inlineStr">
        <is>
          <t>Extended</t>
        </is>
      </c>
    </row>
    <row r="792" ht="17" customHeight="1">
      <c r="A792" s="28" t="inlineStr">
        <is>
          <t>Employee</t>
        </is>
      </c>
      <c r="B792" s="28" t="inlineStr">
        <is>
          <t>DEL-04</t>
        </is>
      </c>
      <c r="C792" s="28" t="inlineStr">
        <is>
          <t>Project delivery</t>
        </is>
      </c>
      <c r="D792" s="28" t="inlineStr">
        <is>
          <t>Import a WBS from Excel/CSV</t>
        </is>
      </c>
      <c r="E792" s="29" t="inlineStr">
        <is>
          <t>I</t>
        </is>
      </c>
      <c r="F792" s="28" t="inlineStr">
        <is>
          <t>Informed (NTF-14 (one per owner)); sees the outcome in Project WBS.</t>
        </is>
      </c>
      <c r="G792" s="28" t="inlineStr">
        <is>
          <t>/projects/:id/import</t>
        </is>
      </c>
      <c r="H792" s="29" t="inlineStr">
        <is>
          <t>Live</t>
        </is>
      </c>
    </row>
    <row r="793" ht="30" customHeight="1">
      <c r="A793" s="28" t="inlineStr">
        <is>
          <t>Employee</t>
        </is>
      </c>
      <c r="B793" s="28" t="inlineStr">
        <is>
          <t>DEL-05</t>
        </is>
      </c>
      <c r="C793" s="28" t="inlineStr">
        <is>
          <t>Project delivery</t>
        </is>
      </c>
      <c r="D793" s="28" t="inlineStr">
        <is>
          <t>Allocate people to milestones</t>
        </is>
      </c>
      <c r="E793" s="29" t="inlineStr">
        <is>
          <t>I</t>
        </is>
      </c>
      <c r="F793" s="28" t="inlineStr">
        <is>
          <t>Informed; sees the outcome in PM Home (resource load), Insights &gt; Allocation, CEO Home (utilisation).</t>
        </is>
      </c>
      <c r="G793" s="28" t="inlineStr">
        <is>
          <t>/projects/:id/team</t>
        </is>
      </c>
      <c r="H793" s="29" t="inlineStr">
        <is>
          <t>Live</t>
        </is>
      </c>
    </row>
    <row r="794" ht="30" customHeight="1">
      <c r="A794" s="28" t="inlineStr">
        <is>
          <t>Employee</t>
        </is>
      </c>
      <c r="B794" s="28" t="inlineStr">
        <is>
          <t>DEL-07</t>
        </is>
      </c>
      <c r="C794" s="28" t="inlineStr">
        <is>
          <t>Project delivery</t>
        </is>
      </c>
      <c r="D794" s="28" t="inlineStr">
        <is>
          <t>Project status lifecycle</t>
        </is>
      </c>
      <c r="E794" s="29" t="inlineStr">
        <is>
          <t>I</t>
        </is>
      </c>
      <c r="F794" s="28" t="inlineStr">
        <is>
          <t>Informed (NTF-14 status changed (to PM)); sees the outcome in Projects list, CEO project health strip.</t>
        </is>
      </c>
      <c r="G794" s="28" t="inlineStr">
        <is>
          <t>/projects/:id</t>
        </is>
      </c>
      <c r="H794" s="29" t="inlineStr">
        <is>
          <t>Live</t>
        </is>
      </c>
    </row>
    <row r="795" ht="17" customHeight="1">
      <c r="A795" s="28" t="inlineStr">
        <is>
          <t>Employee</t>
        </is>
      </c>
      <c r="B795" s="28" t="inlineStr">
        <is>
          <t>DEL-11</t>
        </is>
      </c>
      <c r="C795" s="28" t="inlineStr">
        <is>
          <t>Project delivery</t>
        </is>
      </c>
      <c r="D795" s="28" t="inlineStr">
        <is>
          <t>Project closure</t>
        </is>
      </c>
      <c r="E795" s="29" t="inlineStr">
        <is>
          <t>I</t>
        </is>
      </c>
      <c r="F795" s="28" t="inlineStr">
        <is>
          <t>Informed (NTF-14 status changed); sees the outcome in Projects, P&amp;L.</t>
        </is>
      </c>
      <c r="G795" s="28" t="inlineStr">
        <is>
          <t>/projects/:id</t>
        </is>
      </c>
      <c r="H795" s="29" t="inlineStr">
        <is>
          <t>Live</t>
        </is>
      </c>
    </row>
    <row r="796" ht="30" customHeight="1">
      <c r="A796" s="28" t="inlineStr">
        <is>
          <t>Employee</t>
        </is>
      </c>
      <c r="B796" s="28" t="inlineStr">
        <is>
          <t>DEL-14</t>
        </is>
      </c>
      <c r="C796" s="28" t="inlineStr">
        <is>
          <t>Project delivery</t>
        </is>
      </c>
      <c r="D796" s="28" t="inlineStr">
        <is>
          <t>Support / AMS ticketing with SLA</t>
        </is>
      </c>
      <c r="E796" s="29" t="inlineStr">
        <is>
          <t>R</t>
        </is>
      </c>
      <c r="F796" s="28" t="inlineStr">
        <is>
          <t>Planned (not built yet). Does it: carries out "Support / AMS ticketing with SLA".</t>
        </is>
      </c>
      <c r="G796" s="28" t="inlineStr">
        <is>
          <t>-</t>
        </is>
      </c>
      <c r="H796" s="29" t="inlineStr">
        <is>
          <t>Planned</t>
        </is>
      </c>
    </row>
    <row r="797" ht="17" customHeight="1">
      <c r="A797" s="28" t="inlineStr">
        <is>
          <t>Employee</t>
        </is>
      </c>
      <c r="B797" s="28" t="inlineStr">
        <is>
          <t>TSK-01</t>
        </is>
      </c>
      <c r="C797" s="28" t="inlineStr">
        <is>
          <t>Task governance</t>
        </is>
      </c>
      <c r="D797" s="28" t="inlineStr">
        <is>
          <t>Manager assigns a task</t>
        </is>
      </c>
      <c r="E797" s="29" t="inlineStr">
        <is>
          <t>I</t>
        </is>
      </c>
      <c r="F797" s="28" t="inlineStr">
        <is>
          <t>Receives the task and notification.</t>
        </is>
      </c>
      <c r="G797" s="28" t="inlineStr">
        <is>
          <t>/team-tasks?tab=assign</t>
        </is>
      </c>
      <c r="H797" s="29" t="inlineStr">
        <is>
          <t>New in v3</t>
        </is>
      </c>
    </row>
    <row r="798" ht="30" customHeight="1">
      <c r="A798" s="28" t="inlineStr">
        <is>
          <t>Employee</t>
        </is>
      </c>
      <c r="B798" s="28" t="inlineStr">
        <is>
          <t>TSK-02</t>
        </is>
      </c>
      <c r="C798" s="28" t="inlineStr">
        <is>
          <t>Task governance</t>
        </is>
      </c>
      <c r="D798" s="28" t="inlineStr">
        <is>
          <t>Work my tasks (start, progress, covering)</t>
        </is>
      </c>
      <c r="E798" s="29" t="inlineStr">
        <is>
          <t>R</t>
        </is>
      </c>
      <c r="F798" s="28" t="inlineStr">
        <is>
          <t>Does it: carries out "Work my tasks (start, progress, covering)" in /my-tasks, task drawer.</t>
        </is>
      </c>
      <c r="G798" s="28" t="inlineStr">
        <is>
          <t>/my-tasks, task drawer</t>
        </is>
      </c>
      <c r="H798" s="29" t="inlineStr">
        <is>
          <t>Live</t>
        </is>
      </c>
    </row>
    <row r="799" ht="30" customHeight="1">
      <c r="A799" s="28" t="inlineStr">
        <is>
          <t>Employee</t>
        </is>
      </c>
      <c r="B799" s="28" t="inlineStr">
        <is>
          <t>TSK-03</t>
        </is>
      </c>
      <c r="C799" s="28" t="inlineStr">
        <is>
          <t>Task governance</t>
        </is>
      </c>
      <c r="D799" s="28" t="inlineStr">
        <is>
          <t>Report a blocker; comments and @mentions</t>
        </is>
      </c>
      <c r="E799" s="29" t="inlineStr">
        <is>
          <t>R</t>
        </is>
      </c>
      <c r="F799" s="28" t="inlineStr">
        <is>
          <t>Does it: carries out "Report a blocker; comments and @mentions" in Task drawer.</t>
        </is>
      </c>
      <c r="G799" s="28" t="inlineStr">
        <is>
          <t>Task drawer</t>
        </is>
      </c>
      <c r="H799" s="29" t="inlineStr">
        <is>
          <t>Live</t>
        </is>
      </c>
    </row>
    <row r="800" ht="30" customHeight="1">
      <c r="A800" s="28" t="inlineStr">
        <is>
          <t>Employee</t>
        </is>
      </c>
      <c r="B800" s="28" t="inlineStr">
        <is>
          <t>TSK-04</t>
        </is>
      </c>
      <c r="C800" s="28" t="inlineStr">
        <is>
          <t>Task governance</t>
        </is>
      </c>
      <c r="D800" s="28" t="inlineStr">
        <is>
          <t>Submit task for review</t>
        </is>
      </c>
      <c r="E800" s="29" t="inlineStr">
        <is>
          <t>R</t>
        </is>
      </c>
      <c r="F800" s="28" t="inlineStr">
        <is>
          <t>Does it: carries out "Submit task for review" in Task drawer &gt; Submit for review.</t>
        </is>
      </c>
      <c r="G800" s="28" t="inlineStr">
        <is>
          <t>Task drawer &gt; Submit for review</t>
        </is>
      </c>
      <c r="H800" s="29" t="inlineStr">
        <is>
          <t>New in v3</t>
        </is>
      </c>
    </row>
    <row r="801" ht="30" customHeight="1">
      <c r="A801" s="28" t="inlineStr">
        <is>
          <t>Employee</t>
        </is>
      </c>
      <c r="B801" s="28" t="inlineStr">
        <is>
          <t>TSK-05</t>
        </is>
      </c>
      <c r="C801" s="28" t="inlineStr">
        <is>
          <t>Task governance</t>
        </is>
      </c>
      <c r="D801" s="28" t="inlineStr">
        <is>
          <t>Delay reason capture</t>
        </is>
      </c>
      <c r="E801" s="29" t="inlineStr">
        <is>
          <t>R</t>
        </is>
      </c>
      <c r="F801" s="28" t="inlineStr">
        <is>
          <t>Does it: carries out "Delay reason capture" in Task drawer &gt; Submit for review.</t>
        </is>
      </c>
      <c r="G801" s="28" t="inlineStr">
        <is>
          <t>Task drawer &gt; Submit for review</t>
        </is>
      </c>
      <c r="H801" s="29" t="inlineStr">
        <is>
          <t>New in v3</t>
        </is>
      </c>
    </row>
    <row r="802" ht="56" customHeight="1">
      <c r="A802" s="28" t="inlineStr">
        <is>
          <t>Employee</t>
        </is>
      </c>
      <c r="B802" s="28" t="inlineStr">
        <is>
          <t>TSK-06</t>
        </is>
      </c>
      <c r="C802" s="28" t="inlineStr">
        <is>
          <t>Task governance</t>
        </is>
      </c>
      <c r="D802" s="28" t="inlineStr">
        <is>
          <t>Approve task with quality rating</t>
        </is>
      </c>
      <c r="E802" s="29" t="inlineStr">
        <is>
          <t>I</t>
        </is>
      </c>
      <c r="F802" s="28" t="inlineStr">
        <is>
          <t>Informed (NTF-05 task approved (with rating and timeliness)); sees the outcome in CEO/PM/Employee Home (task delivery), Team tasks &gt; Performance, My performance, Appraisal metrics, Scorecard; Reports / Ask AI (tasks, task_reviews).</t>
        </is>
      </c>
      <c r="G802" s="28" t="inlineStr">
        <is>
          <t>/inbox, /team-tasks?tab=review, task drawer</t>
        </is>
      </c>
      <c r="H802" s="29" t="inlineStr">
        <is>
          <t>Extended</t>
        </is>
      </c>
    </row>
    <row r="803" ht="30" customHeight="1">
      <c r="A803" s="28" t="inlineStr">
        <is>
          <t>Employee</t>
        </is>
      </c>
      <c r="B803" s="28" t="inlineStr">
        <is>
          <t>TSK-07</t>
        </is>
      </c>
      <c r="C803" s="28" t="inlineStr">
        <is>
          <t>Task governance</t>
        </is>
      </c>
      <c r="D803" s="28" t="inlineStr">
        <is>
          <t>Send back with reason</t>
        </is>
      </c>
      <c r="E803" s="29" t="inlineStr">
        <is>
          <t>I</t>
        </is>
      </c>
      <c r="F803" s="28" t="inlineStr">
        <is>
          <t>Informed (NTF-06 task sent back); sees the outcome in Team tasks (sent-back count, last reason), My performance; Reports / Ask AI (task_reviews).</t>
        </is>
      </c>
      <c r="G803" s="28" t="inlineStr">
        <is>
          <t>/inbox, task drawer</t>
        </is>
      </c>
      <c r="H803" s="29" t="inlineStr">
        <is>
          <t>Extended</t>
        </is>
      </c>
    </row>
    <row r="804" ht="30" customHeight="1">
      <c r="A804" s="28" t="inlineStr">
        <is>
          <t>Employee</t>
        </is>
      </c>
      <c r="B804" s="28" t="inlineStr">
        <is>
          <t>TSK-08</t>
        </is>
      </c>
      <c r="C804" s="28" t="inlineStr">
        <is>
          <t>Task governance</t>
        </is>
      </c>
      <c r="D804" s="28" t="inlineStr">
        <is>
          <t>Reschedule a task with reason</t>
        </is>
      </c>
      <c r="E804" s="29" t="inlineStr">
        <is>
          <t>I</t>
        </is>
      </c>
      <c r="F804" s="28" t="inlineStr">
        <is>
          <t>Informed (NTF-14 due date changed); sees the outcome in Team tasks &gt; Team.</t>
        </is>
      </c>
      <c r="G804" s="28" t="inlineStr">
        <is>
          <t>Task drawer</t>
        </is>
      </c>
      <c r="H804" s="29" t="inlineStr">
        <is>
          <t>New in v3</t>
        </is>
      </c>
    </row>
    <row r="805" ht="43" customHeight="1">
      <c r="A805" s="28" t="inlineStr">
        <is>
          <t>Employee</t>
        </is>
      </c>
      <c r="B805" s="28" t="inlineStr">
        <is>
          <t>TSK-09</t>
        </is>
      </c>
      <c r="C805" s="28" t="inlineStr">
        <is>
          <t>Task governance</t>
        </is>
      </c>
      <c r="D805" s="28" t="inlineStr">
        <is>
          <t>Timeliness: early, on time or late</t>
        </is>
      </c>
      <c r="E805" s="29" t="inlineStr">
        <is>
          <t>I</t>
        </is>
      </c>
      <c r="F805" s="28" t="inlineStr">
        <is>
          <t>Informed; sees the outcome in CEO Home, HR &amp; operations Home, PM Home, Employee Home (task delivery panels), Team tasks &gt; Performance, Scorecard, Appraisals, Reports / Ask AI (tasks.timeliness).</t>
        </is>
      </c>
      <c r="G805" s="28" t="inlineStr">
        <is>
          <t>Computed (performance.ts)</t>
        </is>
      </c>
      <c r="H805" s="29" t="inlineStr">
        <is>
          <t>New in v3</t>
        </is>
      </c>
    </row>
    <row r="806" ht="56" customHeight="1">
      <c r="A806" s="28" t="inlineStr">
        <is>
          <t>Employee</t>
        </is>
      </c>
      <c r="B806" s="28" t="inlineStr">
        <is>
          <t>TSK-11</t>
        </is>
      </c>
      <c r="C806" s="28" t="inlineStr">
        <is>
          <t>Task governance</t>
        </is>
      </c>
      <c r="D806" s="28" t="inlineStr">
        <is>
          <t>Team and company delivery performance</t>
        </is>
      </c>
      <c r="E806" s="29" t="inlineStr">
        <is>
          <t>I</t>
        </is>
      </c>
      <c r="F806" s="28" t="inlineStr">
        <is>
          <t>Informed; sees the outcome in CEO Home and HR &amp; operations Home (company, 90 days), PM Home (team), Employee Home (my delivery), CEO People panel (on-time %), Team tasks &gt; Performance, Reports / Ask AI (tasks, task_reviews).</t>
        </is>
      </c>
      <c r="G806" s="28" t="inlineStr">
        <is>
          <t>/team-tasks?tab=performance, /home</t>
        </is>
      </c>
      <c r="H806" s="29" t="inlineStr">
        <is>
          <t>New in v3</t>
        </is>
      </c>
    </row>
    <row r="807" ht="17" customHeight="1">
      <c r="A807" s="28" t="inlineStr">
        <is>
          <t>Employee</t>
        </is>
      </c>
      <c r="B807" s="28" t="inlineStr">
        <is>
          <t>TIM-01</t>
        </is>
      </c>
      <c r="C807" s="28" t="inlineStr">
        <is>
          <t>Time &amp; attendance</t>
        </is>
      </c>
      <c r="D807" s="28" t="inlineStr">
        <is>
          <t>Weekly timesheet entry</t>
        </is>
      </c>
      <c r="E807" s="29" t="inlineStr">
        <is>
          <t>R</t>
        </is>
      </c>
      <c r="F807" s="28" t="inlineStr">
        <is>
          <t>Does it: carries out "Weekly timesheet entry" in /timesheet.</t>
        </is>
      </c>
      <c r="G807" s="28" t="inlineStr">
        <is>
          <t>/timesheet</t>
        </is>
      </c>
      <c r="H807" s="29" t="inlineStr">
        <is>
          <t>Live</t>
        </is>
      </c>
    </row>
    <row r="808" ht="17" customHeight="1">
      <c r="A808" s="28" t="inlineStr">
        <is>
          <t>Employee</t>
        </is>
      </c>
      <c r="B808" s="28" t="inlineStr">
        <is>
          <t>TIM-02</t>
        </is>
      </c>
      <c r="C808" s="28" t="inlineStr">
        <is>
          <t>Time &amp; attendance</t>
        </is>
      </c>
      <c r="D808" s="28" t="inlineStr">
        <is>
          <t>Submit the week</t>
        </is>
      </c>
      <c r="E808" s="29" t="inlineStr">
        <is>
          <t>R</t>
        </is>
      </c>
      <c r="F808" s="28" t="inlineStr">
        <is>
          <t>Does it: carries out "Submit the week" in /timesheet.</t>
        </is>
      </c>
      <c r="G808" s="28" t="inlineStr">
        <is>
          <t>/timesheet</t>
        </is>
      </c>
      <c r="H808" s="29" t="inlineStr">
        <is>
          <t>Live</t>
        </is>
      </c>
    </row>
    <row r="809" ht="56" customHeight="1">
      <c r="A809" s="28" t="inlineStr">
        <is>
          <t>Employee</t>
        </is>
      </c>
      <c r="B809" s="28" t="inlineStr">
        <is>
          <t>TIM-03</t>
        </is>
      </c>
      <c r="C809" s="28" t="inlineStr">
        <is>
          <t>Time &amp; attendance</t>
        </is>
      </c>
      <c r="D809" s="28" t="inlineStr">
        <is>
          <t>Timesheet approval and SLA</t>
        </is>
      </c>
      <c r="E809" s="29" t="inlineStr">
        <is>
          <t>I</t>
        </is>
      </c>
      <c r="F809" s="28" t="inlineStr">
        <is>
          <t>Informed (NTF-05 approved; NTF-06 rejected; NTF-10 overdue digest); sees the outcome in Approvals inbox (timesheet), PM Home (approvals for me), CEO Home (approvals by manager), Insights &gt; Approval KPI, Team grid, Scorecard (approvals).</t>
        </is>
      </c>
      <c r="G809" s="28" t="inlineStr">
        <is>
          <t>/approvals, /inbox, /team</t>
        </is>
      </c>
      <c r="H809" s="29" t="inlineStr">
        <is>
          <t>Extended</t>
        </is>
      </c>
    </row>
    <row r="810" ht="30" customHeight="1">
      <c r="A810" s="28" t="inlineStr">
        <is>
          <t>Employee</t>
        </is>
      </c>
      <c r="B810" s="28" t="inlineStr">
        <is>
          <t>TIM-04</t>
        </is>
      </c>
      <c r="C810" s="28" t="inlineStr">
        <is>
          <t>Time &amp; attendance</t>
        </is>
      </c>
      <c r="D810" s="28" t="inlineStr">
        <is>
          <t>Weekly lock and unlock request</t>
        </is>
      </c>
      <c r="E810" s="29" t="inlineStr">
        <is>
          <t>R</t>
        </is>
      </c>
      <c r="F810" s="28" t="inlineStr">
        <is>
          <t>Does it: carries out "Weekly lock and unlock request" in /timesheet, /approvals, /inbox.</t>
        </is>
      </c>
      <c r="G810" s="28" t="inlineStr">
        <is>
          <t>/timesheet, /approvals, /inbox</t>
        </is>
      </c>
      <c r="H810" s="29" t="inlineStr">
        <is>
          <t>Live</t>
        </is>
      </c>
    </row>
    <row r="811" ht="17" customHeight="1">
      <c r="A811" s="28" t="inlineStr">
        <is>
          <t>Employee</t>
        </is>
      </c>
      <c r="B811" s="28" t="inlineStr">
        <is>
          <t>TIM-05</t>
        </is>
      </c>
      <c r="C811" s="28" t="inlineStr">
        <is>
          <t>Time &amp; attendance</t>
        </is>
      </c>
      <c r="D811" s="28" t="inlineStr">
        <is>
          <t>Daily update with proof</t>
        </is>
      </c>
      <c r="E811" s="29" t="inlineStr">
        <is>
          <t>R</t>
        </is>
      </c>
      <c r="F811" s="28" t="inlineStr">
        <is>
          <t>Does it: carries out "Daily update with proof" in /daily.</t>
        </is>
      </c>
      <c r="G811" s="28" t="inlineStr">
        <is>
          <t>/daily</t>
        </is>
      </c>
      <c r="H811" s="29" t="inlineStr">
        <is>
          <t>Live</t>
        </is>
      </c>
    </row>
    <row r="812" ht="17" customHeight="1">
      <c r="A812" s="28" t="inlineStr">
        <is>
          <t>Employee</t>
        </is>
      </c>
      <c r="B812" s="28" t="inlineStr">
        <is>
          <t>TIM-06</t>
        </is>
      </c>
      <c r="C812" s="28" t="inlineStr">
        <is>
          <t>Time &amp; attendance</t>
        </is>
      </c>
      <c r="D812" s="28" t="inlineStr">
        <is>
          <t>Apply for leave</t>
        </is>
      </c>
      <c r="E812" s="29" t="inlineStr">
        <is>
          <t>R</t>
        </is>
      </c>
      <c r="F812" s="28" t="inlineStr">
        <is>
          <t>Does it: carries out "Apply for leave" in /leave.</t>
        </is>
      </c>
      <c r="G812" s="28" t="inlineStr">
        <is>
          <t>/leave</t>
        </is>
      </c>
      <c r="H812" s="29" t="inlineStr">
        <is>
          <t>New in v3</t>
        </is>
      </c>
    </row>
    <row r="813" ht="43" customHeight="1">
      <c r="A813" s="28" t="inlineStr">
        <is>
          <t>Employee</t>
        </is>
      </c>
      <c r="B813" s="28" t="inlineStr">
        <is>
          <t>TIM-07</t>
        </is>
      </c>
      <c r="C813" s="28" t="inlineStr">
        <is>
          <t>Time &amp; attendance</t>
        </is>
      </c>
      <c r="D813" s="28" t="inlineStr">
        <is>
          <t>Approve, reject or cancel leave</t>
        </is>
      </c>
      <c r="E813" s="29" t="inlineStr">
        <is>
          <t>I</t>
        </is>
      </c>
      <c r="F813" s="28" t="inlineStr">
        <is>
          <t>Informed (NTF-05 leave approved; NTF-06 leave not approved; NTF-04 leave cancelled); sees the outcome in Approvals inbox (leave), HR Home (on leave today), Payroll; Reports / Ask AI (leave_requests).</t>
        </is>
      </c>
      <c r="G813" s="28" t="inlineStr">
        <is>
          <t>/leave, /inbox</t>
        </is>
      </c>
      <c r="H813" s="29" t="inlineStr">
        <is>
          <t>Extended</t>
        </is>
      </c>
    </row>
    <row r="814" ht="17" customHeight="1">
      <c r="A814" s="28" t="inlineStr">
        <is>
          <t>Employee</t>
        </is>
      </c>
      <c r="B814" s="28" t="inlineStr">
        <is>
          <t>TIM-08</t>
        </is>
      </c>
      <c r="C814" s="28" t="inlineStr">
        <is>
          <t>Time &amp; attendance</t>
        </is>
      </c>
      <c r="D814" s="28" t="inlineStr">
        <is>
          <t>Leave policy and balances</t>
        </is>
      </c>
      <c r="E814" s="29" t="inlineStr">
        <is>
          <t>I</t>
        </is>
      </c>
      <c r="F814" s="28" t="inlineStr">
        <is>
          <t>Informed; sees the outcome in Leave page.</t>
        </is>
      </c>
      <c r="G814" s="28" t="inlineStr">
        <is>
          <t>/leave (policy)</t>
        </is>
      </c>
      <c r="H814" s="29" t="inlineStr">
        <is>
          <t>New in v3</t>
        </is>
      </c>
    </row>
    <row r="815" ht="17" customHeight="1">
      <c r="A815" s="28" t="inlineStr">
        <is>
          <t>Employee</t>
        </is>
      </c>
      <c r="B815" s="28" t="inlineStr">
        <is>
          <t>TIM-09</t>
        </is>
      </c>
      <c r="C815" s="28" t="inlineStr">
        <is>
          <t>Time &amp; attendance</t>
        </is>
      </c>
      <c r="D815" s="28" t="inlineStr">
        <is>
          <t>HR leave entry and leave in timesheet</t>
        </is>
      </c>
      <c r="E815" s="29" t="inlineStr">
        <is>
          <t>I</t>
        </is>
      </c>
      <c r="F815" s="28" t="inlineStr">
        <is>
          <t>Informed; sees the outcome in Payroll, Team grid.</t>
        </is>
      </c>
      <c r="G815" s="28" t="inlineStr">
        <is>
          <t>/leave, /timesheet</t>
        </is>
      </c>
      <c r="H815" s="29" t="inlineStr">
        <is>
          <t>Live</t>
        </is>
      </c>
    </row>
    <row r="816" ht="17" customHeight="1">
      <c r="A816" s="28" t="inlineStr">
        <is>
          <t>Employee</t>
        </is>
      </c>
      <c r="B816" s="28" t="inlineStr">
        <is>
          <t>TIM-10</t>
        </is>
      </c>
      <c r="C816" s="28" t="inlineStr">
        <is>
          <t>Time &amp; attendance</t>
        </is>
      </c>
      <c r="D816" s="28" t="inlineStr">
        <is>
          <t>Compensatory off accrual</t>
        </is>
      </c>
      <c r="E816" s="29" t="inlineStr">
        <is>
          <t>R</t>
        </is>
      </c>
      <c r="F816" s="28" t="inlineStr">
        <is>
          <t>Planned (not built yet). Does it: carries out "Compensatory off accrual".</t>
        </is>
      </c>
      <c r="G816" s="28" t="inlineStr">
        <is>
          <t>-</t>
        </is>
      </c>
      <c r="H816" s="29" t="inlineStr">
        <is>
          <t>Planned</t>
        </is>
      </c>
    </row>
    <row r="817" ht="30" customHeight="1">
      <c r="A817" s="28" t="inlineStr">
        <is>
          <t>Employee</t>
        </is>
      </c>
      <c r="B817" s="28" t="inlineStr">
        <is>
          <t>TIM-11</t>
        </is>
      </c>
      <c r="C817" s="28" t="inlineStr">
        <is>
          <t>Time &amp; attendance</t>
        </is>
      </c>
      <c r="D817" s="28" t="inlineStr">
        <is>
          <t>Attendance capture (office / WFH / client site)</t>
        </is>
      </c>
      <c r="E817" s="29" t="inlineStr">
        <is>
          <t>R</t>
        </is>
      </c>
      <c r="F817" s="28" t="inlineStr">
        <is>
          <t>Planned (not built yet). Does it: carries out "Attendance capture (office / WFH / client site)".</t>
        </is>
      </c>
      <c r="G817" s="28" t="inlineStr">
        <is>
          <t>-</t>
        </is>
      </c>
      <c r="H817" s="29" t="inlineStr">
        <is>
          <t>Planned</t>
        </is>
      </c>
    </row>
    <row r="818" ht="30" customHeight="1">
      <c r="A818" s="28" t="inlineStr">
        <is>
          <t>Employee</t>
        </is>
      </c>
      <c r="B818" s="28" t="inlineStr">
        <is>
          <t>DOC-01</t>
        </is>
      </c>
      <c r="C818" s="28" t="inlineStr">
        <is>
          <t>Documents &amp; knowledge</t>
        </is>
      </c>
      <c r="D818" s="28" t="inlineStr">
        <is>
          <t>PM uploads a project document</t>
        </is>
      </c>
      <c r="E818" s="29" t="inlineStr">
        <is>
          <t>I</t>
        </is>
      </c>
      <c r="F818" s="28" t="inlineStr">
        <is>
          <t>Informed (NTF-14 must-read document (to audience)); sees the outcome in Project &gt; Documents, Documents library; Reports / Ask AI (documents).</t>
        </is>
      </c>
      <c r="G818" s="28" t="inlineStr">
        <is>
          <t>/projects/:id/documents</t>
        </is>
      </c>
      <c r="H818" s="29" t="inlineStr">
        <is>
          <t>New in v3</t>
        </is>
      </c>
    </row>
    <row r="819" ht="30" customHeight="1">
      <c r="A819" s="28" t="inlineStr">
        <is>
          <t>Employee</t>
        </is>
      </c>
      <c r="B819" s="28" t="inlineStr">
        <is>
          <t>DOC-02</t>
        </is>
      </c>
      <c r="C819" s="28" t="inlineStr">
        <is>
          <t>Documents &amp; knowledge</t>
        </is>
      </c>
      <c r="D819" s="28" t="inlineStr">
        <is>
          <t>Employees access project documents</t>
        </is>
      </c>
      <c r="E819" s="29" t="inlineStr">
        <is>
          <t>R</t>
        </is>
      </c>
      <c r="F819" s="28" t="inlineStr">
        <is>
          <t>Does it: carries out "Employees access project documents" in /documents, /projects/:id/documents.</t>
        </is>
      </c>
      <c r="G819" s="28" t="inlineStr">
        <is>
          <t>/documents, /projects/:id/documents</t>
        </is>
      </c>
      <c r="H819" s="29" t="inlineStr">
        <is>
          <t>New in v3</t>
        </is>
      </c>
    </row>
    <row r="820" ht="17" customHeight="1">
      <c r="A820" s="28" t="inlineStr">
        <is>
          <t>Employee</t>
        </is>
      </c>
      <c r="B820" s="28" t="inlineStr">
        <is>
          <t>DOC-03</t>
        </is>
      </c>
      <c r="C820" s="28" t="inlineStr">
        <is>
          <t>Documents &amp; knowledge</t>
        </is>
      </c>
      <c r="D820" s="28" t="inlineStr">
        <is>
          <t>New version, archive and restore</t>
        </is>
      </c>
      <c r="E820" s="29" t="inlineStr">
        <is>
          <t>I</t>
        </is>
      </c>
      <c r="F820" s="28" t="inlineStr">
        <is>
          <t>Informed (NTF-14 must-read (new version)); sees the outcome in Documents.</t>
        </is>
      </c>
      <c r="G820" s="28" t="inlineStr">
        <is>
          <t>/documents</t>
        </is>
      </c>
      <c r="H820" s="29" t="inlineStr">
        <is>
          <t>New in v3</t>
        </is>
      </c>
    </row>
    <row r="821" ht="17" customHeight="1">
      <c r="A821" s="28" t="inlineStr">
        <is>
          <t>Employee</t>
        </is>
      </c>
      <c r="B821" s="28" t="inlineStr">
        <is>
          <t>DOC-04</t>
        </is>
      </c>
      <c r="C821" s="28" t="inlineStr">
        <is>
          <t>Documents &amp; knowledge</t>
        </is>
      </c>
      <c r="D821" s="28" t="inlineStr">
        <is>
          <t>Must-read acknowledgement</t>
        </is>
      </c>
      <c r="E821" s="29" t="inlineStr">
        <is>
          <t>R</t>
        </is>
      </c>
      <c r="F821" s="28" t="inlineStr">
        <is>
          <t>Does it: carries out "Must-read acknowledgement" in /inbox, /documents.</t>
        </is>
      </c>
      <c r="G821" s="28" t="inlineStr">
        <is>
          <t>/inbox, /documents</t>
        </is>
      </c>
      <c r="H821" s="29" t="inlineStr">
        <is>
          <t>New in v3</t>
        </is>
      </c>
    </row>
    <row r="822" ht="17" customHeight="1">
      <c r="A822" s="28" t="inlineStr">
        <is>
          <t>Employee</t>
        </is>
      </c>
      <c r="B822" s="28" t="inlineStr">
        <is>
          <t>DOC-05</t>
        </is>
      </c>
      <c r="C822" s="28" t="inlineStr">
        <is>
          <t>Documents &amp; knowledge</t>
        </is>
      </c>
      <c r="D822" s="28" t="inlineStr">
        <is>
          <t>Company library and policies</t>
        </is>
      </c>
      <c r="E822" s="29" t="inlineStr">
        <is>
          <t>R</t>
        </is>
      </c>
      <c r="F822" s="28" t="inlineStr">
        <is>
          <t>Does it: carries out "Company library and policies" in /documents.</t>
        </is>
      </c>
      <c r="G822" s="28" t="inlineStr">
        <is>
          <t>/documents</t>
        </is>
      </c>
      <c r="H822" s="29" t="inlineStr">
        <is>
          <t>New in v3</t>
        </is>
      </c>
    </row>
    <row r="823" ht="17" customHeight="1">
      <c r="A823" s="28" t="inlineStr">
        <is>
          <t>Employee</t>
        </is>
      </c>
      <c r="B823" s="28" t="inlineStr">
        <is>
          <t>DOC-06</t>
        </is>
      </c>
      <c r="C823" s="28" t="inlineStr">
        <is>
          <t>Documents &amp; knowledge</t>
        </is>
      </c>
      <c r="D823" s="28" t="inlineStr">
        <is>
          <t>Knowledge base</t>
        </is>
      </c>
      <c r="E823" s="29" t="inlineStr">
        <is>
          <t>R</t>
        </is>
      </c>
      <c r="F823" s="28" t="inlineStr">
        <is>
          <t>Planned (not built yet). Does it: carries out "Knowledge base".</t>
        </is>
      </c>
      <c r="G823" s="28" t="inlineStr">
        <is>
          <t>-</t>
        </is>
      </c>
      <c r="H823" s="29" t="inlineStr">
        <is>
          <t>Planned</t>
        </is>
      </c>
    </row>
    <row r="824" ht="30" customHeight="1">
      <c r="A824" s="28" t="inlineStr">
        <is>
          <t>Employee</t>
        </is>
      </c>
      <c r="B824" s="28" t="inlineStr">
        <is>
          <t>DOC-07</t>
        </is>
      </c>
      <c r="C824" s="28" t="inlineStr">
        <is>
          <t>Documents &amp; knowledge</t>
        </is>
      </c>
      <c r="D824" s="28" t="inlineStr">
        <is>
          <t>Policy attestation cycles</t>
        </is>
      </c>
      <c r="E824" s="29" t="inlineStr">
        <is>
          <t>R</t>
        </is>
      </c>
      <c r="F824" s="28" t="inlineStr">
        <is>
          <t>Planned (not built yet). Does it: carries out "Policy attestation cycles".</t>
        </is>
      </c>
      <c r="G824" s="28" t="inlineStr">
        <is>
          <t>-</t>
        </is>
      </c>
      <c r="H824" s="29" t="inlineStr">
        <is>
          <t>Planned</t>
        </is>
      </c>
    </row>
    <row r="825" ht="17" customHeight="1">
      <c r="A825" s="28" t="inlineStr">
        <is>
          <t>Employee</t>
        </is>
      </c>
      <c r="B825" s="28" t="inlineStr">
        <is>
          <t>DOC-08</t>
        </is>
      </c>
      <c r="C825" s="28" t="inlineStr">
        <is>
          <t>Documents &amp; knowledge</t>
        </is>
      </c>
      <c r="D825" s="28" t="inlineStr">
        <is>
          <t>Internal announcements</t>
        </is>
      </c>
      <c r="E825" s="29" t="inlineStr">
        <is>
          <t>I</t>
        </is>
      </c>
      <c r="F825" s="28" t="inlineStr">
        <is>
          <t>Planned (not built yet). Informed.</t>
        </is>
      </c>
      <c r="G825" s="28" t="inlineStr">
        <is>
          <t>-</t>
        </is>
      </c>
      <c r="H825" s="29" t="inlineStr">
        <is>
          <t>Planned</t>
        </is>
      </c>
    </row>
    <row r="826" ht="17" customHeight="1">
      <c r="A826" s="28" t="inlineStr">
        <is>
          <t>Employee</t>
        </is>
      </c>
      <c r="B826" s="28" t="inlineStr">
        <is>
          <t>HR-06</t>
        </is>
      </c>
      <c r="C826" s="28" t="inlineStr">
        <is>
          <t>People &amp; HR</t>
        </is>
      </c>
      <c r="D826" s="28" t="inlineStr">
        <is>
          <t>Onboarding checklist</t>
        </is>
      </c>
      <c r="E826" s="29" t="inlineStr">
        <is>
          <t>R</t>
        </is>
      </c>
      <c r="F826" s="28" t="inlineStr">
        <is>
          <t>Does it: carries out "Onboarding checklist" in /lifecycle.</t>
        </is>
      </c>
      <c r="G826" s="28" t="inlineStr">
        <is>
          <t>/lifecycle</t>
        </is>
      </c>
      <c r="H826" s="29" t="inlineStr">
        <is>
          <t>New in v3</t>
        </is>
      </c>
    </row>
    <row r="827" ht="17" customHeight="1">
      <c r="A827" s="28" t="inlineStr">
        <is>
          <t>Employee</t>
        </is>
      </c>
      <c r="B827" s="28" t="inlineStr">
        <is>
          <t>HR-07</t>
        </is>
      </c>
      <c r="C827" s="28" t="inlineStr">
        <is>
          <t>People &amp; HR</t>
        </is>
      </c>
      <c r="D827" s="28" t="inlineStr">
        <is>
          <t>Asset register: issue and return</t>
        </is>
      </c>
      <c r="E827" s="29" t="inlineStr">
        <is>
          <t>I</t>
        </is>
      </c>
      <c r="F827" s="28" t="inlineStr">
        <is>
          <t>Informed; sees the outcome in HR Home (assets due back).</t>
        </is>
      </c>
      <c r="G827" s="28" t="inlineStr">
        <is>
          <t>/assets</t>
        </is>
      </c>
      <c r="H827" s="29" t="inlineStr">
        <is>
          <t>New in v3</t>
        </is>
      </c>
    </row>
    <row r="828" ht="17" customHeight="1">
      <c r="A828" s="28" t="inlineStr">
        <is>
          <t>Employee</t>
        </is>
      </c>
      <c r="B828" s="28" t="inlineStr">
        <is>
          <t>HR-08</t>
        </is>
      </c>
      <c r="C828" s="28" t="inlineStr">
        <is>
          <t>People &amp; HR</t>
        </is>
      </c>
      <c r="D828" s="28" t="inlineStr">
        <is>
          <t>Goals and KRAs</t>
        </is>
      </c>
      <c r="E828" s="29" t="inlineStr">
        <is>
          <t>R</t>
        </is>
      </c>
      <c r="F828" s="28" t="inlineStr">
        <is>
          <t>Does it: carries out "Goals and KRAs" in /performance.</t>
        </is>
      </c>
      <c r="G828" s="28" t="inlineStr">
        <is>
          <t>/performance</t>
        </is>
      </c>
      <c r="H828" s="29" t="inlineStr">
        <is>
          <t>New in v3</t>
        </is>
      </c>
    </row>
    <row r="829" ht="17" customHeight="1">
      <c r="A829" s="28" t="inlineStr">
        <is>
          <t>Employee</t>
        </is>
      </c>
      <c r="B829" s="28" t="inlineStr">
        <is>
          <t>HR-09</t>
        </is>
      </c>
      <c r="C829" s="28" t="inlineStr">
        <is>
          <t>People &amp; HR</t>
        </is>
      </c>
      <c r="D829" s="28" t="inlineStr">
        <is>
          <t>Continuous feedback and praise</t>
        </is>
      </c>
      <c r="E829" s="29" t="inlineStr">
        <is>
          <t>R</t>
        </is>
      </c>
      <c r="F829" s="28" t="inlineStr">
        <is>
          <t>Does it: carries out "Continuous feedback and praise" in /performance.</t>
        </is>
      </c>
      <c r="G829" s="28" t="inlineStr">
        <is>
          <t>/performance</t>
        </is>
      </c>
      <c r="H829" s="29" t="inlineStr">
        <is>
          <t>New in v3</t>
        </is>
      </c>
    </row>
    <row r="830" ht="30" customHeight="1">
      <c r="A830" s="28" t="inlineStr">
        <is>
          <t>Employee</t>
        </is>
      </c>
      <c r="B830" s="28" t="inlineStr">
        <is>
          <t>HR-10</t>
        </is>
      </c>
      <c r="C830" s="28" t="inlineStr">
        <is>
          <t>People &amp; HR</t>
        </is>
      </c>
      <c r="D830" s="28" t="inlineStr">
        <is>
          <t>Set up and launch an appraisal cycle</t>
        </is>
      </c>
      <c r="E830" s="29" t="inlineStr">
        <is>
          <t>I</t>
        </is>
      </c>
      <c r="F830" s="28" t="inlineStr">
        <is>
          <t>Informed; sees the outcome in HR Home (appraisal cycle), Appraisals; Reports / Ask AI (appraisals).</t>
        </is>
      </c>
      <c r="G830" s="28" t="inlineStr">
        <is>
          <t>/appraisals</t>
        </is>
      </c>
      <c r="H830" s="29" t="inlineStr">
        <is>
          <t>New in v3</t>
        </is>
      </c>
    </row>
    <row r="831" ht="17" customHeight="1">
      <c r="A831" s="28" t="inlineStr">
        <is>
          <t>Employee</t>
        </is>
      </c>
      <c r="B831" s="28" t="inlineStr">
        <is>
          <t>HR-11</t>
        </is>
      </c>
      <c r="C831" s="28" t="inlineStr">
        <is>
          <t>People &amp; HR</t>
        </is>
      </c>
      <c r="D831" s="28" t="inlineStr">
        <is>
          <t>Self review</t>
        </is>
      </c>
      <c r="E831" s="29" t="inlineStr">
        <is>
          <t>R</t>
        </is>
      </c>
      <c r="F831" s="28" t="inlineStr">
        <is>
          <t>Does it: carries out "Self review" in /appraisals/:id.</t>
        </is>
      </c>
      <c r="G831" s="28" t="inlineStr">
        <is>
          <t>/appraisals/:id</t>
        </is>
      </c>
      <c r="H831" s="29" t="inlineStr">
        <is>
          <t>New in v3</t>
        </is>
      </c>
    </row>
    <row r="832" ht="30" customHeight="1">
      <c r="A832" s="28" t="inlineStr">
        <is>
          <t>Employee</t>
        </is>
      </c>
      <c r="B832" s="28" t="inlineStr">
        <is>
          <t>HR-12</t>
        </is>
      </c>
      <c r="C832" s="28" t="inlineStr">
        <is>
          <t>People &amp; HR</t>
        </is>
      </c>
      <c r="D832" s="28" t="inlineStr">
        <is>
          <t>Manager review</t>
        </is>
      </c>
      <c r="E832" s="29" t="inlineStr">
        <is>
          <t>I</t>
        </is>
      </c>
      <c r="F832" s="28" t="inlineStr">
        <is>
          <t>Informed; sees the outcome in Approvals inbox (appraisal), Appraisals; Reports / Ask AI (appraisals).</t>
        </is>
      </c>
      <c r="G832" s="28" t="inlineStr">
        <is>
          <t>/appraisals/:id</t>
        </is>
      </c>
      <c r="H832" s="29" t="inlineStr">
        <is>
          <t>New in v3</t>
        </is>
      </c>
    </row>
    <row r="833" ht="30" customHeight="1">
      <c r="A833" s="28" t="inlineStr">
        <is>
          <t>Employee</t>
        </is>
      </c>
      <c r="B833" s="28" t="inlineStr">
        <is>
          <t>HR-13</t>
        </is>
      </c>
      <c r="C833" s="28" t="inlineStr">
        <is>
          <t>People &amp; HR</t>
        </is>
      </c>
      <c r="D833" s="28" t="inlineStr">
        <is>
          <t>HR review, calibration and outcome</t>
        </is>
      </c>
      <c r="E833" s="29" t="inlineStr">
        <is>
          <t>I</t>
        </is>
      </c>
      <c r="F833" s="28" t="inlineStr">
        <is>
          <t>Informed (NTF-05 appraisal completed (employee and manager)); sees the outcome in Appraisals, HR Home, Cost rates, Reports / Ask AI (appraisals).</t>
        </is>
      </c>
      <c r="G833" s="28" t="inlineStr">
        <is>
          <t>/appraisals/:id</t>
        </is>
      </c>
      <c r="H833" s="29" t="inlineStr">
        <is>
          <t>New in v3</t>
        </is>
      </c>
    </row>
    <row r="834" ht="30" customHeight="1">
      <c r="A834" s="28" t="inlineStr">
        <is>
          <t>Employee</t>
        </is>
      </c>
      <c r="B834" s="28" t="inlineStr">
        <is>
          <t>HR-14</t>
        </is>
      </c>
      <c r="C834" s="28" t="inlineStr">
        <is>
          <t>People &amp; HR</t>
        </is>
      </c>
      <c r="D834" s="28" t="inlineStr">
        <is>
          <t>Performance profile</t>
        </is>
      </c>
      <c r="E834" s="29" t="inlineStr">
        <is>
          <t>R</t>
        </is>
      </c>
      <c r="F834" s="28" t="inlineStr">
        <is>
          <t>Does it: carries out "Performance profile" in /performance, /performance/:userId.</t>
        </is>
      </c>
      <c r="G834" s="28" t="inlineStr">
        <is>
          <t>/performance, /performance/:userId</t>
        </is>
      </c>
      <c r="H834" s="29" t="inlineStr">
        <is>
          <t>New in v3</t>
        </is>
      </c>
    </row>
    <row r="835" ht="17" customHeight="1">
      <c r="A835" s="28" t="inlineStr">
        <is>
          <t>Employee</t>
        </is>
      </c>
      <c r="B835" s="28" t="inlineStr">
        <is>
          <t>HR-15</t>
        </is>
      </c>
      <c r="C835" s="28" t="inlineStr">
        <is>
          <t>People &amp; HR</t>
        </is>
      </c>
      <c r="D835" s="28" t="inlineStr">
        <is>
          <t>Exit and offboarding</t>
        </is>
      </c>
      <c r="E835" s="29" t="inlineStr">
        <is>
          <t>C</t>
        </is>
      </c>
      <c r="F835" s="28" t="inlineStr">
        <is>
          <t>Consulted: gives input, data or a decision when asked.</t>
        </is>
      </c>
      <c r="G835" s="28" t="inlineStr">
        <is>
          <t>/lifecycle</t>
        </is>
      </c>
      <c r="H835" s="29" t="inlineStr">
        <is>
          <t>New in v3</t>
        </is>
      </c>
    </row>
    <row r="836" ht="30" customHeight="1">
      <c r="A836" s="28" t="inlineStr">
        <is>
          <t>Employee</t>
        </is>
      </c>
      <c r="B836" s="28" t="inlineStr">
        <is>
          <t>HR-16</t>
        </is>
      </c>
      <c r="C836" s="28" t="inlineStr">
        <is>
          <t>People &amp; HR</t>
        </is>
      </c>
      <c r="D836" s="28" t="inlineStr">
        <is>
          <t>Skills matrix and bench management</t>
        </is>
      </c>
      <c r="E836" s="29" t="inlineStr">
        <is>
          <t>R</t>
        </is>
      </c>
      <c r="F836" s="28" t="inlineStr">
        <is>
          <t>Planned (not built yet). Does it: carries out "Skills matrix and bench management".</t>
        </is>
      </c>
      <c r="G836" s="28" t="inlineStr">
        <is>
          <t>-</t>
        </is>
      </c>
      <c r="H836" s="29" t="inlineStr">
        <is>
          <t>Planned</t>
        </is>
      </c>
    </row>
    <row r="837" ht="30" customHeight="1">
      <c r="A837" s="28" t="inlineStr">
        <is>
          <t>Employee</t>
        </is>
      </c>
      <c r="B837" s="28" t="inlineStr">
        <is>
          <t>HR-17</t>
        </is>
      </c>
      <c r="C837" s="28" t="inlineStr">
        <is>
          <t>People &amp; HR</t>
        </is>
      </c>
      <c r="D837" s="28" t="inlineStr">
        <is>
          <t>Training and certification tracking</t>
        </is>
      </c>
      <c r="E837" s="29" t="inlineStr">
        <is>
          <t>R</t>
        </is>
      </c>
      <c r="F837" s="28" t="inlineStr">
        <is>
          <t>Planned (not built yet). Does it: carries out "Training and certification tracking".</t>
        </is>
      </c>
      <c r="G837" s="28" t="inlineStr">
        <is>
          <t>-</t>
        </is>
      </c>
      <c r="H837" s="29" t="inlineStr">
        <is>
          <t>Planned</t>
        </is>
      </c>
    </row>
    <row r="838" ht="17" customHeight="1">
      <c r="A838" s="28" t="inlineStr">
        <is>
          <t>Employee</t>
        </is>
      </c>
      <c r="B838" s="28" t="inlineStr">
        <is>
          <t>HR-18</t>
        </is>
      </c>
      <c r="C838" s="28" t="inlineStr">
        <is>
          <t>People &amp; HR</t>
        </is>
      </c>
      <c r="D838" s="28" t="inlineStr">
        <is>
          <t>Probation confirmation</t>
        </is>
      </c>
      <c r="E838" s="29" t="inlineStr">
        <is>
          <t>I</t>
        </is>
      </c>
      <c r="F838" s="28" t="inlineStr">
        <is>
          <t>Planned (not built yet). Informed.</t>
        </is>
      </c>
      <c r="G838" s="28" t="inlineStr">
        <is>
          <t>-</t>
        </is>
      </c>
      <c r="H838" s="29" t="inlineStr">
        <is>
          <t>Planned</t>
        </is>
      </c>
    </row>
    <row r="839" ht="30" customHeight="1">
      <c r="A839" s="28" t="inlineStr">
        <is>
          <t>Employee</t>
        </is>
      </c>
      <c r="B839" s="28" t="inlineStr">
        <is>
          <t>HR-19</t>
        </is>
      </c>
      <c r="C839" s="28" t="inlineStr">
        <is>
          <t>People &amp; HR</t>
        </is>
      </c>
      <c r="D839" s="28" t="inlineStr">
        <is>
          <t>Employee self-service letters</t>
        </is>
      </c>
      <c r="E839" s="29" t="inlineStr">
        <is>
          <t>R</t>
        </is>
      </c>
      <c r="F839" s="28" t="inlineStr">
        <is>
          <t>Planned (not built yet). Does it: carries out "Employee self-service letters".</t>
        </is>
      </c>
      <c r="G839" s="28" t="inlineStr">
        <is>
          <t>-</t>
        </is>
      </c>
      <c r="H839" s="29" t="inlineStr">
        <is>
          <t>Planned</t>
        </is>
      </c>
    </row>
    <row r="840" ht="17" customHeight="1">
      <c r="A840" s="28" t="inlineStr">
        <is>
          <t>Employee</t>
        </is>
      </c>
      <c r="B840" s="28" t="inlineStr">
        <is>
          <t>HR-20</t>
        </is>
      </c>
      <c r="C840" s="28" t="inlineStr">
        <is>
          <t>People &amp; HR</t>
        </is>
      </c>
      <c r="D840" s="28" t="inlineStr">
        <is>
          <t>Employee referral bonus</t>
        </is>
      </c>
      <c r="E840" s="29" t="inlineStr">
        <is>
          <t>R</t>
        </is>
      </c>
      <c r="F840" s="28" t="inlineStr">
        <is>
          <t>Planned (not built yet). Does it: carries out "Employee referral bonus".</t>
        </is>
      </c>
      <c r="G840" s="28" t="inlineStr">
        <is>
          <t>-</t>
        </is>
      </c>
      <c r="H840" s="29" t="inlineStr">
        <is>
          <t>Planned</t>
        </is>
      </c>
    </row>
    <row r="841" ht="30" customHeight="1">
      <c r="A841" s="28" t="inlineStr">
        <is>
          <t>Employee</t>
        </is>
      </c>
      <c r="B841" s="28" t="inlineStr">
        <is>
          <t>HR-21</t>
        </is>
      </c>
      <c r="C841" s="28" t="inlineStr">
        <is>
          <t>People &amp; HR</t>
        </is>
      </c>
      <c r="D841" s="28" t="inlineStr">
        <is>
          <t>Grievance and POSH register</t>
        </is>
      </c>
      <c r="E841" s="29" t="inlineStr">
        <is>
          <t>R</t>
        </is>
      </c>
      <c r="F841" s="28" t="inlineStr">
        <is>
          <t>Planned (not built yet). Does it: carries out "Grievance and POSH register".</t>
        </is>
      </c>
      <c r="G841" s="28" t="inlineStr">
        <is>
          <t>-</t>
        </is>
      </c>
      <c r="H841" s="29" t="inlineStr">
        <is>
          <t>Planned</t>
        </is>
      </c>
    </row>
    <row r="842" ht="17" customHeight="1">
      <c r="A842" s="28" t="inlineStr">
        <is>
          <t>Employee</t>
        </is>
      </c>
      <c r="B842" s="28" t="inlineStr">
        <is>
          <t>PAY-02</t>
        </is>
      </c>
      <c r="C842" s="28" t="inlineStr">
        <is>
          <t>Payroll &amp; compensation</t>
        </is>
      </c>
      <c r="D842" s="28" t="inlineStr">
        <is>
          <t>Deductions for unapproved and LWP days</t>
        </is>
      </c>
      <c r="E842" s="29" t="inlineStr">
        <is>
          <t>I</t>
        </is>
      </c>
      <c r="F842" s="28" t="inlineStr">
        <is>
          <t>Informed; sees the outcome in Payroll.</t>
        </is>
      </c>
      <c r="G842" s="28" t="inlineStr">
        <is>
          <t>/payroll/:id</t>
        </is>
      </c>
      <c r="H842" s="29" t="inlineStr">
        <is>
          <t>Live</t>
        </is>
      </c>
    </row>
    <row r="843" ht="30" customHeight="1">
      <c r="A843" s="28" t="inlineStr">
        <is>
          <t>Employee</t>
        </is>
      </c>
      <c r="B843" s="28" t="inlineStr">
        <is>
          <t>PAY-05</t>
        </is>
      </c>
      <c r="C843" s="28" t="inlineStr">
        <is>
          <t>Payroll &amp; compensation</t>
        </is>
      </c>
      <c r="D843" s="28" t="inlineStr">
        <is>
          <t>Apply appraisal increments to salary</t>
        </is>
      </c>
      <c r="E843" s="29" t="inlineStr">
        <is>
          <t>I</t>
        </is>
      </c>
      <c r="F843" s="28" t="inlineStr">
        <is>
          <t>Informed (NTF-05 appraisal completed); sees the outcome in Cost rates, Payroll, Project money tab, P&amp;L.</t>
        </is>
      </c>
      <c r="G843" s="28" t="inlineStr">
        <is>
          <t>/appraisals/:id &gt; /settings/cost-rates</t>
        </is>
      </c>
      <c r="H843" s="29" t="inlineStr">
        <is>
          <t>New in v3</t>
        </is>
      </c>
    </row>
    <row r="844" ht="30" customHeight="1">
      <c r="A844" s="28" t="inlineStr">
        <is>
          <t>Employee</t>
        </is>
      </c>
      <c r="B844" s="28" t="inlineStr">
        <is>
          <t>PAY-06</t>
        </is>
      </c>
      <c r="C844" s="28" t="inlineStr">
        <is>
          <t>Payroll &amp; compensation</t>
        </is>
      </c>
      <c r="D844" s="28" t="inlineStr">
        <is>
          <t>Statutory payroll (PF, ESI, PT, TDS, LWF)</t>
        </is>
      </c>
      <c r="E844" s="29" t="inlineStr">
        <is>
          <t>I</t>
        </is>
      </c>
      <c r="F844" s="28" t="inlineStr">
        <is>
          <t>Planned (not built yet). Informed.</t>
        </is>
      </c>
      <c r="G844" s="28" t="inlineStr">
        <is>
          <t>-</t>
        </is>
      </c>
      <c r="H844" s="29" t="inlineStr">
        <is>
          <t>Planned</t>
        </is>
      </c>
    </row>
    <row r="845" ht="17" customHeight="1">
      <c r="A845" s="28" t="inlineStr">
        <is>
          <t>Employee</t>
        </is>
      </c>
      <c r="B845" s="28" t="inlineStr">
        <is>
          <t>PAY-07</t>
        </is>
      </c>
      <c r="C845" s="28" t="inlineStr">
        <is>
          <t>Payroll &amp; compensation</t>
        </is>
      </c>
      <c r="D845" s="28" t="inlineStr">
        <is>
          <t>Payslips and Form 16</t>
        </is>
      </c>
      <c r="E845" s="29" t="inlineStr">
        <is>
          <t>R</t>
        </is>
      </c>
      <c r="F845" s="28" t="inlineStr">
        <is>
          <t>Planned (not built yet). Does it: carries out "Payslips and Form 16".</t>
        </is>
      </c>
      <c r="G845" s="28" t="inlineStr">
        <is>
          <t>-</t>
        </is>
      </c>
      <c r="H845" s="29" t="inlineStr">
        <is>
          <t>Planned</t>
        </is>
      </c>
    </row>
    <row r="846" ht="17" customHeight="1">
      <c r="A846" s="28" t="inlineStr">
        <is>
          <t>Employee</t>
        </is>
      </c>
      <c r="B846" s="28" t="inlineStr">
        <is>
          <t>PAY-08</t>
        </is>
      </c>
      <c r="C846" s="28" t="inlineStr">
        <is>
          <t>Payroll &amp; compensation</t>
        </is>
      </c>
      <c r="D846" s="28" t="inlineStr">
        <is>
          <t>Full and final settlement</t>
        </is>
      </c>
      <c r="E846" s="29" t="inlineStr">
        <is>
          <t>I</t>
        </is>
      </c>
      <c r="F846" s="28" t="inlineStr">
        <is>
          <t>Planned (not built yet). Informed.</t>
        </is>
      </c>
      <c r="G846" s="28" t="inlineStr">
        <is>
          <t>-</t>
        </is>
      </c>
      <c r="H846" s="29" t="inlineStr">
        <is>
          <t>Planned</t>
        </is>
      </c>
    </row>
    <row r="847" ht="17" customHeight="1">
      <c r="A847" s="28" t="inlineStr">
        <is>
          <t>Employee</t>
        </is>
      </c>
      <c r="B847" s="28" t="inlineStr">
        <is>
          <t>SPD-01</t>
        </is>
      </c>
      <c r="C847" s="28" t="inlineStr">
        <is>
          <t>Spend &amp; procurement</t>
        </is>
      </c>
      <c r="D847" s="28" t="inlineStr">
        <is>
          <t>Submit an expense claim</t>
        </is>
      </c>
      <c r="E847" s="29" t="inlineStr">
        <is>
          <t>R</t>
        </is>
      </c>
      <c r="F847" s="28" t="inlineStr">
        <is>
          <t>Does it: carries out "Submit an expense claim" in /expenses.</t>
        </is>
      </c>
      <c r="G847" s="28" t="inlineStr">
        <is>
          <t>/expenses</t>
        </is>
      </c>
      <c r="H847" s="29" t="inlineStr">
        <is>
          <t>New in v3</t>
        </is>
      </c>
    </row>
    <row r="848" ht="43" customHeight="1">
      <c r="A848" s="28" t="inlineStr">
        <is>
          <t>Employee</t>
        </is>
      </c>
      <c r="B848" s="28" t="inlineStr">
        <is>
          <t>SPD-02</t>
        </is>
      </c>
      <c r="C848" s="28" t="inlineStr">
        <is>
          <t>Spend &amp; procurement</t>
        </is>
      </c>
      <c r="D848" s="28" t="inlineStr">
        <is>
          <t>Approve or reject an expense (two-step above Rs 25,000)</t>
        </is>
      </c>
      <c r="E848" s="29" t="inlineStr">
        <is>
          <t>I</t>
        </is>
      </c>
      <c r="F848" s="28" t="inlineStr">
        <is>
          <t>Informed (NTF-04 to Admin (second step); NTF-05 approved; NTF-06 rejected); sees the outcome in Approvals inbox (expense), Budgets (unbudgeted), CEO Spend panel; Reports / Ask AI (expenses).</t>
        </is>
      </c>
      <c r="G848" s="28" t="inlineStr">
        <is>
          <t>/expenses?tab=approve, /inbox</t>
        </is>
      </c>
      <c r="H848" s="29" t="inlineStr">
        <is>
          <t>Extended</t>
        </is>
      </c>
    </row>
    <row r="849" ht="30" customHeight="1">
      <c r="A849" s="28" t="inlineStr">
        <is>
          <t>Employee</t>
        </is>
      </c>
      <c r="B849" s="28" t="inlineStr">
        <is>
          <t>SPD-03</t>
        </is>
      </c>
      <c r="C849" s="28" t="inlineStr">
        <is>
          <t>Spend &amp; procurement</t>
        </is>
      </c>
      <c r="D849" s="28" t="inlineStr">
        <is>
          <t>Reimburse an expense</t>
        </is>
      </c>
      <c r="E849" s="29" t="inlineStr">
        <is>
          <t>I</t>
        </is>
      </c>
      <c r="F849" s="28" t="inlineStr">
        <is>
          <t>Informed (NTF-05 expense reimbursed); sees the outcome in Approvals inbox (expense pay), P&amp;L; Reports / Ask AI (expenses).</t>
        </is>
      </c>
      <c r="G849" s="28" t="inlineStr">
        <is>
          <t>/expenses?tab=pay, /inbox</t>
        </is>
      </c>
      <c r="H849" s="29" t="inlineStr">
        <is>
          <t>New in v3</t>
        </is>
      </c>
    </row>
    <row r="850" ht="30" customHeight="1">
      <c r="A850" s="28" t="inlineStr">
        <is>
          <t>Employee</t>
        </is>
      </c>
      <c r="B850" s="28" t="inlineStr">
        <is>
          <t>SPD-11</t>
        </is>
      </c>
      <c r="C850" s="28" t="inlineStr">
        <is>
          <t>Spend &amp; procurement</t>
        </is>
      </c>
      <c r="D850" s="28" t="inlineStr">
        <is>
          <t>Travel requests and advances</t>
        </is>
      </c>
      <c r="E850" s="29" t="inlineStr">
        <is>
          <t>R</t>
        </is>
      </c>
      <c r="F850" s="28" t="inlineStr">
        <is>
          <t>Planned (not built yet). Does it: carries out "Travel requests and advances".</t>
        </is>
      </c>
      <c r="G850" s="28" t="inlineStr">
        <is>
          <t>-</t>
        </is>
      </c>
      <c r="H850" s="29" t="inlineStr">
        <is>
          <t>Planned</t>
        </is>
      </c>
    </row>
    <row r="851" ht="30" customHeight="1">
      <c r="A851" s="28" t="inlineStr">
        <is>
          <t>Employee</t>
        </is>
      </c>
      <c r="B851" s="28" t="inlineStr">
        <is>
          <t>SPD-12</t>
        </is>
      </c>
      <c r="C851" s="28" t="inlineStr">
        <is>
          <t>Spend &amp; procurement</t>
        </is>
      </c>
      <c r="D851" s="28" t="inlineStr">
        <is>
          <t>Goods / service receipt (true 3-way match)</t>
        </is>
      </c>
      <c r="E851" s="29" t="inlineStr">
        <is>
          <t>R</t>
        </is>
      </c>
      <c r="F851" s="28" t="inlineStr">
        <is>
          <t>Planned (not built yet). Does it: carries out "Goods / service receipt (true 3-way match)".</t>
        </is>
      </c>
      <c r="G851" s="28" t="inlineStr">
        <is>
          <t>-</t>
        </is>
      </c>
      <c r="H851" s="29" t="inlineStr">
        <is>
          <t>Planned</t>
        </is>
      </c>
    </row>
    <row r="852" ht="30" customHeight="1">
      <c r="A852" s="28" t="inlineStr">
        <is>
          <t>Employee</t>
        </is>
      </c>
      <c r="B852" s="28" t="inlineStr">
        <is>
          <t>OPS-04</t>
        </is>
      </c>
      <c r="C852" s="28" t="inlineStr">
        <is>
          <t>Operations &amp; compliance</t>
        </is>
      </c>
      <c r="D852" s="28" t="inlineStr">
        <is>
          <t>ISO 9001 non-conformance and CAPA</t>
        </is>
      </c>
      <c r="E852" s="29" t="inlineStr">
        <is>
          <t>C</t>
        </is>
      </c>
      <c r="F852" s="28" t="inlineStr">
        <is>
          <t>Planned (not built yet). Consulted: gives input, data or a decision when asked.</t>
        </is>
      </c>
      <c r="G852" s="28" t="inlineStr">
        <is>
          <t>-</t>
        </is>
      </c>
      <c r="H852" s="29" t="inlineStr">
        <is>
          <t>Planned</t>
        </is>
      </c>
    </row>
    <row r="853" ht="30" customHeight="1">
      <c r="A853" s="28" t="inlineStr">
        <is>
          <t>Employee</t>
        </is>
      </c>
      <c r="B853" s="28" t="inlineStr">
        <is>
          <t>GOV-01</t>
        </is>
      </c>
      <c r="C853" s="28" t="inlineStr">
        <is>
          <t>Strategy &amp; governance</t>
        </is>
      </c>
      <c r="D853" s="28" t="inlineStr">
        <is>
          <t>Set objectives (company, team, personal)</t>
        </is>
      </c>
      <c r="E853" s="29" t="inlineStr">
        <is>
          <t>R</t>
        </is>
      </c>
      <c r="F853" s="28" t="inlineStr">
        <is>
          <t>Does it: carries out "Set objectives (company, team, personal)" in /okrs.</t>
        </is>
      </c>
      <c r="G853" s="28" t="inlineStr">
        <is>
          <t>/okrs</t>
        </is>
      </c>
      <c r="H853" s="29" t="inlineStr">
        <is>
          <t>New in v3</t>
        </is>
      </c>
    </row>
    <row r="854" ht="30" customHeight="1">
      <c r="A854" s="28" t="inlineStr">
        <is>
          <t>Employee</t>
        </is>
      </c>
      <c r="B854" s="28" t="inlineStr">
        <is>
          <t>GOV-02</t>
        </is>
      </c>
      <c r="C854" s="28" t="inlineStr">
        <is>
          <t>Strategy &amp; governance</t>
        </is>
      </c>
      <c r="D854" s="28" t="inlineStr">
        <is>
          <t>Key results with automatic measures and check-ins</t>
        </is>
      </c>
      <c r="E854" s="29" t="inlineStr">
        <is>
          <t>R</t>
        </is>
      </c>
      <c r="F854" s="28" t="inlineStr">
        <is>
          <t>Does it: carries out "Key results with automatic measures and check-ins" in /okrs.</t>
        </is>
      </c>
      <c r="G854" s="28" t="inlineStr">
        <is>
          <t>/okrs</t>
        </is>
      </c>
      <c r="H854" s="29" t="inlineStr">
        <is>
          <t>New in v3</t>
        </is>
      </c>
    </row>
    <row r="855" ht="17" customHeight="1">
      <c r="A855" s="28" t="inlineStr">
        <is>
          <t>Employee</t>
        </is>
      </c>
      <c r="B855" s="28" t="inlineStr">
        <is>
          <t>GOV-03</t>
        </is>
      </c>
      <c r="C855" s="28" t="inlineStr">
        <is>
          <t>Strategy &amp; governance</t>
        </is>
      </c>
      <c r="D855" s="28" t="inlineStr">
        <is>
          <t>Approvals inbox</t>
        </is>
      </c>
      <c r="E855" s="29" t="inlineStr">
        <is>
          <t>R</t>
        </is>
      </c>
      <c r="F855" s="28" t="inlineStr">
        <is>
          <t>Does it: carries out "Approvals inbox" in /inbox.</t>
        </is>
      </c>
      <c r="G855" s="28" t="inlineStr">
        <is>
          <t>/inbox</t>
        </is>
      </c>
      <c r="H855" s="29" t="inlineStr">
        <is>
          <t>Extended</t>
        </is>
      </c>
    </row>
    <row r="856" ht="17" customHeight="1">
      <c r="A856" s="28" t="inlineStr">
        <is>
          <t>Employee</t>
        </is>
      </c>
      <c r="B856" s="28" t="inlineStr">
        <is>
          <t>GOV-05</t>
        </is>
      </c>
      <c r="C856" s="28" t="inlineStr">
        <is>
          <t>Strategy &amp; governance</t>
        </is>
      </c>
      <c r="D856" s="28" t="inlineStr">
        <is>
          <t>Notifications centre</t>
        </is>
      </c>
      <c r="E856" s="29" t="inlineStr">
        <is>
          <t>R</t>
        </is>
      </c>
      <c r="F856" s="28" t="inlineStr">
        <is>
          <t>Does it: carries out "Notifications centre" in /notifications.</t>
        </is>
      </c>
      <c r="G856" s="28" t="inlineStr">
        <is>
          <t>/notifications</t>
        </is>
      </c>
      <c r="H856" s="29" t="inlineStr">
        <is>
          <t>Live</t>
        </is>
      </c>
    </row>
    <row r="857" ht="17" customHeight="1">
      <c r="A857" s="28" t="inlineStr">
        <is>
          <t>Employee</t>
        </is>
      </c>
      <c r="B857" s="28" t="inlineStr">
        <is>
          <t>GOV-06</t>
        </is>
      </c>
      <c r="C857" s="28" t="inlineStr">
        <is>
          <t>Strategy &amp; governance</t>
        </is>
      </c>
      <c r="D857" s="28" t="inlineStr">
        <is>
          <t>Weekly scorecard</t>
        </is>
      </c>
      <c r="E857" s="29" t="inlineStr">
        <is>
          <t>I</t>
        </is>
      </c>
      <c r="F857" s="28" t="inlineStr">
        <is>
          <t>Informed; sees the outcome in Scorecard.</t>
        </is>
      </c>
      <c r="G857" s="28" t="inlineStr">
        <is>
          <t>/scorecard</t>
        </is>
      </c>
      <c r="H857" s="29" t="inlineStr">
        <is>
          <t>Live</t>
        </is>
      </c>
    </row>
    <row r="858" ht="17" customHeight="1">
      <c r="A858" s="28" t="inlineStr">
        <is>
          <t>Employee</t>
        </is>
      </c>
      <c r="B858" s="28" t="inlineStr">
        <is>
          <t>ANA-05</t>
        </is>
      </c>
      <c r="C858" s="28" t="inlineStr">
        <is>
          <t>Analytics &amp; AI</t>
        </is>
      </c>
      <c r="D858" s="28" t="inlineStr">
        <is>
          <t>Employee dashboard</t>
        </is>
      </c>
      <c r="E858" s="29" t="inlineStr">
        <is>
          <t>R</t>
        </is>
      </c>
      <c r="F858" s="28" t="inlineStr">
        <is>
          <t>Does it: carries out "Employee dashboard" in /home.</t>
        </is>
      </c>
      <c r="G858" s="28" t="inlineStr">
        <is>
          <t>/home</t>
        </is>
      </c>
      <c r="H858" s="29" t="inlineStr">
        <is>
          <t>Extended</t>
        </is>
      </c>
    </row>
    <row r="859" ht="30" customHeight="1">
      <c r="A859" s="28" t="inlineStr">
        <is>
          <t>Employee</t>
        </is>
      </c>
      <c r="B859" s="28" t="inlineStr">
        <is>
          <t>ANA-07</t>
        </is>
      </c>
      <c r="C859" s="28" t="inlineStr">
        <is>
          <t>Analytics &amp; AI</t>
        </is>
      </c>
      <c r="D859" s="28" t="inlineStr">
        <is>
          <t>Custom report builder and exports</t>
        </is>
      </c>
      <c r="E859" s="29" t="inlineStr">
        <is>
          <t>C</t>
        </is>
      </c>
      <c r="F859" s="28" t="inlineStr">
        <is>
          <t>Consulted: gives input, data or a decision when asked.</t>
        </is>
      </c>
      <c r="G859" s="28" t="inlineStr">
        <is>
          <t>/reports, /reports/new, /reports/:id</t>
        </is>
      </c>
      <c r="H859" s="29" t="inlineStr">
        <is>
          <t>Extended</t>
        </is>
      </c>
    </row>
    <row r="860" ht="17" customHeight="1">
      <c r="A860" s="28" t="inlineStr">
        <is>
          <t>Employee</t>
        </is>
      </c>
      <c r="B860" s="28" t="inlineStr">
        <is>
          <t>ANA-08</t>
        </is>
      </c>
      <c r="C860" s="28" t="inlineStr">
        <is>
          <t>Analytics &amp; AI</t>
        </is>
      </c>
      <c r="D860" s="28" t="inlineStr">
        <is>
          <t>Ask AI and AI report planning</t>
        </is>
      </c>
      <c r="E860" s="29" t="inlineStr">
        <is>
          <t>R</t>
        </is>
      </c>
      <c r="F860" s="28" t="inlineStr">
        <is>
          <t>Does it: carries out "Ask AI and AI report planning" in /ai.</t>
        </is>
      </c>
      <c r="G860" s="28" t="inlineStr">
        <is>
          <t>/ai</t>
        </is>
      </c>
      <c r="H860" s="29" t="inlineStr">
        <is>
          <t>Extended</t>
        </is>
      </c>
    </row>
    <row r="861" ht="17" customHeight="1">
      <c r="A861" s="28" t="inlineStr">
        <is>
          <t>Employee</t>
        </is>
      </c>
      <c r="B861" s="28" t="inlineStr">
        <is>
          <t>ANA-10</t>
        </is>
      </c>
      <c r="C861" s="28" t="inlineStr">
        <is>
          <t>Analytics &amp; AI</t>
        </is>
      </c>
      <c r="D861" s="28" t="inlineStr">
        <is>
          <t>Report datasets for v3 processes</t>
        </is>
      </c>
      <c r="E861" s="29" t="inlineStr">
        <is>
          <t>C</t>
        </is>
      </c>
      <c r="F861" s="28" t="inlineStr">
        <is>
          <t>Consulted: gives input, data or a decision when asked.</t>
        </is>
      </c>
      <c r="G861" s="28" t="inlineStr">
        <is>
          <t>/reports/new, /ai</t>
        </is>
      </c>
      <c r="H861" s="29" t="inlineStr">
        <is>
          <t>New in v3</t>
        </is>
      </c>
    </row>
    <row r="862" ht="30" customHeight="1">
      <c r="A862" s="28" t="inlineStr">
        <is>
          <t>Employee</t>
        </is>
      </c>
      <c r="B862" s="28" t="inlineStr">
        <is>
          <t>ADM-02</t>
        </is>
      </c>
      <c r="C862" s="28" t="inlineStr">
        <is>
          <t>Access, master data &amp; controls</t>
        </is>
      </c>
      <c r="D862" s="28" t="inlineStr">
        <is>
          <t>Locations</t>
        </is>
      </c>
      <c r="E862" s="29" t="inlineStr">
        <is>
          <t>I</t>
        </is>
      </c>
      <c r="F862" s="28" t="inlineStr">
        <is>
          <t>Informed; sees the outcome in People, Create employee.</t>
        </is>
      </c>
      <c r="G862" s="28" t="inlineStr">
        <is>
          <t>/setup/locations</t>
        </is>
      </c>
      <c r="H862" s="29" t="inlineStr">
        <is>
          <t>New in v4</t>
        </is>
      </c>
    </row>
    <row r="863" ht="30" customHeight="1">
      <c r="A863" s="28" t="inlineStr">
        <is>
          <t>Employee</t>
        </is>
      </c>
      <c r="B863" s="28" t="inlineStr">
        <is>
          <t>ADM-05</t>
        </is>
      </c>
      <c r="C863" s="28" t="inlineStr">
        <is>
          <t>Access, master data &amp; controls</t>
        </is>
      </c>
      <c r="D863" s="28" t="inlineStr">
        <is>
          <t>Shifts and shift assignment</t>
        </is>
      </c>
      <c r="E863" s="29" t="inlineStr">
        <is>
          <t>I</t>
        </is>
      </c>
      <c r="F863" s="28" t="inlineStr">
        <is>
          <t>Informed (NTF-04 to checkers (if checked)); sees the outcome in People, Create employee.</t>
        </is>
      </c>
      <c r="G863" s="28" t="inlineStr">
        <is>
          <t>/setup/shifts</t>
        </is>
      </c>
      <c r="H863" s="29" t="inlineStr">
        <is>
          <t>New in v4</t>
        </is>
      </c>
    </row>
    <row r="864" ht="30" customHeight="1">
      <c r="A864" s="28" t="inlineStr">
        <is>
          <t>Employee</t>
        </is>
      </c>
      <c r="B864" s="28" t="inlineStr">
        <is>
          <t>ADM-06</t>
        </is>
      </c>
      <c r="C864" s="28" t="inlineStr">
        <is>
          <t>Access, master data &amp; controls</t>
        </is>
      </c>
      <c r="D864" s="28" t="inlineStr">
        <is>
          <t>Email templates and sent log</t>
        </is>
      </c>
      <c r="E864" s="29" t="inlineStr">
        <is>
          <t>I</t>
        </is>
      </c>
      <c r="F864" s="28" t="inlineStr">
        <is>
          <t>Informed (The emails themselves); sees the outcome in Setup &gt; Emails &gt; Sent.</t>
        </is>
      </c>
      <c r="G864" s="28" t="inlineStr">
        <is>
          <t>/setup/emails, /setup/emails?tab=sent</t>
        </is>
      </c>
      <c r="H864" s="29" t="inlineStr">
        <is>
          <t>New in v4</t>
        </is>
      </c>
    </row>
    <row r="865" ht="30" customHeight="1">
      <c r="A865" s="28" t="inlineStr">
        <is>
          <t>Employee</t>
        </is>
      </c>
      <c r="B865" s="28" t="inlineStr">
        <is>
          <t>ACC-03</t>
        </is>
      </c>
      <c r="C865" s="28" t="inlineStr">
        <is>
          <t>Access, master data &amp; controls</t>
        </is>
      </c>
      <c r="D865" s="28" t="inlineStr">
        <is>
          <t>Change a person's role, extra and revoked permissions</t>
        </is>
      </c>
      <c r="E865" s="29" t="inlineStr">
        <is>
          <t>I</t>
        </is>
      </c>
      <c r="F865" s="28" t="inlineStr">
        <is>
          <t>Informed (NTF-04 / NTF-05); sees the outcome in People, Role detail (members with +extra / -removed).</t>
        </is>
      </c>
      <c r="G865" s="28" t="inlineStr">
        <is>
          <t>/people</t>
        </is>
      </c>
      <c r="H865" s="29" t="inlineStr">
        <is>
          <t>New in v4</t>
        </is>
      </c>
    </row>
    <row r="866" ht="30" customHeight="1">
      <c r="A866" s="28" t="inlineStr">
        <is>
          <t>Employee</t>
        </is>
      </c>
      <c r="B866" s="28" t="inlineStr">
        <is>
          <t>ACC-04</t>
        </is>
      </c>
      <c r="C866" s="28" t="inlineStr">
        <is>
          <t>Access, master data &amp; controls</t>
        </is>
      </c>
      <c r="D866" s="28" t="inlineStr">
        <is>
          <t>Create employee and send the welcome email</t>
        </is>
      </c>
      <c r="E866" s="29" t="inlineStr">
        <is>
          <t>I</t>
        </is>
      </c>
      <c r="F866" s="28" t="inlineStr">
        <is>
          <t>Receives the welcome email with username and temporary password.</t>
        </is>
      </c>
      <c r="G866" s="28" t="inlineStr">
        <is>
          <t>/people/new</t>
        </is>
      </c>
      <c r="H866" s="29" t="inlineStr">
        <is>
          <t>New in v4</t>
        </is>
      </c>
    </row>
    <row r="867" ht="30" customHeight="1">
      <c r="A867" s="28" t="inlineStr">
        <is>
          <t>Employee</t>
        </is>
      </c>
      <c r="B867" s="28" t="inlineStr">
        <is>
          <t>ACC-05</t>
        </is>
      </c>
      <c r="C867" s="28" t="inlineStr">
        <is>
          <t>Access, master data &amp; controls</t>
        </is>
      </c>
      <c r="D867" s="28" t="inlineStr">
        <is>
          <t>First sign-in: forced password change</t>
        </is>
      </c>
      <c r="E867" s="29" t="inlineStr">
        <is>
          <t>R</t>
        </is>
      </c>
      <c r="F867" s="28" t="inlineStr">
        <is>
          <t>Does it: carries out "First sign-in: forced password change" in /welcome/password.</t>
        </is>
      </c>
      <c r="G867" s="28" t="inlineStr">
        <is>
          <t>/welcome/password</t>
        </is>
      </c>
      <c r="H867" s="29" t="inlineStr">
        <is>
          <t>New in v4</t>
        </is>
      </c>
    </row>
    <row r="868" ht="30" customHeight="1">
      <c r="A868" s="28" t="inlineStr">
        <is>
          <t>Employee</t>
        </is>
      </c>
      <c r="B868" s="28" t="inlineStr">
        <is>
          <t>ACC-06</t>
        </is>
      </c>
      <c r="C868" s="28" t="inlineStr">
        <is>
          <t>Access, master data &amp; controls</t>
        </is>
      </c>
      <c r="D868" s="28" t="inlineStr">
        <is>
          <t>Administrator password reset</t>
        </is>
      </c>
      <c r="E868" s="29" t="inlineStr">
        <is>
          <t>I</t>
        </is>
      </c>
      <c r="F868" s="28" t="inlineStr">
        <is>
          <t>Informed (Password reset email); sees the outcome in Emails &gt; Sent.</t>
        </is>
      </c>
      <c r="G868" s="28" t="inlineStr">
        <is>
          <t>/people</t>
        </is>
      </c>
      <c r="H868" s="29" t="inlineStr">
        <is>
          <t>New in v4</t>
        </is>
      </c>
    </row>
    <row r="869" ht="30" customHeight="1">
      <c r="A869" s="28" t="inlineStr">
        <is>
          <t>Employee</t>
        </is>
      </c>
      <c r="B869" s="28" t="inlineStr">
        <is>
          <t>ACC-09</t>
        </is>
      </c>
      <c r="C869" s="28" t="inlineStr">
        <is>
          <t>Access, master data &amp; controls</t>
        </is>
      </c>
      <c r="D869" s="28" t="inlineStr">
        <is>
          <t>One login: screens, actions and data scope by permission</t>
        </is>
      </c>
      <c r="E869" s="29" t="inlineStr">
        <is>
          <t>I</t>
        </is>
      </c>
      <c r="F869" s="28" t="inlineStr">
        <is>
          <t>Informed; sees the outcome in All.</t>
        </is>
      </c>
      <c r="G869" s="28" t="inlineStr">
        <is>
          <t>All screens</t>
        </is>
      </c>
      <c r="H869" s="29" t="inlineStr">
        <is>
          <t>New in v4</t>
        </is>
      </c>
    </row>
    <row r="870" ht="30" customHeight="1">
      <c r="A870" s="28" t="inlineStr">
        <is>
          <t>Employee</t>
        </is>
      </c>
      <c r="B870" s="28" t="inlineStr">
        <is>
          <t>WF-03</t>
        </is>
      </c>
      <c r="C870" s="28" t="inlineStr">
        <is>
          <t>Access, master data &amp; controls</t>
        </is>
      </c>
      <c r="D870" s="28" t="inlineStr">
        <is>
          <t>Multi-step routing, SLA and escalation at run time</t>
        </is>
      </c>
      <c r="E870" s="29" t="inlineStr">
        <is>
          <t>I</t>
        </is>
      </c>
      <c r="F870" s="28" t="inlineStr">
        <is>
          <t>Informed (NTF-04 (to approver, and on escalation)); sees the outcome in Approvals inbox; Approvals &amp; SLAs sheet.</t>
        </is>
      </c>
      <c r="G870" s="28" t="inlineStr">
        <is>
          <t>/inbox</t>
        </is>
      </c>
      <c r="H870" s="29" t="inlineStr">
        <is>
          <t>New in v4</t>
        </is>
      </c>
    </row>
    <row r="871" ht="30" customHeight="1">
      <c r="A871" s="28" t="inlineStr">
        <is>
          <t>Line manager (any role with reports)</t>
        </is>
      </c>
      <c r="B871" s="28" t="inlineStr">
        <is>
          <t>WS-04</t>
        </is>
      </c>
      <c r="C871" s="28" t="inlineStr">
        <is>
          <t>Workspace &amp; access</t>
        </is>
      </c>
      <c r="D871" s="28" t="inlineStr">
        <is>
          <t>Invite people (single or bulk CSV) and accept invitation</t>
        </is>
      </c>
      <c r="E871" s="29" t="inlineStr">
        <is>
          <t>I</t>
        </is>
      </c>
      <c r="F871" s="28" t="inlineStr">
        <is>
          <t>Informed (NTF-02 invited (email)); sees the outcome in People list; HR dashboard headcount.</t>
        </is>
      </c>
      <c r="G871" s="28" t="inlineStr">
        <is>
          <t>/people, /invite/:token</t>
        </is>
      </c>
      <c r="H871" s="29" t="inlineStr">
        <is>
          <t>Extended</t>
        </is>
      </c>
    </row>
    <row r="872" ht="30" customHeight="1">
      <c r="A872" s="28" t="inlineStr">
        <is>
          <t>Line manager (any role with reports)</t>
        </is>
      </c>
      <c r="B872" s="28" t="inlineStr">
        <is>
          <t>WS-05</t>
        </is>
      </c>
      <c r="C872" s="28" t="inlineStr">
        <is>
          <t>Workspace &amp; access</t>
        </is>
      </c>
      <c r="D872" s="28" t="inlineStr">
        <is>
          <t>Roles, reporting lines and access grants</t>
        </is>
      </c>
      <c r="E872" s="29" t="inlineStr">
        <is>
          <t>C</t>
        </is>
      </c>
      <c r="F872" s="28" t="inlineStr">
        <is>
          <t>Consulted: gives input, data or a decision when asked.</t>
        </is>
      </c>
      <c r="G872" s="28" t="inlineStr">
        <is>
          <t>/people</t>
        </is>
      </c>
      <c r="H872" s="29" t="inlineStr">
        <is>
          <t>Extended</t>
        </is>
      </c>
    </row>
    <row r="873" ht="30" customHeight="1">
      <c r="A873" s="28" t="inlineStr">
        <is>
          <t>Line manager (any role with reports)</t>
        </is>
      </c>
      <c r="B873" s="28" t="inlineStr">
        <is>
          <t>WS-06</t>
        </is>
      </c>
      <c r="C873" s="28" t="inlineStr">
        <is>
          <t>Workspace &amp; access</t>
        </is>
      </c>
      <c r="D873" s="28" t="inlineStr">
        <is>
          <t>Approval delegation (cover during leave)</t>
        </is>
      </c>
      <c r="E873" s="29" t="inlineStr">
        <is>
          <t>R</t>
        </is>
      </c>
      <c r="F873" s="28" t="inlineStr">
        <is>
          <t>Does it: carries out "Approval delegation (cover during leave)" in /settings/delegations.</t>
        </is>
      </c>
      <c r="G873" s="28" t="inlineStr">
        <is>
          <t>/settings/delegations</t>
        </is>
      </c>
      <c r="H873" s="29" t="inlineStr">
        <is>
          <t>Extended</t>
        </is>
      </c>
    </row>
    <row r="874" ht="43" customHeight="1">
      <c r="A874" s="28" t="inlineStr">
        <is>
          <t>Line manager (any role with reports)</t>
        </is>
      </c>
      <c r="B874" s="28" t="inlineStr">
        <is>
          <t>WS-08</t>
        </is>
      </c>
      <c r="C874" s="28" t="inlineStr">
        <is>
          <t>Workspace &amp; access</t>
        </is>
      </c>
      <c r="D874" s="28" t="inlineStr">
        <is>
          <t>Security, two-step verification and personal settings</t>
        </is>
      </c>
      <c r="E874" s="29" t="inlineStr">
        <is>
          <t>R</t>
        </is>
      </c>
      <c r="F874" s="28" t="inlineStr">
        <is>
          <t>Does it: carries out "Security, two-step verification and personal settings" in /settings/security, /settings/profile, /settings/appearance.</t>
        </is>
      </c>
      <c r="G874" s="28" t="inlineStr">
        <is>
          <t>/settings/security, /settings/profile, /settings/appearance</t>
        </is>
      </c>
      <c r="H874" s="29" t="inlineStr">
        <is>
          <t>Live</t>
        </is>
      </c>
    </row>
    <row r="875" ht="30" customHeight="1">
      <c r="A875" s="28" t="inlineStr">
        <is>
          <t>Line manager (any role with reports)</t>
        </is>
      </c>
      <c r="B875" s="28" t="inlineStr">
        <is>
          <t>WS-09</t>
        </is>
      </c>
      <c r="C875" s="28" t="inlineStr">
        <is>
          <t>Workspace &amp; access</t>
        </is>
      </c>
      <c r="D875" s="28" t="inlineStr">
        <is>
          <t>Deactivate or reactivate a person</t>
        </is>
      </c>
      <c r="E875" s="29" t="inlineStr">
        <is>
          <t>C</t>
        </is>
      </c>
      <c r="F875" s="28" t="inlineStr">
        <is>
          <t>Consulted: gives input, data or a decision when asked.</t>
        </is>
      </c>
      <c r="G875" s="28" t="inlineStr">
        <is>
          <t>/people</t>
        </is>
      </c>
      <c r="H875" s="29" t="inlineStr">
        <is>
          <t>Extended</t>
        </is>
      </c>
    </row>
    <row r="876" ht="30" customHeight="1">
      <c r="A876" s="28" t="inlineStr">
        <is>
          <t>Line manager (any role with reports)</t>
        </is>
      </c>
      <c r="B876" s="28" t="inlineStr">
        <is>
          <t>SAL-07</t>
        </is>
      </c>
      <c r="C876" s="28" t="inlineStr">
        <is>
          <t>Sales &amp; CRM</t>
        </is>
      </c>
      <c r="D876" s="28" t="inlineStr">
        <is>
          <t>Sales performance review</t>
        </is>
      </c>
      <c r="E876" s="29" t="inlineStr">
        <is>
          <t>C</t>
        </is>
      </c>
      <c r="F876" s="28" t="inlineStr">
        <is>
          <t>Consulted: gives input, data or a decision when asked.</t>
        </is>
      </c>
      <c r="G876" s="28" t="inlineStr">
        <is>
          <t>/sales/performance</t>
        </is>
      </c>
      <c r="H876" s="29" t="inlineStr">
        <is>
          <t>Live</t>
        </is>
      </c>
    </row>
    <row r="877" ht="30" customHeight="1">
      <c r="A877" s="28" t="inlineStr">
        <is>
          <t>Line manager (any role with reports)</t>
        </is>
      </c>
      <c r="B877" s="28" t="inlineStr">
        <is>
          <t>DEL-05</t>
        </is>
      </c>
      <c r="C877" s="28" t="inlineStr">
        <is>
          <t>Project delivery</t>
        </is>
      </c>
      <c r="D877" s="28" t="inlineStr">
        <is>
          <t>Allocate people to milestones</t>
        </is>
      </c>
      <c r="E877" s="29" t="inlineStr">
        <is>
          <t>C</t>
        </is>
      </c>
      <c r="F877" s="28" t="inlineStr">
        <is>
          <t>Consulted: gives input, data or a decision when asked.</t>
        </is>
      </c>
      <c r="G877" s="28" t="inlineStr">
        <is>
          <t>/projects/:id/team</t>
        </is>
      </c>
      <c r="H877" s="29" t="inlineStr">
        <is>
          <t>Live</t>
        </is>
      </c>
    </row>
    <row r="878" ht="30" customHeight="1">
      <c r="A878" s="28" t="inlineStr">
        <is>
          <t>Line manager (any role with reports)</t>
        </is>
      </c>
      <c r="B878" s="28" t="inlineStr">
        <is>
          <t>TSK-01</t>
        </is>
      </c>
      <c r="C878" s="28" t="inlineStr">
        <is>
          <t>Task governance</t>
        </is>
      </c>
      <c r="D878" s="28" t="inlineStr">
        <is>
          <t>Manager assigns a task</t>
        </is>
      </c>
      <c r="E878" s="29" t="inlineStr">
        <is>
          <t>R</t>
        </is>
      </c>
      <c r="F878" s="28" t="inlineStr">
        <is>
          <t>Assigns tasks to people in their reporting line.</t>
        </is>
      </c>
      <c r="G878" s="28" t="inlineStr">
        <is>
          <t>/team-tasks?tab=assign</t>
        </is>
      </c>
      <c r="H878" s="29" t="inlineStr">
        <is>
          <t>New in v3</t>
        </is>
      </c>
    </row>
    <row r="879" ht="30" customHeight="1">
      <c r="A879" s="28" t="inlineStr">
        <is>
          <t>Line manager (any role with reports)</t>
        </is>
      </c>
      <c r="B879" s="28" t="inlineStr">
        <is>
          <t>TSK-02</t>
        </is>
      </c>
      <c r="C879" s="28" t="inlineStr">
        <is>
          <t>Task governance</t>
        </is>
      </c>
      <c r="D879" s="28" t="inlineStr">
        <is>
          <t>Work my tasks (start, progress, covering)</t>
        </is>
      </c>
      <c r="E879" s="29" t="inlineStr">
        <is>
          <t>C</t>
        </is>
      </c>
      <c r="F879" s="28" t="inlineStr">
        <is>
          <t>Consulted: gives input, data or a decision when asked.</t>
        </is>
      </c>
      <c r="G879" s="28" t="inlineStr">
        <is>
          <t>/my-tasks, task drawer</t>
        </is>
      </c>
      <c r="H879" s="29" t="inlineStr">
        <is>
          <t>Live</t>
        </is>
      </c>
    </row>
    <row r="880" ht="30" customHeight="1">
      <c r="A880" s="28" t="inlineStr">
        <is>
          <t>Line manager (any role with reports)</t>
        </is>
      </c>
      <c r="B880" s="28" t="inlineStr">
        <is>
          <t>TSK-03</t>
        </is>
      </c>
      <c r="C880" s="28" t="inlineStr">
        <is>
          <t>Task governance</t>
        </is>
      </c>
      <c r="D880" s="28" t="inlineStr">
        <is>
          <t>Report a blocker; comments and @mentions</t>
        </is>
      </c>
      <c r="E880" s="29" t="inlineStr">
        <is>
          <t>C</t>
        </is>
      </c>
      <c r="F880" s="28" t="inlineStr">
        <is>
          <t>Consulted: gives input, data or a decision when asked.</t>
        </is>
      </c>
      <c r="G880" s="28" t="inlineStr">
        <is>
          <t>Task drawer</t>
        </is>
      </c>
      <c r="H880" s="29" t="inlineStr">
        <is>
          <t>Live</t>
        </is>
      </c>
    </row>
    <row r="881" ht="30" customHeight="1">
      <c r="A881" s="28" t="inlineStr">
        <is>
          <t>Line manager (any role with reports)</t>
        </is>
      </c>
      <c r="B881" s="28" t="inlineStr">
        <is>
          <t>TSK-04</t>
        </is>
      </c>
      <c r="C881" s="28" t="inlineStr">
        <is>
          <t>Task governance</t>
        </is>
      </c>
      <c r="D881" s="28" t="inlineStr">
        <is>
          <t>Submit task for review</t>
        </is>
      </c>
      <c r="E881" s="29" t="inlineStr">
        <is>
          <t>C</t>
        </is>
      </c>
      <c r="F881" s="28" t="inlineStr">
        <is>
          <t>Consulted: gives input, data or a decision when asked.</t>
        </is>
      </c>
      <c r="G881" s="28" t="inlineStr">
        <is>
          <t>Task drawer &gt; Submit for review</t>
        </is>
      </c>
      <c r="H881" s="29" t="inlineStr">
        <is>
          <t>New in v3</t>
        </is>
      </c>
    </row>
    <row r="882" ht="30" customHeight="1">
      <c r="A882" s="28" t="inlineStr">
        <is>
          <t>Line manager (any role with reports)</t>
        </is>
      </c>
      <c r="B882" s="28" t="inlineStr">
        <is>
          <t>TSK-05</t>
        </is>
      </c>
      <c r="C882" s="28" t="inlineStr">
        <is>
          <t>Task governance</t>
        </is>
      </c>
      <c r="D882" s="28" t="inlineStr">
        <is>
          <t>Delay reason capture</t>
        </is>
      </c>
      <c r="E882" s="29" t="inlineStr">
        <is>
          <t>C</t>
        </is>
      </c>
      <c r="F882" s="28" t="inlineStr">
        <is>
          <t>Consulted: gives input, data or a decision when asked.</t>
        </is>
      </c>
      <c r="G882" s="28" t="inlineStr">
        <is>
          <t>Task drawer &gt; Submit for review</t>
        </is>
      </c>
      <c r="H882" s="29" t="inlineStr">
        <is>
          <t>New in v3</t>
        </is>
      </c>
    </row>
    <row r="883" ht="30" customHeight="1">
      <c r="A883" s="28" t="inlineStr">
        <is>
          <t>Line manager (any role with reports)</t>
        </is>
      </c>
      <c r="B883" s="28" t="inlineStr">
        <is>
          <t>TSK-06</t>
        </is>
      </c>
      <c r="C883" s="28" t="inlineStr">
        <is>
          <t>Task governance</t>
        </is>
      </c>
      <c r="D883" s="28" t="inlineStr">
        <is>
          <t>Approve task with quality rating</t>
        </is>
      </c>
      <c r="E883" s="29" t="inlineStr">
        <is>
          <t>R</t>
        </is>
      </c>
      <c r="F883" s="28" t="inlineStr">
        <is>
          <t>Reviews general tasks they assigned or of their reports.</t>
        </is>
      </c>
      <c r="G883" s="28" t="inlineStr">
        <is>
          <t>/inbox, /team-tasks?tab=review, task drawer</t>
        </is>
      </c>
      <c r="H883" s="29" t="inlineStr">
        <is>
          <t>Extended</t>
        </is>
      </c>
    </row>
    <row r="884" ht="30" customHeight="1">
      <c r="A884" s="28" t="inlineStr">
        <is>
          <t>Line manager (any role with reports)</t>
        </is>
      </c>
      <c r="B884" s="28" t="inlineStr">
        <is>
          <t>TSK-07</t>
        </is>
      </c>
      <c r="C884" s="28" t="inlineStr">
        <is>
          <t>Task governance</t>
        </is>
      </c>
      <c r="D884" s="28" t="inlineStr">
        <is>
          <t>Send back with reason</t>
        </is>
      </c>
      <c r="E884" s="29" t="inlineStr">
        <is>
          <t>R</t>
        </is>
      </c>
      <c r="F884" s="28" t="inlineStr">
        <is>
          <t>Does it: carries out "Send back with reason" in /inbox, task drawer.</t>
        </is>
      </c>
      <c r="G884" s="28" t="inlineStr">
        <is>
          <t>/inbox, task drawer</t>
        </is>
      </c>
      <c r="H884" s="29" t="inlineStr">
        <is>
          <t>Extended</t>
        </is>
      </c>
    </row>
    <row r="885" ht="30" customHeight="1">
      <c r="A885" s="28" t="inlineStr">
        <is>
          <t>Line manager (any role with reports)</t>
        </is>
      </c>
      <c r="B885" s="28" t="inlineStr">
        <is>
          <t>TSK-08</t>
        </is>
      </c>
      <c r="C885" s="28" t="inlineStr">
        <is>
          <t>Task governance</t>
        </is>
      </c>
      <c r="D885" s="28" t="inlineStr">
        <is>
          <t>Reschedule a task with reason</t>
        </is>
      </c>
      <c r="E885" s="29" t="inlineStr">
        <is>
          <t>R</t>
        </is>
      </c>
      <c r="F885" s="28" t="inlineStr">
        <is>
          <t>Does it: carries out "Reschedule a task with reason" in Task drawer.</t>
        </is>
      </c>
      <c r="G885" s="28" t="inlineStr">
        <is>
          <t>Task drawer</t>
        </is>
      </c>
      <c r="H885" s="29" t="inlineStr">
        <is>
          <t>New in v3</t>
        </is>
      </c>
    </row>
    <row r="886" ht="43" customHeight="1">
      <c r="A886" s="28" t="inlineStr">
        <is>
          <t>Line manager (any role with reports)</t>
        </is>
      </c>
      <c r="B886" s="28" t="inlineStr">
        <is>
          <t>TSK-09</t>
        </is>
      </c>
      <c r="C886" s="28" t="inlineStr">
        <is>
          <t>Task governance</t>
        </is>
      </c>
      <c r="D886" s="28" t="inlineStr">
        <is>
          <t>Timeliness: early, on time or late</t>
        </is>
      </c>
      <c r="E886" s="29" t="inlineStr">
        <is>
          <t>I</t>
        </is>
      </c>
      <c r="F886" s="28" t="inlineStr">
        <is>
          <t>Informed; sees the outcome in CEO Home, HR &amp; operations Home, PM Home, Employee Home (task delivery panels), Team tasks &gt; Performance, Scorecard, Appraisals, Reports / Ask AI (tasks.timeliness).</t>
        </is>
      </c>
      <c r="G886" s="28" t="inlineStr">
        <is>
          <t>Computed (performance.ts)</t>
        </is>
      </c>
      <c r="H886" s="29" t="inlineStr">
        <is>
          <t>New in v3</t>
        </is>
      </c>
    </row>
    <row r="887" ht="30" customHeight="1">
      <c r="A887" s="28" t="inlineStr">
        <is>
          <t>Line manager (any role with reports)</t>
        </is>
      </c>
      <c r="B887" s="28" t="inlineStr">
        <is>
          <t>TSK-10</t>
        </is>
      </c>
      <c r="C887" s="28" t="inlineStr">
        <is>
          <t>Task governance</t>
        </is>
      </c>
      <c r="D887" s="28" t="inlineStr">
        <is>
          <t>Team task monitoring</t>
        </is>
      </c>
      <c r="E887" s="29" t="inlineStr">
        <is>
          <t>R</t>
        </is>
      </c>
      <c r="F887" s="28" t="inlineStr">
        <is>
          <t>Does it: carries out "Team task monitoring" in /team-tasks?tab=team.</t>
        </is>
      </c>
      <c r="G887" s="28" t="inlineStr">
        <is>
          <t>/team-tasks?tab=team</t>
        </is>
      </c>
      <c r="H887" s="29" t="inlineStr">
        <is>
          <t>New in v3</t>
        </is>
      </c>
    </row>
    <row r="888" ht="30" customHeight="1">
      <c r="A888" s="28" t="inlineStr">
        <is>
          <t>Line manager (any role with reports)</t>
        </is>
      </c>
      <c r="B888" s="28" t="inlineStr">
        <is>
          <t>TSK-11</t>
        </is>
      </c>
      <c r="C888" s="28" t="inlineStr">
        <is>
          <t>Task governance</t>
        </is>
      </c>
      <c r="D888" s="28" t="inlineStr">
        <is>
          <t>Team and company delivery performance</t>
        </is>
      </c>
      <c r="E888" s="29" t="inlineStr">
        <is>
          <t>R</t>
        </is>
      </c>
      <c r="F888" s="28" t="inlineStr">
        <is>
          <t>Does it: carries out "Team and company delivery performance" in /team-tasks?tab=performance, /home.</t>
        </is>
      </c>
      <c r="G888" s="28" t="inlineStr">
        <is>
          <t>/team-tasks?tab=performance, /home</t>
        </is>
      </c>
      <c r="H888" s="29" t="inlineStr">
        <is>
          <t>New in v3</t>
        </is>
      </c>
    </row>
    <row r="889" ht="30" customHeight="1">
      <c r="A889" s="28" t="inlineStr">
        <is>
          <t>Line manager (any role with reports)</t>
        </is>
      </c>
      <c r="B889" s="28" t="inlineStr">
        <is>
          <t>TIM-02</t>
        </is>
      </c>
      <c r="C889" s="28" t="inlineStr">
        <is>
          <t>Time &amp; attendance</t>
        </is>
      </c>
      <c r="D889" s="28" t="inlineStr">
        <is>
          <t>Submit the week</t>
        </is>
      </c>
      <c r="E889" s="29" t="inlineStr">
        <is>
          <t>I</t>
        </is>
      </c>
      <c r="F889" s="28" t="inlineStr">
        <is>
          <t>Informed (NTF-04 timesheet submitted; NTF-09 Friday nudge); sees the outcome in Insights &gt; Timesheet compliance, HR Home (timesheets missing).</t>
        </is>
      </c>
      <c r="G889" s="28" t="inlineStr">
        <is>
          <t>/timesheet</t>
        </is>
      </c>
      <c r="H889" s="29" t="inlineStr">
        <is>
          <t>Live</t>
        </is>
      </c>
    </row>
    <row r="890" ht="30" customHeight="1">
      <c r="A890" s="28" t="inlineStr">
        <is>
          <t>Line manager (any role with reports)</t>
        </is>
      </c>
      <c r="B890" s="28" t="inlineStr">
        <is>
          <t>TIM-03</t>
        </is>
      </c>
      <c r="C890" s="28" t="inlineStr">
        <is>
          <t>Time &amp; attendance</t>
        </is>
      </c>
      <c r="D890" s="28" t="inlineStr">
        <is>
          <t>Timesheet approval and SLA</t>
        </is>
      </c>
      <c r="E890" s="29" t="inlineStr">
        <is>
          <t>R</t>
        </is>
      </c>
      <c r="F890" s="28" t="inlineStr">
        <is>
          <t>Does it: carries out "Timesheet approval and SLA" in /approvals, /inbox, /team.</t>
        </is>
      </c>
      <c r="G890" s="28" t="inlineStr">
        <is>
          <t>/approvals, /inbox, /team</t>
        </is>
      </c>
      <c r="H890" s="29" t="inlineStr">
        <is>
          <t>Extended</t>
        </is>
      </c>
    </row>
    <row r="891" ht="30" customHeight="1">
      <c r="A891" s="28" t="inlineStr">
        <is>
          <t>Line manager (any role with reports)</t>
        </is>
      </c>
      <c r="B891" s="28" t="inlineStr">
        <is>
          <t>TIM-04</t>
        </is>
      </c>
      <c r="C891" s="28" t="inlineStr">
        <is>
          <t>Time &amp; attendance</t>
        </is>
      </c>
      <c r="D891" s="28" t="inlineStr">
        <is>
          <t>Weekly lock and unlock request</t>
        </is>
      </c>
      <c r="E891" s="29" t="inlineStr">
        <is>
          <t>R</t>
        </is>
      </c>
      <c r="F891" s="28" t="inlineStr">
        <is>
          <t>Does it: carries out "Weekly lock and unlock request" in /timesheet, /approvals, /inbox.</t>
        </is>
      </c>
      <c r="G891" s="28" t="inlineStr">
        <is>
          <t>/timesheet, /approvals, /inbox</t>
        </is>
      </c>
      <c r="H891" s="29" t="inlineStr">
        <is>
          <t>Live</t>
        </is>
      </c>
    </row>
    <row r="892" ht="30" customHeight="1">
      <c r="A892" s="28" t="inlineStr">
        <is>
          <t>Line manager (any role with reports)</t>
        </is>
      </c>
      <c r="B892" s="28" t="inlineStr">
        <is>
          <t>TIM-05</t>
        </is>
      </c>
      <c r="C892" s="28" t="inlineStr">
        <is>
          <t>Time &amp; attendance</t>
        </is>
      </c>
      <c r="D892" s="28" t="inlineStr">
        <is>
          <t>Daily update with proof</t>
        </is>
      </c>
      <c r="E892" s="29" t="inlineStr">
        <is>
          <t>C</t>
        </is>
      </c>
      <c r="F892" s="28" t="inlineStr">
        <is>
          <t>Consulted: gives input, data or a decision when asked.</t>
        </is>
      </c>
      <c r="G892" s="28" t="inlineStr">
        <is>
          <t>/daily</t>
        </is>
      </c>
      <c r="H892" s="29" t="inlineStr">
        <is>
          <t>Live</t>
        </is>
      </c>
    </row>
    <row r="893" ht="43" customHeight="1">
      <c r="A893" s="28" t="inlineStr">
        <is>
          <t>Line manager (any role with reports)</t>
        </is>
      </c>
      <c r="B893" s="28" t="inlineStr">
        <is>
          <t>TIM-06</t>
        </is>
      </c>
      <c r="C893" s="28" t="inlineStr">
        <is>
          <t>Time &amp; attendance</t>
        </is>
      </c>
      <c r="D893" s="28" t="inlineStr">
        <is>
          <t>Apply for leave</t>
        </is>
      </c>
      <c r="E893" s="30" t="inlineStr">
        <is>
          <t>A</t>
        </is>
      </c>
      <c r="F893" s="28" t="inlineStr">
        <is>
          <t>Approves / signs off and owns the outcome; sees results in Leave page, Approvals inbox, HR Home (leave to approve); Reports / Ask AI (leave_requests).</t>
        </is>
      </c>
      <c r="G893" s="28" t="inlineStr">
        <is>
          <t>/leave</t>
        </is>
      </c>
      <c r="H893" s="29" t="inlineStr">
        <is>
          <t>New in v3</t>
        </is>
      </c>
    </row>
    <row r="894" ht="30" customHeight="1">
      <c r="A894" s="28" t="inlineStr">
        <is>
          <t>Line manager (any role with reports)</t>
        </is>
      </c>
      <c r="B894" s="28" t="inlineStr">
        <is>
          <t>TIM-07</t>
        </is>
      </c>
      <c r="C894" s="28" t="inlineStr">
        <is>
          <t>Time &amp; attendance</t>
        </is>
      </c>
      <c r="D894" s="28" t="inlineStr">
        <is>
          <t>Approve, reject or cancel leave</t>
        </is>
      </c>
      <c r="E894" s="29" t="inlineStr">
        <is>
          <t>R</t>
        </is>
      </c>
      <c r="F894" s="28" t="inlineStr">
        <is>
          <t>Does it: carries out "Approve, reject or cancel leave" in /leave, /inbox.</t>
        </is>
      </c>
      <c r="G894" s="28" t="inlineStr">
        <is>
          <t>/leave, /inbox</t>
        </is>
      </c>
      <c r="H894" s="29" t="inlineStr">
        <is>
          <t>Extended</t>
        </is>
      </c>
    </row>
    <row r="895" ht="30" customHeight="1">
      <c r="A895" s="28" t="inlineStr">
        <is>
          <t>Line manager (any role with reports)</t>
        </is>
      </c>
      <c r="B895" s="28" t="inlineStr">
        <is>
          <t>TIM-08</t>
        </is>
      </c>
      <c r="C895" s="28" t="inlineStr">
        <is>
          <t>Time &amp; attendance</t>
        </is>
      </c>
      <c r="D895" s="28" t="inlineStr">
        <is>
          <t>Leave policy and balances</t>
        </is>
      </c>
      <c r="E895" s="29" t="inlineStr">
        <is>
          <t>I</t>
        </is>
      </c>
      <c r="F895" s="28" t="inlineStr">
        <is>
          <t>Informed; sees the outcome in Leave page.</t>
        </is>
      </c>
      <c r="G895" s="28" t="inlineStr">
        <is>
          <t>/leave (policy)</t>
        </is>
      </c>
      <c r="H895" s="29" t="inlineStr">
        <is>
          <t>New in v3</t>
        </is>
      </c>
    </row>
    <row r="896" ht="30" customHeight="1">
      <c r="A896" s="28" t="inlineStr">
        <is>
          <t>Line manager (any role with reports)</t>
        </is>
      </c>
      <c r="B896" s="28" t="inlineStr">
        <is>
          <t>TIM-09</t>
        </is>
      </c>
      <c r="C896" s="28" t="inlineStr">
        <is>
          <t>Time &amp; attendance</t>
        </is>
      </c>
      <c r="D896" s="28" t="inlineStr">
        <is>
          <t>HR leave entry and leave in timesheet</t>
        </is>
      </c>
      <c r="E896" s="29" t="inlineStr">
        <is>
          <t>I</t>
        </is>
      </c>
      <c r="F896" s="28" t="inlineStr">
        <is>
          <t>Informed; sees the outcome in Payroll, Team grid.</t>
        </is>
      </c>
      <c r="G896" s="28" t="inlineStr">
        <is>
          <t>/leave, /timesheet</t>
        </is>
      </c>
      <c r="H896" s="29" t="inlineStr">
        <is>
          <t>Live</t>
        </is>
      </c>
    </row>
    <row r="897" ht="30" customHeight="1">
      <c r="A897" s="28" t="inlineStr">
        <is>
          <t>Line manager (any role with reports)</t>
        </is>
      </c>
      <c r="B897" s="28" t="inlineStr">
        <is>
          <t>TIM-10</t>
        </is>
      </c>
      <c r="C897" s="28" t="inlineStr">
        <is>
          <t>Time &amp; attendance</t>
        </is>
      </c>
      <c r="D897" s="28" t="inlineStr">
        <is>
          <t>Compensatory off accrual</t>
        </is>
      </c>
      <c r="E897" s="29" t="inlineStr">
        <is>
          <t>R</t>
        </is>
      </c>
      <c r="F897" s="28" t="inlineStr">
        <is>
          <t>Planned (not built yet). Does it: carries out "Compensatory off accrual".</t>
        </is>
      </c>
      <c r="G897" s="28" t="inlineStr">
        <is>
          <t>-</t>
        </is>
      </c>
      <c r="H897" s="29" t="inlineStr">
        <is>
          <t>Planned</t>
        </is>
      </c>
    </row>
    <row r="898" ht="30" customHeight="1">
      <c r="A898" s="28" t="inlineStr">
        <is>
          <t>Line manager (any role with reports)</t>
        </is>
      </c>
      <c r="B898" s="28" t="inlineStr">
        <is>
          <t>TIM-11</t>
        </is>
      </c>
      <c r="C898" s="28" t="inlineStr">
        <is>
          <t>Time &amp; attendance</t>
        </is>
      </c>
      <c r="D898" s="28" t="inlineStr">
        <is>
          <t>Attendance capture (office / WFH / client site)</t>
        </is>
      </c>
      <c r="E898" s="30" t="inlineStr">
        <is>
          <t>A</t>
        </is>
      </c>
      <c r="F898" s="28" t="inlineStr">
        <is>
          <t>Planned (not built yet). Approves / signs off and owns the outcome.</t>
        </is>
      </c>
      <c r="G898" s="28" t="inlineStr">
        <is>
          <t>-</t>
        </is>
      </c>
      <c r="H898" s="29" t="inlineStr">
        <is>
          <t>Planned</t>
        </is>
      </c>
    </row>
    <row r="899" ht="30" customHeight="1">
      <c r="A899" s="28" t="inlineStr">
        <is>
          <t>Line manager (any role with reports)</t>
        </is>
      </c>
      <c r="B899" s="28" t="inlineStr">
        <is>
          <t>DOC-04</t>
        </is>
      </c>
      <c r="C899" s="28" t="inlineStr">
        <is>
          <t>Documents &amp; knowledge</t>
        </is>
      </c>
      <c r="D899" s="28" t="inlineStr">
        <is>
          <t>Must-read acknowledgement</t>
        </is>
      </c>
      <c r="E899" s="29" t="inlineStr">
        <is>
          <t>I</t>
        </is>
      </c>
      <c r="F899" s="28" t="inlineStr">
        <is>
          <t>Informed (NTF-14 must-read); sees the outcome in Approvals inbox (document), Documents; Reports / Ask AI (documents).</t>
        </is>
      </c>
      <c r="G899" s="28" t="inlineStr">
        <is>
          <t>/inbox, /documents</t>
        </is>
      </c>
      <c r="H899" s="29" t="inlineStr">
        <is>
          <t>New in v3</t>
        </is>
      </c>
    </row>
    <row r="900" ht="30" customHeight="1">
      <c r="A900" s="28" t="inlineStr">
        <is>
          <t>Line manager (any role with reports)</t>
        </is>
      </c>
      <c r="B900" s="28" t="inlineStr">
        <is>
          <t>DOC-05</t>
        </is>
      </c>
      <c r="C900" s="28" t="inlineStr">
        <is>
          <t>Documents &amp; knowledge</t>
        </is>
      </c>
      <c r="D900" s="28" t="inlineStr">
        <is>
          <t>Company library and policies</t>
        </is>
      </c>
      <c r="E900" s="29" t="inlineStr">
        <is>
          <t>I</t>
        </is>
      </c>
      <c r="F900" s="28" t="inlineStr">
        <is>
          <t>Informed (NTF-14 must-read); sees the outcome in Documents, Approvals inbox; Reports / Ask AI (documents).</t>
        </is>
      </c>
      <c r="G900" s="28" t="inlineStr">
        <is>
          <t>/documents</t>
        </is>
      </c>
      <c r="H900" s="29" t="inlineStr">
        <is>
          <t>New in v3</t>
        </is>
      </c>
    </row>
    <row r="901" ht="30" customHeight="1">
      <c r="A901" s="28" t="inlineStr">
        <is>
          <t>Line manager (any role with reports)</t>
        </is>
      </c>
      <c r="B901" s="28" t="inlineStr">
        <is>
          <t>DOC-07</t>
        </is>
      </c>
      <c r="C901" s="28" t="inlineStr">
        <is>
          <t>Documents &amp; knowledge</t>
        </is>
      </c>
      <c r="D901" s="28" t="inlineStr">
        <is>
          <t>Policy attestation cycles</t>
        </is>
      </c>
      <c r="E901" s="29" t="inlineStr">
        <is>
          <t>I</t>
        </is>
      </c>
      <c r="F901" s="28" t="inlineStr">
        <is>
          <t>Planned (not built yet). Informed.</t>
        </is>
      </c>
      <c r="G901" s="28" t="inlineStr">
        <is>
          <t>-</t>
        </is>
      </c>
      <c r="H901" s="29" t="inlineStr">
        <is>
          <t>Planned</t>
        </is>
      </c>
    </row>
    <row r="902" ht="30" customHeight="1">
      <c r="A902" s="28" t="inlineStr">
        <is>
          <t>Line manager (any role with reports)</t>
        </is>
      </c>
      <c r="B902" s="28" t="inlineStr">
        <is>
          <t>DOC-08</t>
        </is>
      </c>
      <c r="C902" s="28" t="inlineStr">
        <is>
          <t>Documents &amp; knowledge</t>
        </is>
      </c>
      <c r="D902" s="28" t="inlineStr">
        <is>
          <t>Internal announcements</t>
        </is>
      </c>
      <c r="E902" s="29" t="inlineStr">
        <is>
          <t>I</t>
        </is>
      </c>
      <c r="F902" s="28" t="inlineStr">
        <is>
          <t>Planned (not built yet). Informed.</t>
        </is>
      </c>
      <c r="G902" s="28" t="inlineStr">
        <is>
          <t>-</t>
        </is>
      </c>
      <c r="H902" s="29" t="inlineStr">
        <is>
          <t>Planned</t>
        </is>
      </c>
    </row>
    <row r="903" ht="30" customHeight="1">
      <c r="A903" s="28" t="inlineStr">
        <is>
          <t>Line manager (any role with reports)</t>
        </is>
      </c>
      <c r="B903" s="28" t="inlineStr">
        <is>
          <t>HR-03</t>
        </is>
      </c>
      <c r="C903" s="28" t="inlineStr">
        <is>
          <t>People &amp; HR</t>
        </is>
      </c>
      <c r="D903" s="28" t="inlineStr">
        <is>
          <t>Interviews and feedback</t>
        </is>
      </c>
      <c r="E903" s="29" t="inlineStr">
        <is>
          <t>R</t>
        </is>
      </c>
      <c r="F903" s="28" t="inlineStr">
        <is>
          <t>Interviews (manager round).</t>
        </is>
      </c>
      <c r="G903" s="28" t="inlineStr">
        <is>
          <t>/recruitment</t>
        </is>
      </c>
      <c r="H903" s="29" t="inlineStr">
        <is>
          <t>New in v3</t>
        </is>
      </c>
    </row>
    <row r="904" ht="30" customHeight="1">
      <c r="A904" s="28" t="inlineStr">
        <is>
          <t>Line manager (any role with reports)</t>
        </is>
      </c>
      <c r="B904" s="28" t="inlineStr">
        <is>
          <t>HR-04</t>
        </is>
      </c>
      <c r="C904" s="28" t="inlineStr">
        <is>
          <t>People &amp; HR</t>
        </is>
      </c>
      <c r="D904" s="28" t="inlineStr">
        <is>
          <t>Make an offer, or reject a candidate</t>
        </is>
      </c>
      <c r="E904" s="29" t="inlineStr">
        <is>
          <t>C</t>
        </is>
      </c>
      <c r="F904" s="28" t="inlineStr">
        <is>
          <t>Consulted: gives input, data or a decision when asked.</t>
        </is>
      </c>
      <c r="G904" s="28" t="inlineStr">
        <is>
          <t>/recruitment</t>
        </is>
      </c>
      <c r="H904" s="29" t="inlineStr">
        <is>
          <t>New in v3</t>
        </is>
      </c>
    </row>
    <row r="905" ht="30" customHeight="1">
      <c r="A905" s="28" t="inlineStr">
        <is>
          <t>Line manager (any role with reports)</t>
        </is>
      </c>
      <c r="B905" s="28" t="inlineStr">
        <is>
          <t>HR-05</t>
        </is>
      </c>
      <c r="C905" s="28" t="inlineStr">
        <is>
          <t>People &amp; HR</t>
        </is>
      </c>
      <c r="D905" s="28" t="inlineStr">
        <is>
          <t>Hire: invite and start onboarding</t>
        </is>
      </c>
      <c r="E905" s="29" t="inlineStr">
        <is>
          <t>I</t>
        </is>
      </c>
      <c r="F905" s="28" t="inlineStr">
        <is>
          <t>Informed (NTF-14 new joiner (HR); NTF-14 new team member (manager)); sees the outcome in HR Home, People; Reports / Ask AI (candidates).</t>
        </is>
      </c>
      <c r="G905" s="28" t="inlineStr">
        <is>
          <t>/recruitment</t>
        </is>
      </c>
      <c r="H905" s="29" t="inlineStr">
        <is>
          <t>New in v3</t>
        </is>
      </c>
    </row>
    <row r="906" ht="30" customHeight="1">
      <c r="A906" s="28" t="inlineStr">
        <is>
          <t>Line manager (any role with reports)</t>
        </is>
      </c>
      <c r="B906" s="28" t="inlineStr">
        <is>
          <t>HR-06</t>
        </is>
      </c>
      <c r="C906" s="28" t="inlineStr">
        <is>
          <t>People &amp; HR</t>
        </is>
      </c>
      <c r="D906" s="28" t="inlineStr">
        <is>
          <t>Onboarding checklist</t>
        </is>
      </c>
      <c r="E906" s="29" t="inlineStr">
        <is>
          <t>R</t>
        </is>
      </c>
      <c r="F906" s="28" t="inlineStr">
        <is>
          <t>Does it: carries out "Onboarding checklist" in /lifecycle.</t>
        </is>
      </c>
      <c r="G906" s="28" t="inlineStr">
        <is>
          <t>/lifecycle</t>
        </is>
      </c>
      <c r="H906" s="29" t="inlineStr">
        <is>
          <t>New in v3</t>
        </is>
      </c>
    </row>
    <row r="907" ht="30" customHeight="1">
      <c r="A907" s="28" t="inlineStr">
        <is>
          <t>Line manager (any role with reports)</t>
        </is>
      </c>
      <c r="B907" s="28" t="inlineStr">
        <is>
          <t>HR-08</t>
        </is>
      </c>
      <c r="C907" s="28" t="inlineStr">
        <is>
          <t>People &amp; HR</t>
        </is>
      </c>
      <c r="D907" s="28" t="inlineStr">
        <is>
          <t>Goals and KRAs</t>
        </is>
      </c>
      <c r="E907" s="30" t="inlineStr">
        <is>
          <t>A</t>
        </is>
      </c>
      <c r="F907" s="28" t="inlineStr">
        <is>
          <t>Approves / signs off and owns the outcome; sees results in My performance, Appraisal.</t>
        </is>
      </c>
      <c r="G907" s="28" t="inlineStr">
        <is>
          <t>/performance</t>
        </is>
      </c>
      <c r="H907" s="29" t="inlineStr">
        <is>
          <t>New in v3</t>
        </is>
      </c>
    </row>
    <row r="908" ht="30" customHeight="1">
      <c r="A908" s="28" t="inlineStr">
        <is>
          <t>Line manager (any role with reports)</t>
        </is>
      </c>
      <c r="B908" s="28" t="inlineStr">
        <is>
          <t>HR-09</t>
        </is>
      </c>
      <c r="C908" s="28" t="inlineStr">
        <is>
          <t>People &amp; HR</t>
        </is>
      </c>
      <c r="D908" s="28" t="inlineStr">
        <is>
          <t>Continuous feedback and praise</t>
        </is>
      </c>
      <c r="E908" s="29" t="inlineStr">
        <is>
          <t>R</t>
        </is>
      </c>
      <c r="F908" s="28" t="inlineStr">
        <is>
          <t>Does it: carries out "Continuous feedback and praise" in /performance.</t>
        </is>
      </c>
      <c r="G908" s="28" t="inlineStr">
        <is>
          <t>/performance</t>
        </is>
      </c>
      <c r="H908" s="29" t="inlineStr">
        <is>
          <t>New in v3</t>
        </is>
      </c>
    </row>
    <row r="909" ht="30" customHeight="1">
      <c r="A909" s="28" t="inlineStr">
        <is>
          <t>Line manager (any role with reports)</t>
        </is>
      </c>
      <c r="B909" s="28" t="inlineStr">
        <is>
          <t>HR-10</t>
        </is>
      </c>
      <c r="C909" s="28" t="inlineStr">
        <is>
          <t>People &amp; HR</t>
        </is>
      </c>
      <c r="D909" s="28" t="inlineStr">
        <is>
          <t>Set up and launch an appraisal cycle</t>
        </is>
      </c>
      <c r="E909" s="29" t="inlineStr">
        <is>
          <t>I</t>
        </is>
      </c>
      <c r="F909" s="28" t="inlineStr">
        <is>
          <t>Informed; sees the outcome in HR Home (appraisal cycle), Appraisals; Reports / Ask AI (appraisals).</t>
        </is>
      </c>
      <c r="G909" s="28" t="inlineStr">
        <is>
          <t>/appraisals</t>
        </is>
      </c>
      <c r="H909" s="29" t="inlineStr">
        <is>
          <t>New in v3</t>
        </is>
      </c>
    </row>
    <row r="910" ht="30" customHeight="1">
      <c r="A910" s="28" t="inlineStr">
        <is>
          <t>Line manager (any role with reports)</t>
        </is>
      </c>
      <c r="B910" s="28" t="inlineStr">
        <is>
          <t>HR-11</t>
        </is>
      </c>
      <c r="C910" s="28" t="inlineStr">
        <is>
          <t>People &amp; HR</t>
        </is>
      </c>
      <c r="D910" s="28" t="inlineStr">
        <is>
          <t>Self review</t>
        </is>
      </c>
      <c r="E910" s="29" t="inlineStr">
        <is>
          <t>I</t>
        </is>
      </c>
      <c r="F910" s="28" t="inlineStr">
        <is>
          <t>Informed; sees the outcome in Appraisals; Reports / Ask AI (appraisals).</t>
        </is>
      </c>
      <c r="G910" s="28" t="inlineStr">
        <is>
          <t>/appraisals/:id</t>
        </is>
      </c>
      <c r="H910" s="29" t="inlineStr">
        <is>
          <t>New in v3</t>
        </is>
      </c>
    </row>
    <row r="911" ht="30" customHeight="1">
      <c r="A911" s="28" t="inlineStr">
        <is>
          <t>Line manager (any role with reports)</t>
        </is>
      </c>
      <c r="B911" s="28" t="inlineStr">
        <is>
          <t>HR-12</t>
        </is>
      </c>
      <c r="C911" s="28" t="inlineStr">
        <is>
          <t>People &amp; HR</t>
        </is>
      </c>
      <c r="D911" s="28" t="inlineStr">
        <is>
          <t>Manager review</t>
        </is>
      </c>
      <c r="E911" s="29" t="inlineStr">
        <is>
          <t>R</t>
        </is>
      </c>
      <c r="F911" s="28" t="inlineStr">
        <is>
          <t>Does it: carries out "Manager review" in /appraisals/:id.</t>
        </is>
      </c>
      <c r="G911" s="28" t="inlineStr">
        <is>
          <t>/appraisals/:id</t>
        </is>
      </c>
      <c r="H911" s="29" t="inlineStr">
        <is>
          <t>New in v3</t>
        </is>
      </c>
    </row>
    <row r="912" ht="30" customHeight="1">
      <c r="A912" s="28" t="inlineStr">
        <is>
          <t>Line manager (any role with reports)</t>
        </is>
      </c>
      <c r="B912" s="28" t="inlineStr">
        <is>
          <t>HR-13</t>
        </is>
      </c>
      <c r="C912" s="28" t="inlineStr">
        <is>
          <t>People &amp; HR</t>
        </is>
      </c>
      <c r="D912" s="28" t="inlineStr">
        <is>
          <t>HR review, calibration and outcome</t>
        </is>
      </c>
      <c r="E912" s="29" t="inlineStr">
        <is>
          <t>C</t>
        </is>
      </c>
      <c r="F912" s="28" t="inlineStr">
        <is>
          <t>Consulted: gives input, data or a decision when asked.</t>
        </is>
      </c>
      <c r="G912" s="28" t="inlineStr">
        <is>
          <t>/appraisals/:id</t>
        </is>
      </c>
      <c r="H912" s="29" t="inlineStr">
        <is>
          <t>New in v3</t>
        </is>
      </c>
    </row>
    <row r="913" ht="30" customHeight="1">
      <c r="A913" s="28" t="inlineStr">
        <is>
          <t>Line manager (any role with reports)</t>
        </is>
      </c>
      <c r="B913" s="28" t="inlineStr">
        <is>
          <t>HR-14</t>
        </is>
      </c>
      <c r="C913" s="28" t="inlineStr">
        <is>
          <t>People &amp; HR</t>
        </is>
      </c>
      <c r="D913" s="28" t="inlineStr">
        <is>
          <t>Performance profile</t>
        </is>
      </c>
      <c r="E913" s="29" t="inlineStr">
        <is>
          <t>R</t>
        </is>
      </c>
      <c r="F913" s="28" t="inlineStr">
        <is>
          <t>Does it: carries out "Performance profile" in /performance, /performance/:userId.</t>
        </is>
      </c>
      <c r="G913" s="28" t="inlineStr">
        <is>
          <t>/performance, /performance/:userId</t>
        </is>
      </c>
      <c r="H913" s="29" t="inlineStr">
        <is>
          <t>New in v3</t>
        </is>
      </c>
    </row>
    <row r="914" ht="30" customHeight="1">
      <c r="A914" s="28" t="inlineStr">
        <is>
          <t>Line manager (any role with reports)</t>
        </is>
      </c>
      <c r="B914" s="28" t="inlineStr">
        <is>
          <t>HR-15</t>
        </is>
      </c>
      <c r="C914" s="28" t="inlineStr">
        <is>
          <t>People &amp; HR</t>
        </is>
      </c>
      <c r="D914" s="28" t="inlineStr">
        <is>
          <t>Exit and offboarding</t>
        </is>
      </c>
      <c r="E914" s="29" t="inlineStr">
        <is>
          <t>R</t>
        </is>
      </c>
      <c r="F914" s="28" t="inlineStr">
        <is>
          <t>Does it: carries out "Exit and offboarding" in /lifecycle.</t>
        </is>
      </c>
      <c r="G914" s="28" t="inlineStr">
        <is>
          <t>/lifecycle</t>
        </is>
      </c>
      <c r="H914" s="29" t="inlineStr">
        <is>
          <t>New in v3</t>
        </is>
      </c>
    </row>
    <row r="915" ht="30" customHeight="1">
      <c r="A915" s="28" t="inlineStr">
        <is>
          <t>Line manager (any role with reports)</t>
        </is>
      </c>
      <c r="B915" s="28" t="inlineStr">
        <is>
          <t>HR-16</t>
        </is>
      </c>
      <c r="C915" s="28" t="inlineStr">
        <is>
          <t>People &amp; HR</t>
        </is>
      </c>
      <c r="D915" s="28" t="inlineStr">
        <is>
          <t>Skills matrix and bench management</t>
        </is>
      </c>
      <c r="E915" s="29" t="inlineStr">
        <is>
          <t>R</t>
        </is>
      </c>
      <c r="F915" s="28" t="inlineStr">
        <is>
          <t>Planned (not built yet). Does it: carries out "Skills matrix and bench management".</t>
        </is>
      </c>
      <c r="G915" s="28" t="inlineStr">
        <is>
          <t>-</t>
        </is>
      </c>
      <c r="H915" s="29" t="inlineStr">
        <is>
          <t>Planned</t>
        </is>
      </c>
    </row>
    <row r="916" ht="30" customHeight="1">
      <c r="A916" s="28" t="inlineStr">
        <is>
          <t>Line manager (any role with reports)</t>
        </is>
      </c>
      <c r="B916" s="28" t="inlineStr">
        <is>
          <t>HR-17</t>
        </is>
      </c>
      <c r="C916" s="28" t="inlineStr">
        <is>
          <t>People &amp; HR</t>
        </is>
      </c>
      <c r="D916" s="28" t="inlineStr">
        <is>
          <t>Training and certification tracking</t>
        </is>
      </c>
      <c r="E916" s="29" t="inlineStr">
        <is>
          <t>R</t>
        </is>
      </c>
      <c r="F916" s="28" t="inlineStr">
        <is>
          <t>Planned (not built yet). Does it: carries out "Training and certification tracking".</t>
        </is>
      </c>
      <c r="G916" s="28" t="inlineStr">
        <is>
          <t>-</t>
        </is>
      </c>
      <c r="H916" s="29" t="inlineStr">
        <is>
          <t>Planned</t>
        </is>
      </c>
    </row>
    <row r="917" ht="30" customHeight="1">
      <c r="A917" s="28" t="inlineStr">
        <is>
          <t>Line manager (any role with reports)</t>
        </is>
      </c>
      <c r="B917" s="28" t="inlineStr">
        <is>
          <t>HR-18</t>
        </is>
      </c>
      <c r="C917" s="28" t="inlineStr">
        <is>
          <t>People &amp; HR</t>
        </is>
      </c>
      <c r="D917" s="28" t="inlineStr">
        <is>
          <t>Probation confirmation</t>
        </is>
      </c>
      <c r="E917" s="29" t="inlineStr">
        <is>
          <t>R</t>
        </is>
      </c>
      <c r="F917" s="28" t="inlineStr">
        <is>
          <t>Planned (not built yet). Does it: carries out "Probation confirmation".</t>
        </is>
      </c>
      <c r="G917" s="28" t="inlineStr">
        <is>
          <t>-</t>
        </is>
      </c>
      <c r="H917" s="29" t="inlineStr">
        <is>
          <t>Planned</t>
        </is>
      </c>
    </row>
    <row r="918" ht="30" customHeight="1">
      <c r="A918" s="28" t="inlineStr">
        <is>
          <t>Line manager (any role with reports)</t>
        </is>
      </c>
      <c r="B918" s="28" t="inlineStr">
        <is>
          <t>PAY-02</t>
        </is>
      </c>
      <c r="C918" s="28" t="inlineStr">
        <is>
          <t>Payroll &amp; compensation</t>
        </is>
      </c>
      <c r="D918" s="28" t="inlineStr">
        <is>
          <t>Deductions for unapproved and LWP days</t>
        </is>
      </c>
      <c r="E918" s="29" t="inlineStr">
        <is>
          <t>I</t>
        </is>
      </c>
      <c r="F918" s="28" t="inlineStr">
        <is>
          <t>Informed; sees the outcome in Payroll.</t>
        </is>
      </c>
      <c r="G918" s="28" t="inlineStr">
        <is>
          <t>/payroll/:id</t>
        </is>
      </c>
      <c r="H918" s="29" t="inlineStr">
        <is>
          <t>Live</t>
        </is>
      </c>
    </row>
    <row r="919" ht="30" customHeight="1">
      <c r="A919" s="28" t="inlineStr">
        <is>
          <t>Line manager (any role with reports)</t>
        </is>
      </c>
      <c r="B919" s="28" t="inlineStr">
        <is>
          <t>SPD-01</t>
        </is>
      </c>
      <c r="C919" s="28" t="inlineStr">
        <is>
          <t>Spend &amp; procurement</t>
        </is>
      </c>
      <c r="D919" s="28" t="inlineStr">
        <is>
          <t>Submit an expense claim</t>
        </is>
      </c>
      <c r="E919" s="29" t="inlineStr">
        <is>
          <t>R</t>
        </is>
      </c>
      <c r="F919" s="28" t="inlineStr">
        <is>
          <t>Does it: carries out "Submit an expense claim" in /expenses.</t>
        </is>
      </c>
      <c r="G919" s="28" t="inlineStr">
        <is>
          <t>/expenses</t>
        </is>
      </c>
      <c r="H919" s="29" t="inlineStr">
        <is>
          <t>New in v3</t>
        </is>
      </c>
    </row>
    <row r="920" ht="30" customHeight="1">
      <c r="A920" s="28" t="inlineStr">
        <is>
          <t>Line manager (any role with reports)</t>
        </is>
      </c>
      <c r="B920" s="28" t="inlineStr">
        <is>
          <t>SPD-02</t>
        </is>
      </c>
      <c r="C920" s="28" t="inlineStr">
        <is>
          <t>Spend &amp; procurement</t>
        </is>
      </c>
      <c r="D920" s="28" t="inlineStr">
        <is>
          <t>Approve or reject an expense (two-step above Rs 25,000)</t>
        </is>
      </c>
      <c r="E920" s="29" t="inlineStr">
        <is>
          <t>R</t>
        </is>
      </c>
      <c r="F920" s="28" t="inlineStr">
        <is>
          <t>Does it: carries out "Approve or reject an expense (two-step above Rs 25,000)" in /expenses?tab=approve, /inbox.</t>
        </is>
      </c>
      <c r="G920" s="28" t="inlineStr">
        <is>
          <t>/expenses?tab=approve, /inbox</t>
        </is>
      </c>
      <c r="H920" s="29" t="inlineStr">
        <is>
          <t>Extended</t>
        </is>
      </c>
    </row>
    <row r="921" ht="30" customHeight="1">
      <c r="A921" s="28" t="inlineStr">
        <is>
          <t>Line manager (any role with reports)</t>
        </is>
      </c>
      <c r="B921" s="28" t="inlineStr">
        <is>
          <t>SPD-11</t>
        </is>
      </c>
      <c r="C921" s="28" t="inlineStr">
        <is>
          <t>Spend &amp; procurement</t>
        </is>
      </c>
      <c r="D921" s="28" t="inlineStr">
        <is>
          <t>Travel requests and advances</t>
        </is>
      </c>
      <c r="E921" s="29" t="inlineStr">
        <is>
          <t>R</t>
        </is>
      </c>
      <c r="F921" s="28" t="inlineStr">
        <is>
          <t>Planned (not built yet). Does it: carries out "Travel requests and advances".</t>
        </is>
      </c>
      <c r="G921" s="28" t="inlineStr">
        <is>
          <t>-</t>
        </is>
      </c>
      <c r="H921" s="29" t="inlineStr">
        <is>
          <t>Planned</t>
        </is>
      </c>
    </row>
    <row r="922" ht="30" customHeight="1">
      <c r="A922" s="28" t="inlineStr">
        <is>
          <t>Line manager (any role with reports)</t>
        </is>
      </c>
      <c r="B922" s="28" t="inlineStr">
        <is>
          <t>OPS-04</t>
        </is>
      </c>
      <c r="C922" s="28" t="inlineStr">
        <is>
          <t>Operations &amp; compliance</t>
        </is>
      </c>
      <c r="D922" s="28" t="inlineStr">
        <is>
          <t>ISO 9001 non-conformance and CAPA</t>
        </is>
      </c>
      <c r="E922" s="29" t="inlineStr">
        <is>
          <t>R</t>
        </is>
      </c>
      <c r="F922" s="28" t="inlineStr">
        <is>
          <t>Planned (not built yet). Does it: carries out "ISO 9001 non-conformance and CAPA".</t>
        </is>
      </c>
      <c r="G922" s="28" t="inlineStr">
        <is>
          <t>-</t>
        </is>
      </c>
      <c r="H922" s="29" t="inlineStr">
        <is>
          <t>Planned</t>
        </is>
      </c>
    </row>
    <row r="923" ht="30" customHeight="1">
      <c r="A923" s="28" t="inlineStr">
        <is>
          <t>Line manager (any role with reports)</t>
        </is>
      </c>
      <c r="B923" s="28" t="inlineStr">
        <is>
          <t>GOV-01</t>
        </is>
      </c>
      <c r="C923" s="28" t="inlineStr">
        <is>
          <t>Strategy &amp; governance</t>
        </is>
      </c>
      <c r="D923" s="28" t="inlineStr">
        <is>
          <t>Set objectives (company, team, personal)</t>
        </is>
      </c>
      <c r="E923" s="29" t="inlineStr">
        <is>
          <t>C</t>
        </is>
      </c>
      <c r="F923" s="28" t="inlineStr">
        <is>
          <t>Consulted: gives input, data or a decision when asked.</t>
        </is>
      </c>
      <c r="G923" s="28" t="inlineStr">
        <is>
          <t>/okrs</t>
        </is>
      </c>
      <c r="H923" s="29" t="inlineStr">
        <is>
          <t>New in v3</t>
        </is>
      </c>
    </row>
    <row r="924" ht="30" customHeight="1">
      <c r="A924" s="28" t="inlineStr">
        <is>
          <t>Line manager (any role with reports)</t>
        </is>
      </c>
      <c r="B924" s="28" t="inlineStr">
        <is>
          <t>GOV-02</t>
        </is>
      </c>
      <c r="C924" s="28" t="inlineStr">
        <is>
          <t>Strategy &amp; governance</t>
        </is>
      </c>
      <c r="D924" s="28" t="inlineStr">
        <is>
          <t>Key results with automatic measures and check-ins</t>
        </is>
      </c>
      <c r="E924" s="29" t="inlineStr">
        <is>
          <t>C</t>
        </is>
      </c>
      <c r="F924" s="28" t="inlineStr">
        <is>
          <t>Consulted: gives input, data or a decision when asked.</t>
        </is>
      </c>
      <c r="G924" s="28" t="inlineStr">
        <is>
          <t>/okrs</t>
        </is>
      </c>
      <c r="H924" s="29" t="inlineStr">
        <is>
          <t>New in v3</t>
        </is>
      </c>
    </row>
    <row r="925" ht="30" customHeight="1">
      <c r="A925" s="28" t="inlineStr">
        <is>
          <t>Line manager (any role with reports)</t>
        </is>
      </c>
      <c r="B925" s="28" t="inlineStr">
        <is>
          <t>GOV-03</t>
        </is>
      </c>
      <c r="C925" s="28" t="inlineStr">
        <is>
          <t>Strategy &amp; governance</t>
        </is>
      </c>
      <c r="D925" s="28" t="inlineStr">
        <is>
          <t>Approvals inbox</t>
        </is>
      </c>
      <c r="E925" s="29" t="inlineStr">
        <is>
          <t>R</t>
        </is>
      </c>
      <c r="F925" s="28" t="inlineStr">
        <is>
          <t>Does it: carries out "Approvals inbox" in /inbox.</t>
        </is>
      </c>
      <c r="G925" s="28" t="inlineStr">
        <is>
          <t>/inbox</t>
        </is>
      </c>
      <c r="H925" s="29" t="inlineStr">
        <is>
          <t>Extended</t>
        </is>
      </c>
    </row>
    <row r="926" ht="30" customHeight="1">
      <c r="A926" s="28" t="inlineStr">
        <is>
          <t>Line manager (any role with reports)</t>
        </is>
      </c>
      <c r="B926" s="28" t="inlineStr">
        <is>
          <t>GOV-05</t>
        </is>
      </c>
      <c r="C926" s="28" t="inlineStr">
        <is>
          <t>Strategy &amp; governance</t>
        </is>
      </c>
      <c r="D926" s="28" t="inlineStr">
        <is>
          <t>Notifications centre</t>
        </is>
      </c>
      <c r="E926" s="29" t="inlineStr">
        <is>
          <t>R</t>
        </is>
      </c>
      <c r="F926" s="28" t="inlineStr">
        <is>
          <t>Does it: carries out "Notifications centre" in /notifications.</t>
        </is>
      </c>
      <c r="G926" s="28" t="inlineStr">
        <is>
          <t>/notifications</t>
        </is>
      </c>
      <c r="H926" s="29" t="inlineStr">
        <is>
          <t>Live</t>
        </is>
      </c>
    </row>
    <row r="927" ht="30" customHeight="1">
      <c r="A927" s="28" t="inlineStr">
        <is>
          <t>Line manager (any role with reports)</t>
        </is>
      </c>
      <c r="B927" s="28" t="inlineStr">
        <is>
          <t>GOV-06</t>
        </is>
      </c>
      <c r="C927" s="28" t="inlineStr">
        <is>
          <t>Strategy &amp; governance</t>
        </is>
      </c>
      <c r="D927" s="28" t="inlineStr">
        <is>
          <t>Weekly scorecard</t>
        </is>
      </c>
      <c r="E927" s="29" t="inlineStr">
        <is>
          <t>R</t>
        </is>
      </c>
      <c r="F927" s="28" t="inlineStr">
        <is>
          <t>Does it: carries out "Weekly scorecard" in /scorecard.</t>
        </is>
      </c>
      <c r="G927" s="28" t="inlineStr">
        <is>
          <t>/scorecard</t>
        </is>
      </c>
      <c r="H927" s="29" t="inlineStr">
        <is>
          <t>Live</t>
        </is>
      </c>
    </row>
    <row r="928" ht="30" customHeight="1">
      <c r="A928" s="28" t="inlineStr">
        <is>
          <t>Line manager (any role with reports)</t>
        </is>
      </c>
      <c r="B928" s="28" t="inlineStr">
        <is>
          <t>ADM-03</t>
        </is>
      </c>
      <c r="C928" s="28" t="inlineStr">
        <is>
          <t>Access, master data &amp; controls</t>
        </is>
      </c>
      <c r="D928" s="28" t="inlineStr">
        <is>
          <t>Departments and cost centres</t>
        </is>
      </c>
      <c r="E928" s="29" t="inlineStr">
        <is>
          <t>I</t>
        </is>
      </c>
      <c r="F928" s="28" t="inlineStr">
        <is>
          <t>Informed; sees the outcome in People, analytics by department, workflow approver "Head of department".</t>
        </is>
      </c>
      <c r="G928" s="28" t="inlineStr">
        <is>
          <t>/setup/departments, /setup/cost-centres</t>
        </is>
      </c>
      <c r="H928" s="29" t="inlineStr">
        <is>
          <t>New in v4</t>
        </is>
      </c>
    </row>
    <row r="929" ht="30" customHeight="1">
      <c r="A929" s="28" t="inlineStr">
        <is>
          <t>Line manager (any role with reports)</t>
        </is>
      </c>
      <c r="B929" s="28" t="inlineStr">
        <is>
          <t>ADM-05</t>
        </is>
      </c>
      <c r="C929" s="28" t="inlineStr">
        <is>
          <t>Access, master data &amp; controls</t>
        </is>
      </c>
      <c r="D929" s="28" t="inlineStr">
        <is>
          <t>Shifts and shift assignment</t>
        </is>
      </c>
      <c r="E929" s="29" t="inlineStr">
        <is>
          <t>C</t>
        </is>
      </c>
      <c r="F929" s="28" t="inlineStr">
        <is>
          <t>Consulted: gives input, data or a decision when asked.</t>
        </is>
      </c>
      <c r="G929" s="28" t="inlineStr">
        <is>
          <t>/setup/shifts</t>
        </is>
      </c>
      <c r="H929" s="29" t="inlineStr">
        <is>
          <t>New in v4</t>
        </is>
      </c>
    </row>
    <row r="930" ht="30" customHeight="1">
      <c r="A930" s="28" t="inlineStr">
        <is>
          <t>Line manager (any role with reports)</t>
        </is>
      </c>
      <c r="B930" s="28" t="inlineStr">
        <is>
          <t>ACC-03</t>
        </is>
      </c>
      <c r="C930" s="28" t="inlineStr">
        <is>
          <t>Access, master data &amp; controls</t>
        </is>
      </c>
      <c r="D930" s="28" t="inlineStr">
        <is>
          <t>Change a person's role, extra and revoked permissions</t>
        </is>
      </c>
      <c r="E930" s="29" t="inlineStr">
        <is>
          <t>C</t>
        </is>
      </c>
      <c r="F930" s="28" t="inlineStr">
        <is>
          <t>Consulted: gives input, data or a decision when asked.</t>
        </is>
      </c>
      <c r="G930" s="28" t="inlineStr">
        <is>
          <t>/people</t>
        </is>
      </c>
      <c r="H930" s="29" t="inlineStr">
        <is>
          <t>New in v4</t>
        </is>
      </c>
    </row>
    <row r="931" ht="30" customHeight="1">
      <c r="A931" s="28" t="inlineStr">
        <is>
          <t>Line manager (any role with reports)</t>
        </is>
      </c>
      <c r="B931" s="28" t="inlineStr">
        <is>
          <t>ACC-04</t>
        </is>
      </c>
      <c r="C931" s="28" t="inlineStr">
        <is>
          <t>Access, master data &amp; controls</t>
        </is>
      </c>
      <c r="D931" s="28" t="inlineStr">
        <is>
          <t>Create employee and send the welcome email</t>
        </is>
      </c>
      <c r="E931" s="29" t="inlineStr">
        <is>
          <t>I</t>
        </is>
      </c>
      <c r="F931" s="28" t="inlineStr">
        <is>
          <t>Gets "New team member" (NTF-14).</t>
        </is>
      </c>
      <c r="G931" s="28" t="inlineStr">
        <is>
          <t>/people/new</t>
        </is>
      </c>
      <c r="H931" s="29" t="inlineStr">
        <is>
          <t>New in v4</t>
        </is>
      </c>
    </row>
    <row r="932" ht="30" customHeight="1">
      <c r="A932" s="28" t="inlineStr">
        <is>
          <t>Line manager (any role with reports)</t>
        </is>
      </c>
      <c r="B932" s="28" t="inlineStr">
        <is>
          <t>ACC-07</t>
        </is>
      </c>
      <c r="C932" s="28" t="inlineStr">
        <is>
          <t>Access, master data &amp; controls</t>
        </is>
      </c>
      <c r="D932" s="28" t="inlineStr">
        <is>
          <t>Deactivate or reactivate an employee</t>
        </is>
      </c>
      <c r="E932" s="29" t="inlineStr">
        <is>
          <t>I</t>
        </is>
      </c>
      <c r="F932" s="28" t="inlineStr">
        <is>
          <t>Informed; sees the outcome in People, HR dashboard.</t>
        </is>
      </c>
      <c r="G932" s="28" t="inlineStr">
        <is>
          <t>/people</t>
        </is>
      </c>
      <c r="H932" s="29" t="inlineStr">
        <is>
          <t>New in v4</t>
        </is>
      </c>
    </row>
    <row r="933" ht="30" customHeight="1">
      <c r="A933" s="28" t="inlineStr">
        <is>
          <t>Line manager (any role with reports)</t>
        </is>
      </c>
      <c r="B933" s="28" t="inlineStr">
        <is>
          <t>WF-01</t>
        </is>
      </c>
      <c r="C933" s="28" t="inlineStr">
        <is>
          <t>Access, master data &amp; controls</t>
        </is>
      </c>
      <c r="D933" s="28" t="inlineStr">
        <is>
          <t>Configure an approval workflow</t>
        </is>
      </c>
      <c r="E933" s="29" t="inlineStr">
        <is>
          <t>I</t>
        </is>
      </c>
      <c r="F933" s="28" t="inlineStr">
        <is>
          <t>Informed (NTF-04 / NTF-05 (maker-checker)); sees the outcome in Approval workflows sheet; Setup &gt; Approval workflows.</t>
        </is>
      </c>
      <c r="G933" s="28" t="inlineStr">
        <is>
          <t>/setup/workflows</t>
        </is>
      </c>
      <c r="H933" s="29" t="inlineStr">
        <is>
          <t>New in v4</t>
        </is>
      </c>
    </row>
    <row r="934" ht="30" customHeight="1">
      <c r="A934" s="28" t="inlineStr">
        <is>
          <t>Line manager (any role with reports)</t>
        </is>
      </c>
      <c r="B934" s="28" t="inlineStr">
        <is>
          <t>WF-03</t>
        </is>
      </c>
      <c r="C934" s="28" t="inlineStr">
        <is>
          <t>Access, master data &amp; controls</t>
        </is>
      </c>
      <c r="D934" s="28" t="inlineStr">
        <is>
          <t>Multi-step routing, SLA and escalation at run time</t>
        </is>
      </c>
      <c r="E934" s="29" t="inlineStr">
        <is>
          <t>R</t>
        </is>
      </c>
      <c r="F934" s="28" t="inlineStr">
        <is>
          <t>Does it: carries out "Multi-step routing, SLA and escalation at run time" in /inbox.</t>
        </is>
      </c>
      <c r="G934" s="28" t="inlineStr">
        <is>
          <t>/inbox</t>
        </is>
      </c>
      <c r="H934" s="29" t="inlineStr">
        <is>
          <t>New in v4</t>
        </is>
      </c>
    </row>
    <row r="935" ht="30" customHeight="1">
      <c r="A935" s="28" t="inlineStr">
        <is>
          <t>Platform super admin</t>
        </is>
      </c>
      <c r="B935" s="28" t="inlineStr">
        <is>
          <t>WS-01</t>
        </is>
      </c>
      <c r="C935" s="28" t="inlineStr">
        <is>
          <t>Workspace &amp; access</t>
        </is>
      </c>
      <c r="D935" s="28" t="inlineStr">
        <is>
          <t>Company sign-up and 14-day trial</t>
        </is>
      </c>
      <c r="E935" s="29" t="inlineStr">
        <is>
          <t>I</t>
        </is>
      </c>
      <c r="F935" s="28" t="inlineStr">
        <is>
          <t>Informed (NTF-11 trial ends in 3 days (catalogue only)); sees the outcome in Platform tenant list.</t>
        </is>
      </c>
      <c r="G935" s="28" t="inlineStr">
        <is>
          <t>/signup</t>
        </is>
      </c>
      <c r="H935" s="29" t="inlineStr">
        <is>
          <t>Extended</t>
        </is>
      </c>
    </row>
    <row r="936" ht="30" customHeight="1">
      <c r="A936" s="28" t="inlineStr">
        <is>
          <t>Platform super admin</t>
        </is>
      </c>
      <c r="B936" s="28" t="inlineStr">
        <is>
          <t>WS-03</t>
        </is>
      </c>
      <c r="C936" s="28" t="inlineStr">
        <is>
          <t>Workspace &amp; access</t>
        </is>
      </c>
      <c r="D936" s="28" t="inlineStr">
        <is>
          <t>Sign in, lockout and password reset</t>
        </is>
      </c>
      <c r="E936" s="29" t="inlineStr">
        <is>
          <t>R</t>
        </is>
      </c>
      <c r="F936" s="28" t="inlineStr">
        <is>
          <t>Does it: carries out "Sign in, lockout and password reset" in /login, /reset-password.</t>
        </is>
      </c>
      <c r="G936" s="28" t="inlineStr">
        <is>
          <t>/login, /reset-password</t>
        </is>
      </c>
      <c r="H936" s="29" t="inlineStr">
        <is>
          <t>Extended</t>
        </is>
      </c>
    </row>
    <row r="937" ht="43" customHeight="1">
      <c r="A937" s="28" t="inlineStr">
        <is>
          <t>Platform super admin</t>
        </is>
      </c>
      <c r="B937" s="28" t="inlineStr">
        <is>
          <t>WS-08</t>
        </is>
      </c>
      <c r="C937" s="28" t="inlineStr">
        <is>
          <t>Workspace &amp; access</t>
        </is>
      </c>
      <c r="D937" s="28" t="inlineStr">
        <is>
          <t>Security, two-step verification and personal settings</t>
        </is>
      </c>
      <c r="E937" s="29" t="inlineStr">
        <is>
          <t>R</t>
        </is>
      </c>
      <c r="F937" s="28" t="inlineStr">
        <is>
          <t>Does it: carries out "Security, two-step verification and personal settings" in /settings/security, /settings/profile, /settings/appearance.</t>
        </is>
      </c>
      <c r="G937" s="28" t="inlineStr">
        <is>
          <t>/settings/security, /settings/profile, /settings/appearance</t>
        </is>
      </c>
      <c r="H937" s="29" t="inlineStr">
        <is>
          <t>Live</t>
        </is>
      </c>
    </row>
    <row r="938" ht="17" customHeight="1">
      <c r="A938" s="28" t="inlineStr">
        <is>
          <t>Platform super admin</t>
        </is>
      </c>
      <c r="B938" s="28" t="inlineStr">
        <is>
          <t>WS-11</t>
        </is>
      </c>
      <c r="C938" s="28" t="inlineStr">
        <is>
          <t>Workspace &amp; access</t>
        </is>
      </c>
      <c r="D938" s="28" t="inlineStr">
        <is>
          <t>Plan, seats and payment</t>
        </is>
      </c>
      <c r="E938" s="29" t="inlineStr">
        <is>
          <t>I</t>
        </is>
      </c>
      <c r="F938" s="28" t="inlineStr">
        <is>
          <t>Informed (NTF-16 payment failed); sees the outcome in Billing.</t>
        </is>
      </c>
      <c r="G938" s="28" t="inlineStr">
        <is>
          <t>/billing</t>
        </is>
      </c>
      <c r="H938" s="29" t="inlineStr">
        <is>
          <t>Live</t>
        </is>
      </c>
    </row>
    <row r="939" ht="17" customHeight="1">
      <c r="A939" s="28" t="inlineStr">
        <is>
          <t>Platform super admin</t>
        </is>
      </c>
      <c r="B939" s="28" t="inlineStr">
        <is>
          <t>WS-12</t>
        </is>
      </c>
      <c r="C939" s="28" t="inlineStr">
        <is>
          <t>Workspace &amp; access</t>
        </is>
      </c>
      <c r="D939" s="28" t="inlineStr">
        <is>
          <t>Platform tenant administration</t>
        </is>
      </c>
      <c r="E939" s="29" t="inlineStr">
        <is>
          <t>R</t>
        </is>
      </c>
      <c r="F939" s="28" t="inlineStr">
        <is>
          <t>Does it: carries out "Platform tenant administration" in /admin.</t>
        </is>
      </c>
      <c r="G939" s="28" t="inlineStr">
        <is>
          <t>/admin</t>
        </is>
      </c>
      <c r="H939" s="29" t="inlineStr">
        <is>
          <t>Live</t>
        </is>
      </c>
    </row>
    <row r="940" ht="30" customHeight="1">
      <c r="A940" s="28" t="inlineStr">
        <is>
          <t>Platform super admin</t>
        </is>
      </c>
      <c r="B940" s="28" t="inlineStr">
        <is>
          <t>WS-13</t>
        </is>
      </c>
      <c r="C940" s="28" t="inlineStr">
        <is>
          <t>Workspace &amp; access</t>
        </is>
      </c>
      <c r="D940" s="28" t="inlineStr">
        <is>
          <t>Single sign-on and custom roles</t>
        </is>
      </c>
      <c r="E940" s="29" t="inlineStr">
        <is>
          <t>C</t>
        </is>
      </c>
      <c r="F940" s="28" t="inlineStr">
        <is>
          <t>Planned (not built yet). Consulted: gives input, data or a decision when asked.</t>
        </is>
      </c>
      <c r="G940" s="28" t="inlineStr">
        <is>
          <t>-</t>
        </is>
      </c>
      <c r="H940" s="29" t="inlineStr">
        <is>
          <t>Planned</t>
        </is>
      </c>
    </row>
    <row r="941" ht="30" customHeight="1">
      <c r="A941" s="28" t="inlineStr">
        <is>
          <t>Client (external)</t>
        </is>
      </c>
      <c r="B941" s="28" t="inlineStr">
        <is>
          <t>SAL-02</t>
        </is>
      </c>
      <c r="C941" s="28" t="inlineStr">
        <is>
          <t>Sales &amp; CRM</t>
        </is>
      </c>
      <c r="D941" s="28" t="inlineStr">
        <is>
          <t>Qualification, demo, proposal and negotiation</t>
        </is>
      </c>
      <c r="E941" s="29" t="inlineStr">
        <is>
          <t>C</t>
        </is>
      </c>
      <c r="F941" s="28" t="inlineStr">
        <is>
          <t>Consulted: gives input, data or a decision when asked.</t>
        </is>
      </c>
      <c r="G941" s="28" t="inlineStr">
        <is>
          <t>/sales, /sales/:id</t>
        </is>
      </c>
      <c r="H941" s="29" t="inlineStr">
        <is>
          <t>Live</t>
        </is>
      </c>
    </row>
    <row r="942" ht="17" customHeight="1">
      <c r="A942" s="28" t="inlineStr">
        <is>
          <t>Client (external)</t>
        </is>
      </c>
      <c r="B942" s="28" t="inlineStr">
        <is>
          <t>SAL-08</t>
        </is>
      </c>
      <c r="C942" s="28" t="inlineStr">
        <is>
          <t>Sales &amp; CRM</t>
        </is>
      </c>
      <c r="D942" s="28" t="inlineStr">
        <is>
          <t>Quotation and estimate builder</t>
        </is>
      </c>
      <c r="E942" s="29" t="inlineStr">
        <is>
          <t>I</t>
        </is>
      </c>
      <c r="F942" s="28" t="inlineStr">
        <is>
          <t>Planned (not built yet). Informed.</t>
        </is>
      </c>
      <c r="G942" s="28" t="inlineStr">
        <is>
          <t>-</t>
        </is>
      </c>
      <c r="H942" s="29" t="inlineStr">
        <is>
          <t>Planned</t>
        </is>
      </c>
    </row>
    <row r="943" ht="30" customHeight="1">
      <c r="A943" s="28" t="inlineStr">
        <is>
          <t>Client (external)</t>
        </is>
      </c>
      <c r="B943" s="28" t="inlineStr">
        <is>
          <t>CLI-02</t>
        </is>
      </c>
      <c r="C943" s="28" t="inlineStr">
        <is>
          <t>Client &amp; contract management</t>
        </is>
      </c>
      <c r="D943" s="28" t="inlineStr">
        <is>
          <t>Contract register</t>
        </is>
      </c>
      <c r="E943" s="29" t="inlineStr">
        <is>
          <t>I</t>
        </is>
      </c>
      <c r="F943" s="28" t="inlineStr">
        <is>
          <t>Informed; sees the outcome in Clients &amp; contracts.</t>
        </is>
      </c>
      <c r="G943" s="28" t="inlineStr">
        <is>
          <t>/clients/:id</t>
        </is>
      </c>
      <c r="H943" s="29" t="inlineStr">
        <is>
          <t>New in v3</t>
        </is>
      </c>
    </row>
    <row r="944" ht="30" customHeight="1">
      <c r="A944" s="28" t="inlineStr">
        <is>
          <t>Client (external)</t>
        </is>
      </c>
      <c r="B944" s="28" t="inlineStr">
        <is>
          <t>CLI-03</t>
        </is>
      </c>
      <c r="C944" s="28" t="inlineStr">
        <is>
          <t>Client &amp; contract management</t>
        </is>
      </c>
      <c r="D944" s="28" t="inlineStr">
        <is>
          <t>Contract renewal</t>
        </is>
      </c>
      <c r="E944" s="29" t="inlineStr">
        <is>
          <t>C</t>
        </is>
      </c>
      <c r="F944" s="28" t="inlineStr">
        <is>
          <t>Consulted: gives input, data or a decision when asked.</t>
        </is>
      </c>
      <c r="G944" s="28" t="inlineStr">
        <is>
          <t>/clients</t>
        </is>
      </c>
      <c r="H944" s="29" t="inlineStr">
        <is>
          <t>New in v3</t>
        </is>
      </c>
    </row>
    <row r="945" ht="30" customHeight="1">
      <c r="A945" s="28" t="inlineStr">
        <is>
          <t>Client (external)</t>
        </is>
      </c>
      <c r="B945" s="28" t="inlineStr">
        <is>
          <t>CLI-05</t>
        </is>
      </c>
      <c r="C945" s="28" t="inlineStr">
        <is>
          <t>Client &amp; contract management</t>
        </is>
      </c>
      <c r="D945" s="28" t="inlineStr">
        <is>
          <t>Client portal and deliverable sign-off</t>
        </is>
      </c>
      <c r="E945" s="29" t="inlineStr">
        <is>
          <t>R</t>
        </is>
      </c>
      <c r="F945" s="28" t="inlineStr">
        <is>
          <t>Planned (not built yet). Does it: carries out "Client portal and deliverable sign-off".</t>
        </is>
      </c>
      <c r="G945" s="28" t="inlineStr">
        <is>
          <t>-</t>
        </is>
      </c>
      <c r="H945" s="29" t="inlineStr">
        <is>
          <t>Planned</t>
        </is>
      </c>
    </row>
    <row r="946" ht="30" customHeight="1">
      <c r="A946" s="28" t="inlineStr">
        <is>
          <t>Client (external)</t>
        </is>
      </c>
      <c r="B946" s="28" t="inlineStr">
        <is>
          <t>CLI-06</t>
        </is>
      </c>
      <c r="C946" s="28" t="inlineStr">
        <is>
          <t>Client &amp; contract management</t>
        </is>
      </c>
      <c r="D946" s="28" t="inlineStr">
        <is>
          <t>Contract e-signature</t>
        </is>
      </c>
      <c r="E946" s="29" t="inlineStr">
        <is>
          <t>R</t>
        </is>
      </c>
      <c r="F946" s="28" t="inlineStr">
        <is>
          <t>Planned (not built yet). Does it: carries out "Contract e-signature".</t>
        </is>
      </c>
      <c r="G946" s="28" t="inlineStr">
        <is>
          <t>-</t>
        </is>
      </c>
      <c r="H946" s="29" t="inlineStr">
        <is>
          <t>Planned</t>
        </is>
      </c>
    </row>
    <row r="947" ht="30" customHeight="1">
      <c r="A947" s="28" t="inlineStr">
        <is>
          <t>Client (external)</t>
        </is>
      </c>
      <c r="B947" s="28" t="inlineStr">
        <is>
          <t>CLI-07</t>
        </is>
      </c>
      <c r="C947" s="28" t="inlineStr">
        <is>
          <t>Client &amp; contract management</t>
        </is>
      </c>
      <c r="D947" s="28" t="inlineStr">
        <is>
          <t>Customer satisfaction (CSAT / NPS)</t>
        </is>
      </c>
      <c r="E947" s="29" t="inlineStr">
        <is>
          <t>R</t>
        </is>
      </c>
      <c r="F947" s="28" t="inlineStr">
        <is>
          <t>Planned (not built yet). Does it: carries out "Customer satisfaction (CSAT / NPS)".</t>
        </is>
      </c>
      <c r="G947" s="28" t="inlineStr">
        <is>
          <t>-</t>
        </is>
      </c>
      <c r="H947" s="29" t="inlineStr">
        <is>
          <t>Planned</t>
        </is>
      </c>
    </row>
    <row r="948" ht="30" customHeight="1">
      <c r="A948" s="28" t="inlineStr">
        <is>
          <t>Client (external)</t>
        </is>
      </c>
      <c r="B948" s="28" t="inlineStr">
        <is>
          <t>DEL-02</t>
        </is>
      </c>
      <c r="C948" s="28" t="inlineStr">
        <is>
          <t>Project delivery</t>
        </is>
      </c>
      <c r="D948" s="28" t="inlineStr">
        <is>
          <t>Milestones: plan, baseline and slip</t>
        </is>
      </c>
      <c r="E948" s="29" t="inlineStr">
        <is>
          <t>I</t>
        </is>
      </c>
      <c r="F948" s="28" t="inlineStr">
        <is>
          <t>Informed (NTF-15 milestone auto-deleted / deleted); sees the outcome in PM Home (upcoming milestones), CEO Home (milestones due 30 days).</t>
        </is>
      </c>
      <c r="G948" s="28" t="inlineStr">
        <is>
          <t>/projects/:id/wbs</t>
        </is>
      </c>
      <c r="H948" s="29" t="inlineStr">
        <is>
          <t>Live</t>
        </is>
      </c>
    </row>
    <row r="949" ht="17" customHeight="1">
      <c r="A949" s="28" t="inlineStr">
        <is>
          <t>Client (external)</t>
        </is>
      </c>
      <c r="B949" s="28" t="inlineStr">
        <is>
          <t>DEL-08</t>
        </is>
      </c>
      <c r="C949" s="28" t="inlineStr">
        <is>
          <t>Project delivery</t>
        </is>
      </c>
      <c r="D949" s="28" t="inlineStr">
        <is>
          <t>Change requests</t>
        </is>
      </c>
      <c r="E949" s="29" t="inlineStr">
        <is>
          <t>C</t>
        </is>
      </c>
      <c r="F949" s="28" t="inlineStr">
        <is>
          <t>Consulted: gives input, data or a decision when asked.</t>
        </is>
      </c>
      <c r="G949" s="28" t="inlineStr">
        <is>
          <t>/projects/:id/changes</t>
        </is>
      </c>
      <c r="H949" s="29" t="inlineStr">
        <is>
          <t>Extended</t>
        </is>
      </c>
    </row>
    <row r="950" ht="17" customHeight="1">
      <c r="A950" s="28" t="inlineStr">
        <is>
          <t>Client (external)</t>
        </is>
      </c>
      <c r="B950" s="28" t="inlineStr">
        <is>
          <t>DEL-10</t>
        </is>
      </c>
      <c r="C950" s="28" t="inlineStr">
        <is>
          <t>Project delivery</t>
        </is>
      </c>
      <c r="D950" s="28" t="inlineStr">
        <is>
          <t>Client status report (money-free view)</t>
        </is>
      </c>
      <c r="E950" s="29" t="inlineStr">
        <is>
          <t>I</t>
        </is>
      </c>
      <c r="F950" s="28" t="inlineStr">
        <is>
          <t>Informed; sees the outcome in Client view page.</t>
        </is>
      </c>
      <c r="G950" s="28" t="inlineStr">
        <is>
          <t>/projects/:id/client-view</t>
        </is>
      </c>
      <c r="H950" s="29" t="inlineStr">
        <is>
          <t>Live</t>
        </is>
      </c>
    </row>
    <row r="951" ht="17" customHeight="1">
      <c r="A951" s="28" t="inlineStr">
        <is>
          <t>Client (external)</t>
        </is>
      </c>
      <c r="B951" s="28" t="inlineStr">
        <is>
          <t>DEL-11</t>
        </is>
      </c>
      <c r="C951" s="28" t="inlineStr">
        <is>
          <t>Project delivery</t>
        </is>
      </c>
      <c r="D951" s="28" t="inlineStr">
        <is>
          <t>Project closure</t>
        </is>
      </c>
      <c r="E951" s="29" t="inlineStr">
        <is>
          <t>C</t>
        </is>
      </c>
      <c r="F951" s="28" t="inlineStr">
        <is>
          <t>Consulted: gives input, data or a decision when asked.</t>
        </is>
      </c>
      <c r="G951" s="28" t="inlineStr">
        <is>
          <t>/projects/:id</t>
        </is>
      </c>
      <c r="H951" s="29" t="inlineStr">
        <is>
          <t>Live</t>
        </is>
      </c>
    </row>
    <row r="952" ht="30" customHeight="1">
      <c r="A952" s="28" t="inlineStr">
        <is>
          <t>Client (external)</t>
        </is>
      </c>
      <c r="B952" s="28" t="inlineStr">
        <is>
          <t>DEL-14</t>
        </is>
      </c>
      <c r="C952" s="28" t="inlineStr">
        <is>
          <t>Project delivery</t>
        </is>
      </c>
      <c r="D952" s="28" t="inlineStr">
        <is>
          <t>Support / AMS ticketing with SLA</t>
        </is>
      </c>
      <c r="E952" s="29" t="inlineStr">
        <is>
          <t>R</t>
        </is>
      </c>
      <c r="F952" s="28" t="inlineStr">
        <is>
          <t>Planned (not built yet). Does it: carries out "Support / AMS ticketing with SLA".</t>
        </is>
      </c>
      <c r="G952" s="28" t="inlineStr">
        <is>
          <t>-</t>
        </is>
      </c>
      <c r="H952" s="29" t="inlineStr">
        <is>
          <t>Planned</t>
        </is>
      </c>
    </row>
    <row r="953" ht="30" customHeight="1">
      <c r="A953" s="28" t="inlineStr">
        <is>
          <t>Client (external)</t>
        </is>
      </c>
      <c r="B953" s="28" t="inlineStr">
        <is>
          <t>FIN-01</t>
        </is>
      </c>
      <c r="C953" s="28" t="inlineStr">
        <is>
          <t>Finance</t>
        </is>
      </c>
      <c r="D953" s="28" t="inlineStr">
        <is>
          <t>Milestone invoicing</t>
        </is>
      </c>
      <c r="E953" s="29" t="inlineStr">
        <is>
          <t>I</t>
        </is>
      </c>
      <c r="F953" s="28" t="inlineStr">
        <is>
          <t>Informed; sees the outcome in CEO Home (revenue), P&amp;L, Invoices.</t>
        </is>
      </c>
      <c r="G953" s="28" t="inlineStr">
        <is>
          <t>/projects/:id/money, /finance/invoices</t>
        </is>
      </c>
      <c r="H953" s="29" t="inlineStr">
        <is>
          <t>Live</t>
        </is>
      </c>
    </row>
    <row r="954" ht="30" customHeight="1">
      <c r="A954" s="28" t="inlineStr">
        <is>
          <t>Client (external)</t>
        </is>
      </c>
      <c r="B954" s="28" t="inlineStr">
        <is>
          <t>FIN-07</t>
        </is>
      </c>
      <c r="C954" s="28" t="inlineStr">
        <is>
          <t>Finance</t>
        </is>
      </c>
      <c r="D954" s="28" t="inlineStr">
        <is>
          <t>Timesheet-based billing for T&amp;M projects</t>
        </is>
      </c>
      <c r="E954" s="29" t="inlineStr">
        <is>
          <t>I</t>
        </is>
      </c>
      <c r="F954" s="28" t="inlineStr">
        <is>
          <t>Planned (not built yet). Informed.</t>
        </is>
      </c>
      <c r="G954" s="28" t="inlineStr">
        <is>
          <t>-</t>
        </is>
      </c>
      <c r="H954" s="29" t="inlineStr">
        <is>
          <t>Planned</t>
        </is>
      </c>
    </row>
    <row r="955" ht="30" customHeight="1">
      <c r="A955" s="28" t="inlineStr">
        <is>
          <t>Client (external)</t>
        </is>
      </c>
      <c r="B955" s="28" t="inlineStr">
        <is>
          <t>FIN-08</t>
        </is>
      </c>
      <c r="C955" s="28" t="inlineStr">
        <is>
          <t>Finance</t>
        </is>
      </c>
      <c r="D955" s="28" t="inlineStr">
        <is>
          <t>GST tax invoice, e-invoicing and e-way bill</t>
        </is>
      </c>
      <c r="E955" s="29" t="inlineStr">
        <is>
          <t>I</t>
        </is>
      </c>
      <c r="F955" s="28" t="inlineStr">
        <is>
          <t>Planned (not built yet). Informed.</t>
        </is>
      </c>
      <c r="G955" s="28" t="inlineStr">
        <is>
          <t>-</t>
        </is>
      </c>
      <c r="H955" s="29" t="inlineStr">
        <is>
          <t>Planned</t>
        </is>
      </c>
    </row>
    <row r="956" ht="17" customHeight="1">
      <c r="A956" s="28" t="inlineStr">
        <is>
          <t>Client (external)</t>
        </is>
      </c>
      <c r="B956" s="28" t="inlineStr">
        <is>
          <t>FIN-11</t>
        </is>
      </c>
      <c r="C956" s="28" t="inlineStr">
        <is>
          <t>Finance</t>
        </is>
      </c>
      <c r="D956" s="28" t="inlineStr">
        <is>
          <t>Collections follow-up and dunning</t>
        </is>
      </c>
      <c r="E956" s="29" t="inlineStr">
        <is>
          <t>I</t>
        </is>
      </c>
      <c r="F956" s="28" t="inlineStr">
        <is>
          <t>Planned (not built yet). Informed.</t>
        </is>
      </c>
      <c r="G956" s="28" t="inlineStr">
        <is>
          <t>-</t>
        </is>
      </c>
      <c r="H956" s="29" t="inlineStr">
        <is>
          <t>Planned</t>
        </is>
      </c>
    </row>
    <row r="957" ht="30" customHeight="1">
      <c r="A957" s="28" t="inlineStr">
        <is>
          <t>Client (external)</t>
        </is>
      </c>
      <c r="B957" s="28" t="inlineStr">
        <is>
          <t>OPS-04</t>
        </is>
      </c>
      <c r="C957" s="28" t="inlineStr">
        <is>
          <t>Operations &amp; compliance</t>
        </is>
      </c>
      <c r="D957" s="28" t="inlineStr">
        <is>
          <t>ISO 9001 non-conformance and CAPA</t>
        </is>
      </c>
      <c r="E957" s="29" t="inlineStr">
        <is>
          <t>C</t>
        </is>
      </c>
      <c r="F957" s="28" t="inlineStr">
        <is>
          <t>Planned (not built yet). Consulted: gives input, data or a decision when asked.</t>
        </is>
      </c>
      <c r="G957" s="28" t="inlineStr">
        <is>
          <t>-</t>
        </is>
      </c>
      <c r="H957" s="29" t="inlineStr">
        <is>
          <t>Planned</t>
        </is>
      </c>
    </row>
  </sheetData>
  <autoFilter ref="A1:H957"/>
  <conditionalFormatting sqref="H2:H957">
    <cfRule type="expression" priority="1" dxfId="0">
      <formula>$H2="Live"</formula>
    </cfRule>
    <cfRule type="expression" priority="2" dxfId="1">
      <formula>$H2="Extended"</formula>
    </cfRule>
    <cfRule type="expression" priority="3" dxfId="2">
      <formula>$H2="New in v3"</formula>
    </cfRule>
    <cfRule type="expression" priority="4" dxfId="3">
      <formula>$H2="New in v4"</formula>
    </cfRule>
    <cfRule type="expression" priority="5" dxfId="4">
      <formula>$H2="Planned"</formula>
    </cfRule>
  </conditionalFormatting>
  <printOptions gridLines="0"/>
  <pageMargins left="0.4" right="0.4" top="1" bottom="1" header="0.5" footer="0.5"/>
  <pageSetup orientation="landscape" paperSize="9" fitToHeight="0" fitToWidth="1"/>
  <headerFooter>
    <oddHeader/>
    <oddFooter>&amp;C&amp;8SeereonOS Business Process Catalogue v4 - page &amp;P of &amp;N</oddFooter>
    <evenHeader/>
    <evenFooter/>
    <firstHeader/>
    <firstFooter/>
  </headerFooter>
</worksheet>
</file>

<file path=xl/worksheets/sheet4.xml><?xml version="1.0" encoding="utf-8"?>
<worksheet xmlns="http://schemas.openxmlformats.org/spreadsheetml/2006/main">
  <sheetPr>
    <tabColor rgb="000C6B4E"/>
    <outlinePr summaryBelow="1" summaryRight="1"/>
    <pageSetUpPr fitToPage="1"/>
  </sheetPr>
  <dimension ref="A1:P9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min="1" max="1"/>
    <col width="26" customWidth="1" min="2" max="2"/>
    <col width="28" customWidth="1" min="3" max="3"/>
    <col width="46" customWidth="1" min="4" max="4"/>
    <col width="10" customWidth="1" min="5" max="5"/>
    <col width="9" customWidth="1" min="6" max="6"/>
    <col width="8.5" customWidth="1" min="7" max="7"/>
    <col width="8.5" customWidth="1" min="8" max="8"/>
    <col width="8.5" customWidth="1" min="9" max="9"/>
    <col width="8.5" customWidth="1" min="10" max="10"/>
    <col width="8.5" customWidth="1" min="11" max="11"/>
    <col width="8.5" customWidth="1" min="12" max="12"/>
    <col width="8.5" customWidth="1" min="13" max="13"/>
    <col width="8.5" customWidth="1" min="14" max="14"/>
    <col width="8.5" customWidth="1" min="15" max="15"/>
    <col width="9" customWidth="1" min="16" max="16"/>
  </cols>
  <sheetData>
    <row r="1" ht="92" customHeight="1">
      <c r="A1" s="25" t="inlineStr">
        <is>
          <t>Module</t>
        </is>
      </c>
      <c r="B1" s="25" t="inlineStr">
        <is>
          <t>Permission key</t>
        </is>
      </c>
      <c r="C1" s="25" t="inlineStr">
        <is>
          <t>Label</t>
        </is>
      </c>
      <c r="D1" s="25" t="inlineStr">
        <is>
          <t>Description</t>
        </is>
      </c>
      <c r="E1" s="27" t="inlineStr">
        <is>
          <t>Kind</t>
        </is>
      </c>
      <c r="F1" s="27" t="inlineStr">
        <is>
          <t>Sensitive</t>
        </is>
      </c>
      <c r="G1" s="26" t="inlineStr">
        <is>
          <t>Administrator</t>
        </is>
      </c>
      <c r="H1" s="26" t="inlineStr">
        <is>
          <t>CEO</t>
        </is>
      </c>
      <c r="I1" s="26" t="inlineStr">
        <is>
          <t>CTO</t>
        </is>
      </c>
      <c r="J1" s="26" t="inlineStr">
        <is>
          <t>Project Manager</t>
        </is>
      </c>
      <c r="K1" s="26" t="inlineStr">
        <is>
          <t>HR Manager</t>
        </is>
      </c>
      <c r="L1" s="26" t="inlineStr">
        <is>
          <t>HR Executive</t>
        </is>
      </c>
      <c r="M1" s="26" t="inlineStr">
        <is>
          <t>Sales Manager</t>
        </is>
      </c>
      <c r="N1" s="26" t="inlineStr">
        <is>
          <t>Sales Executive</t>
        </is>
      </c>
      <c r="O1" s="26" t="inlineStr">
        <is>
          <t>Employee</t>
        </is>
      </c>
      <c r="P1" s="26" t="inlineStr">
        <is>
          <t>Roles holding it</t>
        </is>
      </c>
    </row>
    <row r="2">
      <c r="A2" s="31" t="inlineStr">
        <is>
          <t>My work (4)</t>
        </is>
      </c>
      <c r="B2" s="32" t="n"/>
      <c r="C2" s="32" t="n"/>
      <c r="D2" s="32" t="n"/>
      <c r="E2" s="32" t="n"/>
      <c r="F2" s="32" t="n"/>
      <c r="G2" s="32" t="n"/>
      <c r="H2" s="32" t="n"/>
      <c r="I2" s="32" t="n"/>
      <c r="J2" s="32" t="n"/>
      <c r="K2" s="32" t="n"/>
      <c r="L2" s="32" t="n"/>
      <c r="M2" s="32" t="n"/>
      <c r="N2" s="32" t="n"/>
      <c r="O2" s="32" t="n"/>
      <c r="P2" s="32" t="n"/>
    </row>
    <row r="3" ht="17" customHeight="1">
      <c r="A3" s="28" t="inlineStr">
        <is>
          <t>My work</t>
        </is>
      </c>
      <c r="B3" s="28" t="inlineStr">
        <is>
          <t>timesheet.own</t>
        </is>
      </c>
      <c r="C3" s="28" t="inlineStr">
        <is>
          <t>Log own timesheet</t>
        </is>
      </c>
      <c r="D3" s="28" t="inlineStr">
        <is>
          <t>Fill and submit weekly timesheets.</t>
        </is>
      </c>
      <c r="E3" s="29" t="inlineStr">
        <is>
          <t>create</t>
        </is>
      </c>
      <c r="F3" s="29" t="inlineStr"/>
      <c r="G3" s="29" t="inlineStr">
        <is>
          <t>✓</t>
        </is>
      </c>
      <c r="H3" s="29" t="inlineStr">
        <is>
          <t>✓</t>
        </is>
      </c>
      <c r="I3" s="29" t="inlineStr">
        <is>
          <t>✓</t>
        </is>
      </c>
      <c r="J3" s="29" t="inlineStr">
        <is>
          <t>✓</t>
        </is>
      </c>
      <c r="K3" s="29" t="inlineStr">
        <is>
          <t>✓</t>
        </is>
      </c>
      <c r="L3" s="29" t="inlineStr">
        <is>
          <t>✓</t>
        </is>
      </c>
      <c r="M3" s="29" t="inlineStr">
        <is>
          <t>✓</t>
        </is>
      </c>
      <c r="N3" s="29" t="inlineStr">
        <is>
          <t>✓</t>
        </is>
      </c>
      <c r="O3" s="29" t="inlineStr">
        <is>
          <t>✓</t>
        </is>
      </c>
      <c r="P3" s="29">
        <f>COUNTIF(G3:O3,"✓")</f>
        <v/>
      </c>
    </row>
    <row r="4" ht="17" customHeight="1">
      <c r="A4" s="28" t="inlineStr">
        <is>
          <t>My work</t>
        </is>
      </c>
      <c r="B4" s="28" t="inlineStr">
        <is>
          <t>daily_update.post</t>
        </is>
      </c>
      <c r="C4" s="28" t="inlineStr">
        <is>
          <t>Post daily updates</t>
        </is>
      </c>
      <c r="D4" s="28" t="inlineStr">
        <is>
          <t>Post the daily stand-up update with proof.</t>
        </is>
      </c>
      <c r="E4" s="29" t="inlineStr">
        <is>
          <t>create</t>
        </is>
      </c>
      <c r="F4" s="29" t="inlineStr"/>
      <c r="G4" s="29" t="inlineStr">
        <is>
          <t>✓</t>
        </is>
      </c>
      <c r="H4" s="29" t="inlineStr">
        <is>
          <t>✓</t>
        </is>
      </c>
      <c r="I4" s="29" t="inlineStr">
        <is>
          <t>✓</t>
        </is>
      </c>
      <c r="J4" s="29" t="inlineStr">
        <is>
          <t>✓</t>
        </is>
      </c>
      <c r="K4" s="29" t="inlineStr">
        <is>
          <t>✓</t>
        </is>
      </c>
      <c r="L4" s="29" t="inlineStr">
        <is>
          <t>✓</t>
        </is>
      </c>
      <c r="M4" s="29" t="inlineStr">
        <is>
          <t>✓</t>
        </is>
      </c>
      <c r="N4" s="29" t="inlineStr">
        <is>
          <t>✓</t>
        </is>
      </c>
      <c r="O4" s="29" t="inlineStr">
        <is>
          <t>✓</t>
        </is>
      </c>
      <c r="P4" s="29">
        <f>COUNTIF(G4:O4,"✓")</f>
        <v/>
      </c>
    </row>
    <row r="5" ht="30" customHeight="1">
      <c r="A5" s="28" t="inlineStr">
        <is>
          <t>My work</t>
        </is>
      </c>
      <c r="B5" s="28" t="inlineStr">
        <is>
          <t>approvals.act</t>
        </is>
      </c>
      <c r="C5" s="28" t="inlineStr">
        <is>
          <t>Act on own approvals</t>
        </is>
      </c>
      <c r="D5" s="28" t="inlineStr">
        <is>
          <t>Approve items routed to them (reports-to and workflow scope still apply).</t>
        </is>
      </c>
      <c r="E5" s="29" t="inlineStr">
        <is>
          <t>approve</t>
        </is>
      </c>
      <c r="F5" s="29" t="inlineStr"/>
      <c r="G5" s="29" t="inlineStr">
        <is>
          <t>✓</t>
        </is>
      </c>
      <c r="H5" s="29" t="inlineStr">
        <is>
          <t>✓</t>
        </is>
      </c>
      <c r="I5" s="29" t="inlineStr">
        <is>
          <t>✓</t>
        </is>
      </c>
      <c r="J5" s="29" t="inlineStr">
        <is>
          <t>✓</t>
        </is>
      </c>
      <c r="K5" s="29" t="inlineStr">
        <is>
          <t>✓</t>
        </is>
      </c>
      <c r="L5" s="29" t="inlineStr">
        <is>
          <t>✓</t>
        </is>
      </c>
      <c r="M5" s="29" t="inlineStr">
        <is>
          <t>✓</t>
        </is>
      </c>
      <c r="N5" s="29" t="inlineStr">
        <is>
          <t>✓</t>
        </is>
      </c>
      <c r="O5" s="29" t="inlineStr">
        <is>
          <t>✓</t>
        </is>
      </c>
      <c r="P5" s="29">
        <f>COUNTIF(G5:O5,"✓")</f>
        <v/>
      </c>
    </row>
    <row r="6" ht="30" customHeight="1">
      <c r="A6" s="28" t="inlineStr">
        <is>
          <t>My work</t>
        </is>
      </c>
      <c r="B6" s="28" t="inlineStr">
        <is>
          <t>ai.use</t>
        </is>
      </c>
      <c r="C6" s="28" t="inlineStr">
        <is>
          <t>Use Ask AI</t>
        </is>
      </c>
      <c r="D6" s="28" t="inlineStr">
        <is>
          <t>Ask questions in plain language and build AI reports within their own data access.</t>
        </is>
      </c>
      <c r="E6" s="29" t="inlineStr">
        <is>
          <t>view</t>
        </is>
      </c>
      <c r="F6" s="29" t="inlineStr"/>
      <c r="G6" s="29" t="inlineStr">
        <is>
          <t>✓</t>
        </is>
      </c>
      <c r="H6" s="29" t="inlineStr">
        <is>
          <t>✓</t>
        </is>
      </c>
      <c r="I6" s="29" t="inlineStr">
        <is>
          <t>✓</t>
        </is>
      </c>
      <c r="J6" s="29" t="inlineStr">
        <is>
          <t>✓</t>
        </is>
      </c>
      <c r="K6" s="29" t="inlineStr">
        <is>
          <t>✓</t>
        </is>
      </c>
      <c r="L6" s="29" t="inlineStr">
        <is>
          <t>✓</t>
        </is>
      </c>
      <c r="M6" s="29" t="inlineStr">
        <is>
          <t>✓</t>
        </is>
      </c>
      <c r="N6" s="29" t="inlineStr">
        <is>
          <t>✓</t>
        </is>
      </c>
      <c r="O6" s="29" t="inlineStr">
        <is>
          <t>✓</t>
        </is>
      </c>
      <c r="P6" s="29">
        <f>COUNTIF(G6:O6,"✓")</f>
        <v/>
      </c>
    </row>
    <row r="7">
      <c r="A7" s="31" t="inlineStr">
        <is>
          <t>Projects &amp; delivery (11)</t>
        </is>
      </c>
      <c r="B7" s="32" t="n"/>
      <c r="C7" s="32" t="n"/>
      <c r="D7" s="32" t="n"/>
      <c r="E7" s="32" t="n"/>
      <c r="F7" s="32" t="n"/>
      <c r="G7" s="32" t="n"/>
      <c r="H7" s="32" t="n"/>
      <c r="I7" s="32" t="n"/>
      <c r="J7" s="32" t="n"/>
      <c r="K7" s="32" t="n"/>
      <c r="L7" s="32" t="n"/>
      <c r="M7" s="32" t="n"/>
      <c r="N7" s="32" t="n"/>
      <c r="O7" s="32" t="n"/>
      <c r="P7" s="32" t="n"/>
    </row>
    <row r="8" ht="30" customHeight="1">
      <c r="A8" s="28" t="inlineStr">
        <is>
          <t>Projects &amp; delivery</t>
        </is>
      </c>
      <c r="B8" s="28" t="inlineStr">
        <is>
          <t>projects.view_all</t>
        </is>
      </c>
      <c r="C8" s="28" t="inlineStr">
        <is>
          <t>See all projects</t>
        </is>
      </c>
      <c r="D8" s="28" t="inlineStr">
        <is>
          <t>Every project in the company, not only the ones they work on.</t>
        </is>
      </c>
      <c r="E8" s="29" t="inlineStr">
        <is>
          <t>view</t>
        </is>
      </c>
      <c r="F8" s="29" t="inlineStr"/>
      <c r="G8" s="29" t="inlineStr">
        <is>
          <t>✓</t>
        </is>
      </c>
      <c r="H8" s="29" t="inlineStr">
        <is>
          <t>✓</t>
        </is>
      </c>
      <c r="I8" s="29" t="inlineStr">
        <is>
          <t>✓</t>
        </is>
      </c>
      <c r="J8" s="29" t="inlineStr">
        <is>
          <t>✓</t>
        </is>
      </c>
      <c r="K8" s="29" t="inlineStr">
        <is>
          <t>✓</t>
        </is>
      </c>
      <c r="L8" s="29" t="inlineStr"/>
      <c r="M8" s="29" t="inlineStr"/>
      <c r="N8" s="29" t="inlineStr"/>
      <c r="O8" s="29" t="inlineStr"/>
      <c r="P8" s="29">
        <f>COUNTIF(G8:O8,"✓")</f>
        <v/>
      </c>
    </row>
    <row r="9" ht="17" customHeight="1">
      <c r="A9" s="28" t="inlineStr">
        <is>
          <t>Projects &amp; delivery</t>
        </is>
      </c>
      <c r="B9" s="28" t="inlineStr">
        <is>
          <t>projects.create</t>
        </is>
      </c>
      <c r="C9" s="28" t="inlineStr">
        <is>
          <t>Create projects</t>
        </is>
      </c>
      <c r="D9" s="28" t="inlineStr">
        <is>
          <t>Start new projects and import a WBS.</t>
        </is>
      </c>
      <c r="E9" s="29" t="inlineStr">
        <is>
          <t>create</t>
        </is>
      </c>
      <c r="F9" s="29" t="inlineStr"/>
      <c r="G9" s="29" t="inlineStr">
        <is>
          <t>✓</t>
        </is>
      </c>
      <c r="H9" s="29" t="inlineStr">
        <is>
          <t>✓</t>
        </is>
      </c>
      <c r="I9" s="29" t="inlineStr">
        <is>
          <t>✓</t>
        </is>
      </c>
      <c r="J9" s="29" t="inlineStr">
        <is>
          <t>✓</t>
        </is>
      </c>
      <c r="K9" s="29" t="inlineStr"/>
      <c r="L9" s="29" t="inlineStr"/>
      <c r="M9" s="29" t="inlineStr"/>
      <c r="N9" s="29" t="inlineStr"/>
      <c r="O9" s="29" t="inlineStr"/>
      <c r="P9" s="29">
        <f>COUNTIF(G9:O9,"✓")</f>
        <v/>
      </c>
    </row>
    <row r="10" ht="30" customHeight="1">
      <c r="A10" s="28" t="inlineStr">
        <is>
          <t>Projects &amp; delivery</t>
        </is>
      </c>
      <c r="B10" s="28" t="inlineStr">
        <is>
          <t>projects.edit</t>
        </is>
      </c>
      <c r="C10" s="28" t="inlineStr">
        <is>
          <t>Edit projects they manage</t>
        </is>
      </c>
      <c r="D10" s="28" t="inlineStr">
        <is>
          <t>Plan, milestones, status and team of projects where they are the PM.</t>
        </is>
      </c>
      <c r="E10" s="29" t="inlineStr">
        <is>
          <t>edit</t>
        </is>
      </c>
      <c r="F10" s="29" t="inlineStr"/>
      <c r="G10" s="29" t="inlineStr">
        <is>
          <t>✓</t>
        </is>
      </c>
      <c r="H10" s="29" t="inlineStr">
        <is>
          <t>✓</t>
        </is>
      </c>
      <c r="I10" s="29" t="inlineStr">
        <is>
          <t>✓</t>
        </is>
      </c>
      <c r="J10" s="29" t="inlineStr">
        <is>
          <t>✓</t>
        </is>
      </c>
      <c r="K10" s="29" t="inlineStr"/>
      <c r="L10" s="29" t="inlineStr"/>
      <c r="M10" s="29" t="inlineStr"/>
      <c r="N10" s="29" t="inlineStr"/>
      <c r="O10" s="29" t="inlineStr"/>
      <c r="P10" s="29">
        <f>COUNTIF(G10:O10,"✓")</f>
        <v/>
      </c>
    </row>
    <row r="11" ht="30" customHeight="1">
      <c r="A11" s="28" t="inlineStr">
        <is>
          <t>Projects &amp; delivery</t>
        </is>
      </c>
      <c r="B11" s="28" t="inlineStr">
        <is>
          <t>projects.manage_all</t>
        </is>
      </c>
      <c r="C11" s="28" t="inlineStr">
        <is>
          <t>Manage every project</t>
        </is>
      </c>
      <c r="D11" s="28" t="inlineStr">
        <is>
          <t>Edit any project and its tasks, and hand a project to another project manager.</t>
        </is>
      </c>
      <c r="E11" s="29" t="inlineStr">
        <is>
          <t>manage</t>
        </is>
      </c>
      <c r="F11" s="29" t="inlineStr"/>
      <c r="G11" s="29" t="inlineStr">
        <is>
          <t>✓</t>
        </is>
      </c>
      <c r="H11" s="29" t="inlineStr">
        <is>
          <t>✓</t>
        </is>
      </c>
      <c r="I11" s="29" t="inlineStr">
        <is>
          <t>✓</t>
        </is>
      </c>
      <c r="J11" s="29" t="inlineStr"/>
      <c r="K11" s="29" t="inlineStr"/>
      <c r="L11" s="29" t="inlineStr"/>
      <c r="M11" s="29" t="inlineStr"/>
      <c r="N11" s="29" t="inlineStr"/>
      <c r="O11" s="29" t="inlineStr"/>
      <c r="P11" s="29">
        <f>COUNTIF(G11:O11,"✓")</f>
        <v/>
      </c>
    </row>
    <row r="12" ht="17" customHeight="1">
      <c r="A12" s="28" t="inlineStr">
        <is>
          <t>Projects &amp; delivery</t>
        </is>
      </c>
      <c r="B12" s="28" t="inlineStr">
        <is>
          <t>tasks.edit</t>
        </is>
      </c>
      <c r="C12" s="28" t="inlineStr">
        <is>
          <t>Plan and edit tasks</t>
        </is>
      </c>
      <c r="D12" s="28" t="inlineStr">
        <is>
          <t>Create, assign and reschedule project tasks.</t>
        </is>
      </c>
      <c r="E12" s="29" t="inlineStr">
        <is>
          <t>edit</t>
        </is>
      </c>
      <c r="F12" s="29" t="inlineStr"/>
      <c r="G12" s="29" t="inlineStr">
        <is>
          <t>✓</t>
        </is>
      </c>
      <c r="H12" s="29" t="inlineStr">
        <is>
          <t>✓</t>
        </is>
      </c>
      <c r="I12" s="29" t="inlineStr">
        <is>
          <t>✓</t>
        </is>
      </c>
      <c r="J12" s="29" t="inlineStr">
        <is>
          <t>✓</t>
        </is>
      </c>
      <c r="K12" s="29" t="inlineStr"/>
      <c r="L12" s="29" t="inlineStr"/>
      <c r="M12" s="29" t="inlineStr"/>
      <c r="N12" s="29" t="inlineStr"/>
      <c r="O12" s="29" t="inlineStr"/>
      <c r="P12" s="29">
        <f>COUNTIF(G12:O12,"✓")</f>
        <v/>
      </c>
    </row>
    <row r="13" ht="17" customHeight="1">
      <c r="A13" s="28" t="inlineStr">
        <is>
          <t>Projects &amp; delivery</t>
        </is>
      </c>
      <c r="B13" s="28" t="inlineStr">
        <is>
          <t>tasks.status_any</t>
        </is>
      </c>
      <c r="C13" s="28" t="inlineStr">
        <is>
          <t>Change any task status</t>
        </is>
      </c>
      <c r="D13" s="28" t="inlineStr">
        <is>
          <t>Move tasks that are owned by someone else.</t>
        </is>
      </c>
      <c r="E13" s="29" t="inlineStr">
        <is>
          <t>edit</t>
        </is>
      </c>
      <c r="F13" s="29" t="inlineStr"/>
      <c r="G13" s="29" t="inlineStr">
        <is>
          <t>✓</t>
        </is>
      </c>
      <c r="H13" s="29" t="inlineStr">
        <is>
          <t>✓</t>
        </is>
      </c>
      <c r="I13" s="29" t="inlineStr">
        <is>
          <t>✓</t>
        </is>
      </c>
      <c r="J13" s="29" t="inlineStr">
        <is>
          <t>✓</t>
        </is>
      </c>
      <c r="K13" s="29" t="inlineStr"/>
      <c r="L13" s="29" t="inlineStr"/>
      <c r="M13" s="29" t="inlineStr"/>
      <c r="N13" s="29" t="inlineStr"/>
      <c r="O13" s="29" t="inlineStr"/>
      <c r="P13" s="29">
        <f>COUNTIF(G13:O13,"✓")</f>
        <v/>
      </c>
    </row>
    <row r="14" ht="17" customHeight="1">
      <c r="A14" s="28" t="inlineStr">
        <is>
          <t>Projects &amp; delivery</t>
        </is>
      </c>
      <c r="B14" s="28" t="inlineStr">
        <is>
          <t>allocation.edit</t>
        </is>
      </c>
      <c r="C14" s="28" t="inlineStr">
        <is>
          <t>Allocate people</t>
        </is>
      </c>
      <c r="D14" s="28" t="inlineStr">
        <is>
          <t>Change allocation % of people on projects.</t>
        </is>
      </c>
      <c r="E14" s="29" t="inlineStr">
        <is>
          <t>edit</t>
        </is>
      </c>
      <c r="F14" s="29" t="inlineStr"/>
      <c r="G14" s="29" t="inlineStr">
        <is>
          <t>✓</t>
        </is>
      </c>
      <c r="H14" s="29" t="inlineStr">
        <is>
          <t>✓</t>
        </is>
      </c>
      <c r="I14" s="29" t="inlineStr">
        <is>
          <t>✓</t>
        </is>
      </c>
      <c r="J14" s="29" t="inlineStr">
        <is>
          <t>✓</t>
        </is>
      </c>
      <c r="K14" s="29" t="inlineStr"/>
      <c r="L14" s="29" t="inlineStr"/>
      <c r="M14" s="29" t="inlineStr"/>
      <c r="N14" s="29" t="inlineStr"/>
      <c r="O14" s="29" t="inlineStr"/>
      <c r="P14" s="29">
        <f>COUNTIF(G14:O14,"✓")</f>
        <v/>
      </c>
    </row>
    <row r="15" ht="17" customHeight="1">
      <c r="A15" s="28" t="inlineStr">
        <is>
          <t>Projects &amp; delivery</t>
        </is>
      </c>
      <c r="B15" s="28" t="inlineStr">
        <is>
          <t>change_requests.manage</t>
        </is>
      </c>
      <c r="C15" s="28" t="inlineStr">
        <is>
          <t>Handle change requests</t>
        </is>
      </c>
      <c r="D15" s="28" t="inlineStr">
        <is>
          <t>Raise, price and close client change requests.</t>
        </is>
      </c>
      <c r="E15" s="29" t="inlineStr">
        <is>
          <t>manage</t>
        </is>
      </c>
      <c r="F15" s="29" t="inlineStr"/>
      <c r="G15" s="29" t="inlineStr">
        <is>
          <t>✓</t>
        </is>
      </c>
      <c r="H15" s="29" t="inlineStr">
        <is>
          <t>✓</t>
        </is>
      </c>
      <c r="I15" s="29" t="inlineStr">
        <is>
          <t>✓</t>
        </is>
      </c>
      <c r="J15" s="29" t="inlineStr">
        <is>
          <t>✓</t>
        </is>
      </c>
      <c r="K15" s="29" t="inlineStr"/>
      <c r="L15" s="29" t="inlineStr"/>
      <c r="M15" s="29" t="inlineStr"/>
      <c r="N15" s="29" t="inlineStr"/>
      <c r="O15" s="29" t="inlineStr"/>
      <c r="P15" s="29">
        <f>COUNTIF(G15:O15,"✓")</f>
        <v/>
      </c>
    </row>
    <row r="16" ht="17" customHeight="1">
      <c r="A16" s="28" t="inlineStr">
        <is>
          <t>Projects &amp; delivery</t>
        </is>
      </c>
      <c r="B16" s="28" t="inlineStr">
        <is>
          <t>documents.manage</t>
        </is>
      </c>
      <c r="C16" s="28" t="inlineStr">
        <is>
          <t>Manage project documents</t>
        </is>
      </c>
      <c r="D16" s="28" t="inlineStr">
        <is>
          <t>Upload, version and archive project documents.</t>
        </is>
      </c>
      <c r="E16" s="29" t="inlineStr">
        <is>
          <t>manage</t>
        </is>
      </c>
      <c r="F16" s="29" t="inlineStr"/>
      <c r="G16" s="29" t="inlineStr">
        <is>
          <t>✓</t>
        </is>
      </c>
      <c r="H16" s="29" t="inlineStr">
        <is>
          <t>✓</t>
        </is>
      </c>
      <c r="I16" s="29" t="inlineStr">
        <is>
          <t>✓</t>
        </is>
      </c>
      <c r="J16" s="29" t="inlineStr">
        <is>
          <t>✓</t>
        </is>
      </c>
      <c r="K16" s="29" t="inlineStr"/>
      <c r="L16" s="29" t="inlineStr"/>
      <c r="M16" s="29" t="inlineStr"/>
      <c r="N16" s="29" t="inlineStr"/>
      <c r="O16" s="29" t="inlineStr"/>
      <c r="P16" s="29">
        <f>COUNTIF(G16:O16,"✓")</f>
        <v/>
      </c>
    </row>
    <row r="17" ht="17" customHeight="1">
      <c r="A17" s="28" t="inlineStr">
        <is>
          <t>Projects &amp; delivery</t>
        </is>
      </c>
      <c r="B17" s="28" t="inlineStr">
        <is>
          <t>documents.view_all</t>
        </is>
      </c>
      <c r="C17" s="28" t="inlineStr">
        <is>
          <t>See all project documents</t>
        </is>
      </c>
      <c r="D17" s="28" t="inlineStr">
        <is>
          <t>Open documents of projects they are not on.</t>
        </is>
      </c>
      <c r="E17" s="29" t="inlineStr">
        <is>
          <t>view</t>
        </is>
      </c>
      <c r="F17" s="29" t="inlineStr"/>
      <c r="G17" s="29" t="inlineStr">
        <is>
          <t>✓</t>
        </is>
      </c>
      <c r="H17" s="29" t="inlineStr">
        <is>
          <t>✓</t>
        </is>
      </c>
      <c r="I17" s="29" t="inlineStr">
        <is>
          <t>✓</t>
        </is>
      </c>
      <c r="J17" s="29" t="inlineStr"/>
      <c r="K17" s="29" t="inlineStr"/>
      <c r="L17" s="29" t="inlineStr"/>
      <c r="M17" s="29" t="inlineStr"/>
      <c r="N17" s="29" t="inlineStr"/>
      <c r="O17" s="29" t="inlineStr"/>
      <c r="P17" s="29">
        <f>COUNTIF(G17:O17,"✓")</f>
        <v/>
      </c>
    </row>
    <row r="18" ht="17" customHeight="1">
      <c r="A18" s="28" t="inlineStr">
        <is>
          <t>Projects &amp; delivery</t>
        </is>
      </c>
      <c r="B18" s="28" t="inlineStr">
        <is>
          <t>openings.manage</t>
        </is>
      </c>
      <c r="C18" s="28" t="inlineStr">
        <is>
          <t>Manage openings</t>
        </is>
      </c>
      <c r="D18" s="28" t="inlineStr">
        <is>
          <t>Raise and track staffing openings.</t>
        </is>
      </c>
      <c r="E18" s="29" t="inlineStr">
        <is>
          <t>manage</t>
        </is>
      </c>
      <c r="F18" s="29" t="inlineStr"/>
      <c r="G18" s="29" t="inlineStr">
        <is>
          <t>✓</t>
        </is>
      </c>
      <c r="H18" s="29" t="inlineStr">
        <is>
          <t>✓</t>
        </is>
      </c>
      <c r="I18" s="29" t="inlineStr">
        <is>
          <t>✓</t>
        </is>
      </c>
      <c r="J18" s="29" t="inlineStr">
        <is>
          <t>✓</t>
        </is>
      </c>
      <c r="K18" s="29" t="inlineStr">
        <is>
          <t>✓</t>
        </is>
      </c>
      <c r="L18" s="29" t="inlineStr">
        <is>
          <t>✓</t>
        </is>
      </c>
      <c r="M18" s="29" t="inlineStr"/>
      <c r="N18" s="29" t="inlineStr"/>
      <c r="O18" s="29" t="inlineStr"/>
      <c r="P18" s="29">
        <f>COUNTIF(G18:O18,"✓")</f>
        <v/>
      </c>
    </row>
    <row r="19">
      <c r="A19" s="31" t="inlineStr">
        <is>
          <t>Team &amp; performance (6)</t>
        </is>
      </c>
      <c r="B19" s="32" t="n"/>
      <c r="C19" s="32" t="n"/>
      <c r="D19" s="32" t="n"/>
      <c r="E19" s="32" t="n"/>
      <c r="F19" s="32" t="n"/>
      <c r="G19" s="32" t="n"/>
      <c r="H19" s="32" t="n"/>
      <c r="I19" s="32" t="n"/>
      <c r="J19" s="32" t="n"/>
      <c r="K19" s="32" t="n"/>
      <c r="L19" s="32" t="n"/>
      <c r="M19" s="32" t="n"/>
      <c r="N19" s="32" t="n"/>
      <c r="O19" s="32" t="n"/>
      <c r="P19" s="32" t="n"/>
    </row>
    <row r="20" ht="30" customHeight="1">
      <c r="A20" s="28" t="inlineStr">
        <is>
          <t>Team &amp; performance</t>
        </is>
      </c>
      <c r="B20" s="28" t="inlineStr">
        <is>
          <t>team.view</t>
        </is>
      </c>
      <c r="C20" s="28" t="inlineStr">
        <is>
          <t>See team pages</t>
        </is>
      </c>
      <c r="D20" s="28" t="inlineStr">
        <is>
          <t>Team workload, timesheets and availability of their reports.</t>
        </is>
      </c>
      <c r="E20" s="29" t="inlineStr">
        <is>
          <t>view</t>
        </is>
      </c>
      <c r="F20" s="29" t="inlineStr"/>
      <c r="G20" s="29" t="inlineStr">
        <is>
          <t>✓</t>
        </is>
      </c>
      <c r="H20" s="29" t="inlineStr">
        <is>
          <t>✓</t>
        </is>
      </c>
      <c r="I20" s="29" t="inlineStr">
        <is>
          <t>✓</t>
        </is>
      </c>
      <c r="J20" s="29" t="inlineStr">
        <is>
          <t>✓</t>
        </is>
      </c>
      <c r="K20" s="29" t="inlineStr">
        <is>
          <t>✓</t>
        </is>
      </c>
      <c r="L20" s="29" t="inlineStr"/>
      <c r="M20" s="29" t="inlineStr">
        <is>
          <t>✓</t>
        </is>
      </c>
      <c r="N20" s="29" t="inlineStr"/>
      <c r="O20" s="29" t="inlineStr"/>
      <c r="P20" s="29">
        <f>COUNTIF(G20:O20,"✓")</f>
        <v/>
      </c>
    </row>
    <row r="21" ht="17" customHeight="1">
      <c r="A21" s="28" t="inlineStr">
        <is>
          <t>Team &amp; performance</t>
        </is>
      </c>
      <c r="B21" s="28" t="inlineStr">
        <is>
          <t>tasks.assign_team</t>
        </is>
      </c>
      <c r="C21" s="28" t="inlineStr">
        <is>
          <t>Assign tasks to reports</t>
        </is>
      </c>
      <c r="D21" s="28" t="inlineStr">
        <is>
          <t>Give general tasks to people who report to them.</t>
        </is>
      </c>
      <c r="E21" s="29" t="inlineStr">
        <is>
          <t>create</t>
        </is>
      </c>
      <c r="F21" s="29" t="inlineStr"/>
      <c r="G21" s="29" t="inlineStr">
        <is>
          <t>✓</t>
        </is>
      </c>
      <c r="H21" s="29" t="inlineStr">
        <is>
          <t>✓</t>
        </is>
      </c>
      <c r="I21" s="29" t="inlineStr">
        <is>
          <t>✓</t>
        </is>
      </c>
      <c r="J21" s="29" t="inlineStr">
        <is>
          <t>✓</t>
        </is>
      </c>
      <c r="K21" s="29" t="inlineStr">
        <is>
          <t>✓</t>
        </is>
      </c>
      <c r="L21" s="29" t="inlineStr"/>
      <c r="M21" s="29" t="inlineStr">
        <is>
          <t>✓</t>
        </is>
      </c>
      <c r="N21" s="29" t="inlineStr"/>
      <c r="O21" s="29" t="inlineStr"/>
      <c r="P21" s="29">
        <f>COUNTIF(G21:O21,"✓")</f>
        <v/>
      </c>
    </row>
    <row r="22" ht="30" customHeight="1">
      <c r="A22" s="28" t="inlineStr">
        <is>
          <t>Team &amp; performance</t>
        </is>
      </c>
      <c r="B22" s="28" t="inlineStr">
        <is>
          <t>tasks.review</t>
        </is>
      </c>
      <c r="C22" s="28" t="inlineStr">
        <is>
          <t>Review submitted tasks</t>
        </is>
      </c>
      <c r="D22" s="28" t="inlineStr">
        <is>
          <t>Approve or send back tasks where they are the reviewer.</t>
        </is>
      </c>
      <c r="E22" s="29" t="inlineStr">
        <is>
          <t>approve</t>
        </is>
      </c>
      <c r="F22" s="29" t="inlineStr"/>
      <c r="G22" s="29" t="inlineStr">
        <is>
          <t>✓</t>
        </is>
      </c>
      <c r="H22" s="29" t="inlineStr">
        <is>
          <t>✓</t>
        </is>
      </c>
      <c r="I22" s="29" t="inlineStr">
        <is>
          <t>✓</t>
        </is>
      </c>
      <c r="J22" s="29" t="inlineStr">
        <is>
          <t>✓</t>
        </is>
      </c>
      <c r="K22" s="29" t="inlineStr">
        <is>
          <t>✓</t>
        </is>
      </c>
      <c r="L22" s="29" t="inlineStr"/>
      <c r="M22" s="29" t="inlineStr">
        <is>
          <t>✓</t>
        </is>
      </c>
      <c r="N22" s="29" t="inlineStr"/>
      <c r="O22" s="29" t="inlineStr"/>
      <c r="P22" s="29">
        <f>COUNTIF(G22:O22,"✓")</f>
        <v/>
      </c>
    </row>
    <row r="23" ht="30" customHeight="1">
      <c r="A23" s="28" t="inlineStr">
        <is>
          <t>Team &amp; performance</t>
        </is>
      </c>
      <c r="B23" s="28" t="inlineStr">
        <is>
          <t>tasks.analytics</t>
        </is>
      </c>
      <c r="C23" s="28" t="inlineStr">
        <is>
          <t>Task timeliness analytics</t>
        </is>
      </c>
      <c r="D23" s="28" t="inlineStr">
        <is>
          <t>Early / on-time / late completion and delay reasons across people.</t>
        </is>
      </c>
      <c r="E23" s="29" t="inlineStr">
        <is>
          <t>view</t>
        </is>
      </c>
      <c r="F23" s="29" t="inlineStr"/>
      <c r="G23" s="29" t="inlineStr">
        <is>
          <t>✓</t>
        </is>
      </c>
      <c r="H23" s="29" t="inlineStr">
        <is>
          <t>✓</t>
        </is>
      </c>
      <c r="I23" s="29" t="inlineStr">
        <is>
          <t>✓</t>
        </is>
      </c>
      <c r="J23" s="29" t="inlineStr">
        <is>
          <t>✓</t>
        </is>
      </c>
      <c r="K23" s="29" t="inlineStr">
        <is>
          <t>✓</t>
        </is>
      </c>
      <c r="L23" s="29" t="inlineStr"/>
      <c r="M23" s="29" t="inlineStr"/>
      <c r="N23" s="29" t="inlineStr"/>
      <c r="O23" s="29" t="inlineStr"/>
      <c r="P23" s="29">
        <f>COUNTIF(G23:O23,"✓")</f>
        <v/>
      </c>
    </row>
    <row r="24" ht="17" customHeight="1">
      <c r="A24" s="28" t="inlineStr">
        <is>
          <t>Team &amp; performance</t>
        </is>
      </c>
      <c r="B24" s="28" t="inlineStr">
        <is>
          <t>insights.view</t>
        </is>
      </c>
      <c r="C24" s="28" t="inlineStr">
        <is>
          <t>Insights &amp; scorecards</t>
        </is>
      </c>
      <c r="D24" s="28" t="inlineStr">
        <is>
          <t>Manager dashboards and scorecards.</t>
        </is>
      </c>
      <c r="E24" s="29" t="inlineStr">
        <is>
          <t>view</t>
        </is>
      </c>
      <c r="F24" s="29" t="inlineStr"/>
      <c r="G24" s="29" t="inlineStr">
        <is>
          <t>✓</t>
        </is>
      </c>
      <c r="H24" s="29" t="inlineStr">
        <is>
          <t>✓</t>
        </is>
      </c>
      <c r="I24" s="29" t="inlineStr">
        <is>
          <t>✓</t>
        </is>
      </c>
      <c r="J24" s="29" t="inlineStr">
        <is>
          <t>✓</t>
        </is>
      </c>
      <c r="K24" s="29" t="inlineStr">
        <is>
          <t>✓</t>
        </is>
      </c>
      <c r="L24" s="29" t="inlineStr"/>
      <c r="M24" s="29" t="inlineStr">
        <is>
          <t>✓</t>
        </is>
      </c>
      <c r="N24" s="29" t="inlineStr">
        <is>
          <t>✓</t>
        </is>
      </c>
      <c r="O24" s="29" t="inlineStr"/>
      <c r="P24" s="29">
        <f>COUNTIF(G24:O24,"✓")</f>
        <v/>
      </c>
    </row>
    <row r="25" ht="17" customHeight="1">
      <c r="A25" s="28" t="inlineStr">
        <is>
          <t>Team &amp; performance</t>
        </is>
      </c>
      <c r="B25" s="28" t="inlineStr">
        <is>
          <t>delegations.manage</t>
        </is>
      </c>
      <c r="C25" s="28" t="inlineStr">
        <is>
          <t>Delegate approvals</t>
        </is>
      </c>
      <c r="D25" s="28" t="inlineStr">
        <is>
          <t>Hand approvals to someone else while away.</t>
        </is>
      </c>
      <c r="E25" s="29" t="inlineStr">
        <is>
          <t>manage</t>
        </is>
      </c>
      <c r="F25" s="29" t="inlineStr"/>
      <c r="G25" s="29" t="inlineStr">
        <is>
          <t>✓</t>
        </is>
      </c>
      <c r="H25" s="29" t="inlineStr">
        <is>
          <t>✓</t>
        </is>
      </c>
      <c r="I25" s="29" t="inlineStr">
        <is>
          <t>✓</t>
        </is>
      </c>
      <c r="J25" s="29" t="inlineStr">
        <is>
          <t>✓</t>
        </is>
      </c>
      <c r="K25" s="29" t="inlineStr">
        <is>
          <t>✓</t>
        </is>
      </c>
      <c r="L25" s="29" t="inlineStr"/>
      <c r="M25" s="29" t="inlineStr">
        <is>
          <t>✓</t>
        </is>
      </c>
      <c r="N25" s="29" t="inlineStr"/>
      <c r="O25" s="29" t="inlineStr"/>
      <c r="P25" s="29">
        <f>COUNTIF(G25:O25,"✓")</f>
        <v/>
      </c>
    </row>
    <row r="26">
      <c r="A26" s="31" t="inlineStr">
        <is>
          <t>People &amp; HR (10)</t>
        </is>
      </c>
      <c r="B26" s="32" t="n"/>
      <c r="C26" s="32" t="n"/>
      <c r="D26" s="32" t="n"/>
      <c r="E26" s="32" t="n"/>
      <c r="F26" s="32" t="n"/>
      <c r="G26" s="32" t="n"/>
      <c r="H26" s="32" t="n"/>
      <c r="I26" s="32" t="n"/>
      <c r="J26" s="32" t="n"/>
      <c r="K26" s="32" t="n"/>
      <c r="L26" s="32" t="n"/>
      <c r="M26" s="32" t="n"/>
      <c r="N26" s="32" t="n"/>
      <c r="O26" s="32" t="n"/>
      <c r="P26" s="32" t="n"/>
    </row>
    <row r="27" ht="17" customHeight="1">
      <c r="A27" s="28" t="inlineStr">
        <is>
          <t>People &amp; HR</t>
        </is>
      </c>
      <c r="B27" s="28" t="inlineStr">
        <is>
          <t>people.view_all</t>
        </is>
      </c>
      <c r="C27" s="28" t="inlineStr">
        <is>
          <t>See everyone’s HR records</t>
        </is>
      </c>
      <c r="D27" s="28" t="inlineStr">
        <is>
          <t>Profiles, leave and lifecycle of all employees.</t>
        </is>
      </c>
      <c r="E27" s="29" t="inlineStr">
        <is>
          <t>view</t>
        </is>
      </c>
      <c r="F27" s="29" t="inlineStr"/>
      <c r="G27" s="29" t="inlineStr">
        <is>
          <t>✓</t>
        </is>
      </c>
      <c r="H27" s="29" t="inlineStr">
        <is>
          <t>✓</t>
        </is>
      </c>
      <c r="I27" s="29" t="inlineStr">
        <is>
          <t>✓</t>
        </is>
      </c>
      <c r="J27" s="29" t="inlineStr"/>
      <c r="K27" s="29" t="inlineStr">
        <is>
          <t>✓</t>
        </is>
      </c>
      <c r="L27" s="29" t="inlineStr">
        <is>
          <t>✓</t>
        </is>
      </c>
      <c r="M27" s="29" t="inlineStr"/>
      <c r="N27" s="29" t="inlineStr"/>
      <c r="O27" s="29" t="inlineStr"/>
      <c r="P27" s="29">
        <f>COUNTIF(G27:O27,"✓")</f>
        <v/>
      </c>
    </row>
    <row r="28" ht="17" customHeight="1">
      <c r="A28" s="28" t="inlineStr">
        <is>
          <t>People &amp; HR</t>
        </is>
      </c>
      <c r="B28" s="28" t="inlineStr">
        <is>
          <t>people.manage</t>
        </is>
      </c>
      <c r="C28" s="28" t="inlineStr">
        <is>
          <t>Manage HR operations</t>
        </is>
      </c>
      <c r="D28" s="28" t="inlineStr">
        <is>
          <t>Lifecycle checklists, assets and leave policy.</t>
        </is>
      </c>
      <c r="E28" s="29" t="inlineStr">
        <is>
          <t>manage</t>
        </is>
      </c>
      <c r="F28" s="29" t="inlineStr"/>
      <c r="G28" s="29" t="inlineStr">
        <is>
          <t>✓</t>
        </is>
      </c>
      <c r="H28" s="29" t="inlineStr">
        <is>
          <t>✓</t>
        </is>
      </c>
      <c r="I28" s="29" t="inlineStr"/>
      <c r="J28" s="29" t="inlineStr"/>
      <c r="K28" s="29" t="inlineStr">
        <is>
          <t>✓</t>
        </is>
      </c>
      <c r="L28" s="29" t="inlineStr"/>
      <c r="M28" s="29" t="inlineStr"/>
      <c r="N28" s="29" t="inlineStr"/>
      <c r="O28" s="29" t="inlineStr"/>
      <c r="P28" s="29">
        <f>COUNTIF(G28:O28,"✓")</f>
        <v/>
      </c>
    </row>
    <row r="29" ht="17" customHeight="1">
      <c r="A29" s="28" t="inlineStr">
        <is>
          <t>People &amp; HR</t>
        </is>
      </c>
      <c r="B29" s="28" t="inlineStr">
        <is>
          <t>leave.approve</t>
        </is>
      </c>
      <c r="C29" s="28" t="inlineStr">
        <is>
          <t>Approve leave</t>
        </is>
      </c>
      <c r="D29" s="28" t="inlineStr">
        <is>
          <t>Approve leave for people in their approval scope.</t>
        </is>
      </c>
      <c r="E29" s="29" t="inlineStr">
        <is>
          <t>approve</t>
        </is>
      </c>
      <c r="F29" s="29" t="inlineStr"/>
      <c r="G29" s="29" t="inlineStr">
        <is>
          <t>✓</t>
        </is>
      </c>
      <c r="H29" s="29" t="inlineStr">
        <is>
          <t>✓</t>
        </is>
      </c>
      <c r="I29" s="29" t="inlineStr">
        <is>
          <t>✓</t>
        </is>
      </c>
      <c r="J29" s="29" t="inlineStr">
        <is>
          <t>✓</t>
        </is>
      </c>
      <c r="K29" s="29" t="inlineStr">
        <is>
          <t>✓</t>
        </is>
      </c>
      <c r="L29" s="29" t="inlineStr"/>
      <c r="M29" s="29" t="inlineStr">
        <is>
          <t>✓</t>
        </is>
      </c>
      <c r="N29" s="29" t="inlineStr"/>
      <c r="O29" s="29" t="inlineStr"/>
      <c r="P29" s="29">
        <f>COUNTIF(G29:O29,"✓")</f>
        <v/>
      </c>
    </row>
    <row r="30" ht="17" customHeight="1">
      <c r="A30" s="28" t="inlineStr">
        <is>
          <t>People &amp; HR</t>
        </is>
      </c>
      <c r="B30" s="28" t="inlineStr">
        <is>
          <t>leave.hr_entry</t>
        </is>
      </c>
      <c r="C30" s="28" t="inlineStr">
        <is>
          <t>Record leave for others</t>
        </is>
      </c>
      <c r="D30" s="28" t="inlineStr">
        <is>
          <t>Enter leave on behalf of employees.</t>
        </is>
      </c>
      <c r="E30" s="29" t="inlineStr">
        <is>
          <t>edit</t>
        </is>
      </c>
      <c r="F30" s="29" t="inlineStr"/>
      <c r="G30" s="29" t="inlineStr">
        <is>
          <t>✓</t>
        </is>
      </c>
      <c r="H30" s="29" t="inlineStr">
        <is>
          <t>✓</t>
        </is>
      </c>
      <c r="I30" s="29" t="inlineStr"/>
      <c r="J30" s="29" t="inlineStr"/>
      <c r="K30" s="29" t="inlineStr">
        <is>
          <t>✓</t>
        </is>
      </c>
      <c r="L30" s="29" t="inlineStr">
        <is>
          <t>✓</t>
        </is>
      </c>
      <c r="M30" s="29" t="inlineStr"/>
      <c r="N30" s="29" t="inlineStr"/>
      <c r="O30" s="29" t="inlineStr"/>
      <c r="P30" s="29">
        <f>COUNTIF(G30:O30,"✓")</f>
        <v/>
      </c>
    </row>
    <row r="31" ht="17" customHeight="1">
      <c r="A31" s="28" t="inlineStr">
        <is>
          <t>People &amp; HR</t>
        </is>
      </c>
      <c r="B31" s="28" t="inlineStr">
        <is>
          <t>appraisals.manage</t>
        </is>
      </c>
      <c r="C31" s="28" t="inlineStr">
        <is>
          <t>Run appraisals</t>
        </is>
      </c>
      <c r="D31" s="28" t="inlineStr">
        <is>
          <t>Open cycles, calibrate and close appraisals.</t>
        </is>
      </c>
      <c r="E31" s="29" t="inlineStr">
        <is>
          <t>manage</t>
        </is>
      </c>
      <c r="F31" s="29" t="inlineStr"/>
      <c r="G31" s="29" t="inlineStr">
        <is>
          <t>✓</t>
        </is>
      </c>
      <c r="H31" s="29" t="inlineStr">
        <is>
          <t>✓</t>
        </is>
      </c>
      <c r="I31" s="29" t="inlineStr"/>
      <c r="J31" s="29" t="inlineStr"/>
      <c r="K31" s="29" t="inlineStr">
        <is>
          <t>✓</t>
        </is>
      </c>
      <c r="L31" s="29" t="inlineStr"/>
      <c r="M31" s="29" t="inlineStr"/>
      <c r="N31" s="29" t="inlineStr"/>
      <c r="O31" s="29" t="inlineStr"/>
      <c r="P31" s="29">
        <f>COUNTIF(G31:O31,"✓")</f>
        <v/>
      </c>
    </row>
    <row r="32" ht="17" customHeight="1">
      <c r="A32" s="28" t="inlineStr">
        <is>
          <t>People &amp; HR</t>
        </is>
      </c>
      <c r="B32" s="28" t="inlineStr">
        <is>
          <t>recruitment.manage</t>
        </is>
      </c>
      <c r="C32" s="28" t="inlineStr">
        <is>
          <t>Recruitment</t>
        </is>
      </c>
      <c r="D32" s="28" t="inlineStr">
        <is>
          <t>Candidates, interviews and offers.</t>
        </is>
      </c>
      <c r="E32" s="29" t="inlineStr">
        <is>
          <t>manage</t>
        </is>
      </c>
      <c r="F32" s="29" t="inlineStr"/>
      <c r="G32" s="29" t="inlineStr">
        <is>
          <t>✓</t>
        </is>
      </c>
      <c r="H32" s="29" t="inlineStr">
        <is>
          <t>✓</t>
        </is>
      </c>
      <c r="I32" s="29" t="inlineStr">
        <is>
          <t>✓</t>
        </is>
      </c>
      <c r="J32" s="29" t="inlineStr">
        <is>
          <t>✓</t>
        </is>
      </c>
      <c r="K32" s="29" t="inlineStr">
        <is>
          <t>✓</t>
        </is>
      </c>
      <c r="L32" s="29" t="inlineStr">
        <is>
          <t>✓</t>
        </is>
      </c>
      <c r="M32" s="29" t="inlineStr"/>
      <c r="N32" s="29" t="inlineStr"/>
      <c r="O32" s="29" t="inlineStr"/>
      <c r="P32" s="29">
        <f>COUNTIF(G32:O32,"✓")</f>
        <v/>
      </c>
    </row>
    <row r="33" ht="17" customHeight="1">
      <c r="A33" s="28" t="inlineStr">
        <is>
          <t>People &amp; HR</t>
        </is>
      </c>
      <c r="B33" s="28" t="inlineStr">
        <is>
          <t>cost_rates.view</t>
        </is>
      </c>
      <c r="C33" s="28" t="inlineStr">
        <is>
          <t>See salaries &amp; cost rates</t>
        </is>
      </c>
      <c r="D33" s="28" t="inlineStr">
        <is>
          <t>CTC and cost per hour (read-only).</t>
        </is>
      </c>
      <c r="E33" s="29" t="inlineStr">
        <is>
          <t>sensitive</t>
        </is>
      </c>
      <c r="F33" s="29" t="inlineStr">
        <is>
          <t>Yes</t>
        </is>
      </c>
      <c r="G33" s="29" t="inlineStr">
        <is>
          <t>✓</t>
        </is>
      </c>
      <c r="H33" s="29" t="inlineStr">
        <is>
          <t>✓</t>
        </is>
      </c>
      <c r="I33" s="29" t="inlineStr"/>
      <c r="J33" s="29" t="inlineStr"/>
      <c r="K33" s="29" t="inlineStr">
        <is>
          <t>✓</t>
        </is>
      </c>
      <c r="L33" s="29" t="inlineStr"/>
      <c r="M33" s="29" t="inlineStr"/>
      <c r="N33" s="29" t="inlineStr"/>
      <c r="O33" s="29" t="inlineStr"/>
      <c r="P33" s="29">
        <f>COUNTIF(G33:O33,"✓")</f>
        <v/>
      </c>
    </row>
    <row r="34" ht="17" customHeight="1">
      <c r="A34" s="28" t="inlineStr">
        <is>
          <t>People &amp; HR</t>
        </is>
      </c>
      <c r="B34" s="28" t="inlineStr">
        <is>
          <t>cost_rates.edit</t>
        </is>
      </c>
      <c r="C34" s="28" t="inlineStr">
        <is>
          <t>Change salaries &amp; cost rates</t>
        </is>
      </c>
      <c r="D34" s="28" t="inlineStr">
        <is>
          <t>Set CTC and cost per hour.</t>
        </is>
      </c>
      <c r="E34" s="29" t="inlineStr">
        <is>
          <t>sensitive</t>
        </is>
      </c>
      <c r="F34" s="29" t="inlineStr">
        <is>
          <t>Yes</t>
        </is>
      </c>
      <c r="G34" s="29" t="inlineStr">
        <is>
          <t>✓</t>
        </is>
      </c>
      <c r="H34" s="29" t="inlineStr">
        <is>
          <t>✓</t>
        </is>
      </c>
      <c r="I34" s="29" t="inlineStr"/>
      <c r="J34" s="29" t="inlineStr"/>
      <c r="K34" s="29" t="inlineStr"/>
      <c r="L34" s="29" t="inlineStr"/>
      <c r="M34" s="29" t="inlineStr"/>
      <c r="N34" s="29" t="inlineStr"/>
      <c r="O34" s="29" t="inlineStr"/>
      <c r="P34" s="29">
        <f>COUNTIF(G34:O34,"✓")</f>
        <v/>
      </c>
    </row>
    <row r="35" ht="17" customHeight="1">
      <c r="A35" s="28" t="inlineStr">
        <is>
          <t>People &amp; HR</t>
        </is>
      </c>
      <c r="B35" s="28" t="inlineStr">
        <is>
          <t>payroll.run</t>
        </is>
      </c>
      <c r="C35" s="28" t="inlineStr">
        <is>
          <t>Prepare payroll</t>
        </is>
      </c>
      <c r="D35" s="28" t="inlineStr">
        <is>
          <t>Create and calculate monthly payroll runs.</t>
        </is>
      </c>
      <c r="E35" s="29" t="inlineStr">
        <is>
          <t>sensitive</t>
        </is>
      </c>
      <c r="F35" s="29" t="inlineStr">
        <is>
          <t>Yes</t>
        </is>
      </c>
      <c r="G35" s="29" t="inlineStr">
        <is>
          <t>✓</t>
        </is>
      </c>
      <c r="H35" s="29" t="inlineStr">
        <is>
          <t>✓</t>
        </is>
      </c>
      <c r="I35" s="29" t="inlineStr"/>
      <c r="J35" s="29" t="inlineStr"/>
      <c r="K35" s="29" t="inlineStr">
        <is>
          <t>✓</t>
        </is>
      </c>
      <c r="L35" s="29" t="inlineStr"/>
      <c r="M35" s="29" t="inlineStr"/>
      <c r="N35" s="29" t="inlineStr"/>
      <c r="O35" s="29" t="inlineStr"/>
      <c r="P35" s="29">
        <f>COUNTIF(G35:O35,"✓")</f>
        <v/>
      </c>
    </row>
    <row r="36" ht="17" customHeight="1">
      <c r="A36" s="28" t="inlineStr">
        <is>
          <t>People &amp; HR</t>
        </is>
      </c>
      <c r="B36" s="28" t="inlineStr">
        <is>
          <t>payroll.finalise</t>
        </is>
      </c>
      <c r="C36" s="28" t="inlineStr">
        <is>
          <t>Finalise payroll</t>
        </is>
      </c>
      <c r="D36" s="28" t="inlineStr">
        <is>
          <t>Lock a payroll run and post it to the ledger.</t>
        </is>
      </c>
      <c r="E36" s="29" t="inlineStr">
        <is>
          <t>sensitive</t>
        </is>
      </c>
      <c r="F36" s="29" t="inlineStr">
        <is>
          <t>Yes</t>
        </is>
      </c>
      <c r="G36" s="29" t="inlineStr">
        <is>
          <t>✓</t>
        </is>
      </c>
      <c r="H36" s="29" t="inlineStr">
        <is>
          <t>✓</t>
        </is>
      </c>
      <c r="I36" s="29" t="inlineStr"/>
      <c r="J36" s="29" t="inlineStr"/>
      <c r="K36" s="29" t="inlineStr"/>
      <c r="L36" s="29" t="inlineStr"/>
      <c r="M36" s="29" t="inlineStr"/>
      <c r="N36" s="29" t="inlineStr"/>
      <c r="O36" s="29" t="inlineStr"/>
      <c r="P36" s="29">
        <f>COUNTIF(G36:O36,"✓")</f>
        <v/>
      </c>
    </row>
    <row r="37">
      <c r="A37" s="31" t="inlineStr">
        <is>
          <t>Sales &amp; clients (6)</t>
        </is>
      </c>
      <c r="B37" s="32" t="n"/>
      <c r="C37" s="32" t="n"/>
      <c r="D37" s="32" t="n"/>
      <c r="E37" s="32" t="n"/>
      <c r="F37" s="32" t="n"/>
      <c r="G37" s="32" t="n"/>
      <c r="H37" s="32" t="n"/>
      <c r="I37" s="32" t="n"/>
      <c r="J37" s="32" t="n"/>
      <c r="K37" s="32" t="n"/>
      <c r="L37" s="32" t="n"/>
      <c r="M37" s="32" t="n"/>
      <c r="N37" s="32" t="n"/>
      <c r="O37" s="32" t="n"/>
      <c r="P37" s="32" t="n"/>
    </row>
    <row r="38" ht="17" customHeight="1">
      <c r="A38" s="28" t="inlineStr">
        <is>
          <t>Sales &amp; clients</t>
        </is>
      </c>
      <c r="B38" s="28" t="inlineStr">
        <is>
          <t>deals.view_all</t>
        </is>
      </c>
      <c r="C38" s="28" t="inlineStr">
        <is>
          <t>See all deals</t>
        </is>
      </c>
      <c r="D38" s="28" t="inlineStr">
        <is>
          <t>The whole pipeline, not only deals they own.</t>
        </is>
      </c>
      <c r="E38" s="29" t="inlineStr">
        <is>
          <t>view</t>
        </is>
      </c>
      <c r="F38" s="29" t="inlineStr"/>
      <c r="G38" s="29" t="inlineStr">
        <is>
          <t>✓</t>
        </is>
      </c>
      <c r="H38" s="29" t="inlineStr">
        <is>
          <t>✓</t>
        </is>
      </c>
      <c r="I38" s="29" t="inlineStr"/>
      <c r="J38" s="29" t="inlineStr"/>
      <c r="K38" s="29" t="inlineStr"/>
      <c r="L38" s="29" t="inlineStr"/>
      <c r="M38" s="29" t="inlineStr">
        <is>
          <t>✓</t>
        </is>
      </c>
      <c r="N38" s="29" t="inlineStr"/>
      <c r="O38" s="29" t="inlineStr"/>
      <c r="P38" s="29">
        <f>COUNTIF(G38:O38,"✓")</f>
        <v/>
      </c>
    </row>
    <row r="39" ht="17" customHeight="1">
      <c r="A39" s="28" t="inlineStr">
        <is>
          <t>Sales &amp; clients</t>
        </is>
      </c>
      <c r="B39" s="28" t="inlineStr">
        <is>
          <t>deals.edit_own</t>
        </is>
      </c>
      <c r="C39" s="28" t="inlineStr">
        <is>
          <t>Work own deals</t>
        </is>
      </c>
      <c r="D39" s="28" t="inlineStr">
        <is>
          <t>Create deals and move deals they own.</t>
        </is>
      </c>
      <c r="E39" s="29" t="inlineStr">
        <is>
          <t>edit</t>
        </is>
      </c>
      <c r="F39" s="29" t="inlineStr"/>
      <c r="G39" s="29" t="inlineStr">
        <is>
          <t>✓</t>
        </is>
      </c>
      <c r="H39" s="29" t="inlineStr">
        <is>
          <t>✓</t>
        </is>
      </c>
      <c r="I39" s="29" t="inlineStr"/>
      <c r="J39" s="29" t="inlineStr"/>
      <c r="K39" s="29" t="inlineStr"/>
      <c r="L39" s="29" t="inlineStr"/>
      <c r="M39" s="29" t="inlineStr">
        <is>
          <t>✓</t>
        </is>
      </c>
      <c r="N39" s="29" t="inlineStr">
        <is>
          <t>✓</t>
        </is>
      </c>
      <c r="O39" s="29" t="inlineStr"/>
      <c r="P39" s="29">
        <f>COUNTIF(G39:O39,"✓")</f>
        <v/>
      </c>
    </row>
    <row r="40" ht="17" customHeight="1">
      <c r="A40" s="28" t="inlineStr">
        <is>
          <t>Sales &amp; clients</t>
        </is>
      </c>
      <c r="B40" s="28" t="inlineStr">
        <is>
          <t>deals.edit_all</t>
        </is>
      </c>
      <c r="C40" s="28" t="inlineStr">
        <is>
          <t>Edit any deal</t>
        </is>
      </c>
      <c r="D40" s="28" t="inlineStr">
        <is>
          <t>Reassign and edit anyone’s deals.</t>
        </is>
      </c>
      <c r="E40" s="29" t="inlineStr">
        <is>
          <t>manage</t>
        </is>
      </c>
      <c r="F40" s="29" t="inlineStr"/>
      <c r="G40" s="29" t="inlineStr">
        <is>
          <t>✓</t>
        </is>
      </c>
      <c r="H40" s="29" t="inlineStr">
        <is>
          <t>✓</t>
        </is>
      </c>
      <c r="I40" s="29" t="inlineStr"/>
      <c r="J40" s="29" t="inlineStr"/>
      <c r="K40" s="29" t="inlineStr"/>
      <c r="L40" s="29" t="inlineStr"/>
      <c r="M40" s="29" t="inlineStr">
        <is>
          <t>✓</t>
        </is>
      </c>
      <c r="N40" s="29" t="inlineStr"/>
      <c r="O40" s="29" t="inlineStr"/>
      <c r="P40" s="29">
        <f>COUNTIF(G40:O40,"✓")</f>
        <v/>
      </c>
    </row>
    <row r="41" ht="17" customHeight="1">
      <c r="A41" s="28" t="inlineStr">
        <is>
          <t>Sales &amp; clients</t>
        </is>
      </c>
      <c r="B41" s="28" t="inlineStr">
        <is>
          <t>sales.performance_own</t>
        </is>
      </c>
      <c r="C41" s="28" t="inlineStr">
        <is>
          <t>Own sales performance</t>
        </is>
      </c>
      <c r="D41" s="28" t="inlineStr">
        <is>
          <t>Their own targets, attainment and incentives.</t>
        </is>
      </c>
      <c r="E41" s="29" t="inlineStr">
        <is>
          <t>view</t>
        </is>
      </c>
      <c r="F41" s="29" t="inlineStr"/>
      <c r="G41" s="29" t="inlineStr">
        <is>
          <t>✓</t>
        </is>
      </c>
      <c r="H41" s="29" t="inlineStr">
        <is>
          <t>✓</t>
        </is>
      </c>
      <c r="I41" s="29" t="inlineStr"/>
      <c r="J41" s="29" t="inlineStr"/>
      <c r="K41" s="29" t="inlineStr"/>
      <c r="L41" s="29" t="inlineStr"/>
      <c r="M41" s="29" t="inlineStr">
        <is>
          <t>✓</t>
        </is>
      </c>
      <c r="N41" s="29" t="inlineStr">
        <is>
          <t>✓</t>
        </is>
      </c>
      <c r="O41" s="29" t="inlineStr"/>
      <c r="P41" s="29">
        <f>COUNTIF(G41:O41,"✓")</f>
        <v/>
      </c>
    </row>
    <row r="42" ht="17" customHeight="1">
      <c r="A42" s="28" t="inlineStr">
        <is>
          <t>Sales &amp; clients</t>
        </is>
      </c>
      <c r="B42" s="28" t="inlineStr">
        <is>
          <t>sales.performance_all</t>
        </is>
      </c>
      <c r="C42" s="28" t="inlineStr">
        <is>
          <t>Team sales performance</t>
        </is>
      </c>
      <c r="D42" s="28" t="inlineStr">
        <is>
          <t>Targets and attainment of the whole sales team.</t>
        </is>
      </c>
      <c r="E42" s="29" t="inlineStr">
        <is>
          <t>view</t>
        </is>
      </c>
      <c r="F42" s="29" t="inlineStr"/>
      <c r="G42" s="29" t="inlineStr">
        <is>
          <t>✓</t>
        </is>
      </c>
      <c r="H42" s="29" t="inlineStr">
        <is>
          <t>✓</t>
        </is>
      </c>
      <c r="I42" s="29" t="inlineStr"/>
      <c r="J42" s="29" t="inlineStr"/>
      <c r="K42" s="29" t="inlineStr"/>
      <c r="L42" s="29" t="inlineStr"/>
      <c r="M42" s="29" t="inlineStr">
        <is>
          <t>✓</t>
        </is>
      </c>
      <c r="N42" s="29" t="inlineStr"/>
      <c r="O42" s="29" t="inlineStr"/>
      <c r="P42" s="29">
        <f>COUNTIF(G42:O42,"✓")</f>
        <v/>
      </c>
    </row>
    <row r="43" ht="17" customHeight="1">
      <c r="A43" s="28" t="inlineStr">
        <is>
          <t>Sales &amp; clients</t>
        </is>
      </c>
      <c r="B43" s="28" t="inlineStr">
        <is>
          <t>clients.manage</t>
        </is>
      </c>
      <c r="C43" s="28" t="inlineStr">
        <is>
          <t>Manage clients &amp; contracts</t>
        </is>
      </c>
      <c r="D43" s="28" t="inlineStr">
        <is>
          <t>Client master, contracts and renewals.</t>
        </is>
      </c>
      <c r="E43" s="29" t="inlineStr">
        <is>
          <t>manage</t>
        </is>
      </c>
      <c r="F43" s="29" t="inlineStr"/>
      <c r="G43" s="29" t="inlineStr">
        <is>
          <t>✓</t>
        </is>
      </c>
      <c r="H43" s="29" t="inlineStr">
        <is>
          <t>✓</t>
        </is>
      </c>
      <c r="I43" s="29" t="inlineStr"/>
      <c r="J43" s="29" t="inlineStr"/>
      <c r="K43" s="29" t="inlineStr"/>
      <c r="L43" s="29" t="inlineStr"/>
      <c r="M43" s="29" t="inlineStr">
        <is>
          <t>✓</t>
        </is>
      </c>
      <c r="N43" s="29" t="inlineStr">
        <is>
          <t>✓</t>
        </is>
      </c>
      <c r="O43" s="29" t="inlineStr"/>
      <c r="P43" s="29">
        <f>COUNTIF(G43:O43,"✓")</f>
        <v/>
      </c>
    </row>
    <row r="44">
      <c r="A44" s="31" t="inlineStr">
        <is>
          <t>Finance &amp; spend (10)</t>
        </is>
      </c>
      <c r="B44" s="32" t="n"/>
      <c r="C44" s="32" t="n"/>
      <c r="D44" s="32" t="n"/>
      <c r="E44" s="32" t="n"/>
      <c r="F44" s="32" t="n"/>
      <c r="G44" s="32" t="n"/>
      <c r="H44" s="32" t="n"/>
      <c r="I44" s="32" t="n"/>
      <c r="J44" s="32" t="n"/>
      <c r="K44" s="32" t="n"/>
      <c r="L44" s="32" t="n"/>
      <c r="M44" s="32" t="n"/>
      <c r="N44" s="32" t="n"/>
      <c r="O44" s="32" t="n"/>
      <c r="P44" s="32" t="n"/>
    </row>
    <row r="45" ht="17" customHeight="1">
      <c r="A45" s="28" t="inlineStr">
        <is>
          <t>Finance &amp; spend</t>
        </is>
      </c>
      <c r="B45" s="28" t="inlineStr">
        <is>
          <t>finance.view</t>
        </is>
      </c>
      <c r="C45" s="28" t="inlineStr">
        <is>
          <t>See finance</t>
        </is>
      </c>
      <c r="D45" s="28" t="inlineStr">
        <is>
          <t>Invoices, payments, revenue and the CEO dashboard.</t>
        </is>
      </c>
      <c r="E45" s="29" t="inlineStr">
        <is>
          <t>view</t>
        </is>
      </c>
      <c r="F45" s="29" t="inlineStr">
        <is>
          <t>Yes</t>
        </is>
      </c>
      <c r="G45" s="29" t="inlineStr">
        <is>
          <t>✓</t>
        </is>
      </c>
      <c r="H45" s="29" t="inlineStr">
        <is>
          <t>✓</t>
        </is>
      </c>
      <c r="I45" s="29" t="inlineStr"/>
      <c r="J45" s="29" t="inlineStr"/>
      <c r="K45" s="29" t="inlineStr"/>
      <c r="L45" s="29" t="inlineStr"/>
      <c r="M45" s="29" t="inlineStr"/>
      <c r="N45" s="29" t="inlineStr"/>
      <c r="O45" s="29" t="inlineStr"/>
      <c r="P45" s="29">
        <f>COUNTIF(G45:O45,"✓")</f>
        <v/>
      </c>
    </row>
    <row r="46" ht="17" customHeight="1">
      <c r="A46" s="28" t="inlineStr">
        <is>
          <t>Finance &amp; spend</t>
        </is>
      </c>
      <c r="B46" s="28" t="inlineStr">
        <is>
          <t>finance.edit</t>
        </is>
      </c>
      <c r="C46" s="28" t="inlineStr">
        <is>
          <t>Raise invoices &amp; record payments</t>
        </is>
      </c>
      <c r="D46" s="28" t="inlineStr">
        <is>
          <t>Create invoices and record receipts.</t>
        </is>
      </c>
      <c r="E46" s="29" t="inlineStr">
        <is>
          <t>edit</t>
        </is>
      </c>
      <c r="F46" s="29" t="inlineStr">
        <is>
          <t>Yes</t>
        </is>
      </c>
      <c r="G46" s="29" t="inlineStr">
        <is>
          <t>✓</t>
        </is>
      </c>
      <c r="H46" s="29" t="inlineStr">
        <is>
          <t>✓</t>
        </is>
      </c>
      <c r="I46" s="29" t="inlineStr"/>
      <c r="J46" s="29" t="inlineStr"/>
      <c r="K46" s="29" t="inlineStr"/>
      <c r="L46" s="29" t="inlineStr"/>
      <c r="M46" s="29" t="inlineStr"/>
      <c r="N46" s="29" t="inlineStr"/>
      <c r="O46" s="29" t="inlineStr"/>
      <c r="P46" s="29">
        <f>COUNTIF(G46:O46,"✓")</f>
        <v/>
      </c>
    </row>
    <row r="47" ht="17" customHeight="1">
      <c r="A47" s="28" t="inlineStr">
        <is>
          <t>Finance &amp; spend</t>
        </is>
      </c>
      <c r="B47" s="28" t="inlineStr">
        <is>
          <t>margins.view</t>
        </is>
      </c>
      <c r="C47" s="28" t="inlineStr">
        <is>
          <t>See project margins</t>
        </is>
      </c>
      <c r="D47" s="28" t="inlineStr">
        <is>
          <t>Revenue, cost and margin of projects they can see.</t>
        </is>
      </c>
      <c r="E47" s="29" t="inlineStr">
        <is>
          <t>sensitive</t>
        </is>
      </c>
      <c r="F47" s="29" t="inlineStr">
        <is>
          <t>Yes</t>
        </is>
      </c>
      <c r="G47" s="29" t="inlineStr">
        <is>
          <t>✓</t>
        </is>
      </c>
      <c r="H47" s="29" t="inlineStr">
        <is>
          <t>✓</t>
        </is>
      </c>
      <c r="I47" s="29" t="inlineStr">
        <is>
          <t>✓</t>
        </is>
      </c>
      <c r="J47" s="29" t="inlineStr"/>
      <c r="K47" s="29" t="inlineStr"/>
      <c r="L47" s="29" t="inlineStr"/>
      <c r="M47" s="29" t="inlineStr"/>
      <c r="N47" s="29" t="inlineStr"/>
      <c r="O47" s="29" t="inlineStr"/>
      <c r="P47" s="29">
        <f>COUNTIF(G47:O47,"✓")</f>
        <v/>
      </c>
    </row>
    <row r="48" ht="17" customHeight="1">
      <c r="A48" s="28" t="inlineStr">
        <is>
          <t>Finance &amp; spend</t>
        </is>
      </c>
      <c r="B48" s="28" t="inlineStr">
        <is>
          <t>ledger.view</t>
        </is>
      </c>
      <c r="C48" s="28" t="inlineStr">
        <is>
          <t>See the ledger</t>
        </is>
      </c>
      <c r="D48" s="28" t="inlineStr">
        <is>
          <t>Company income and expense ledger.</t>
        </is>
      </c>
      <c r="E48" s="29" t="inlineStr">
        <is>
          <t>view</t>
        </is>
      </c>
      <c r="F48" s="29" t="inlineStr"/>
      <c r="G48" s="29" t="inlineStr">
        <is>
          <t>✓</t>
        </is>
      </c>
      <c r="H48" s="29" t="inlineStr">
        <is>
          <t>✓</t>
        </is>
      </c>
      <c r="I48" s="29" t="inlineStr"/>
      <c r="J48" s="29" t="inlineStr"/>
      <c r="K48" s="29" t="inlineStr">
        <is>
          <t>✓</t>
        </is>
      </c>
      <c r="L48" s="29" t="inlineStr"/>
      <c r="M48" s="29" t="inlineStr"/>
      <c r="N48" s="29" t="inlineStr"/>
      <c r="O48" s="29" t="inlineStr"/>
      <c r="P48" s="29">
        <f>COUNTIF(G48:O48,"✓")</f>
        <v/>
      </c>
    </row>
    <row r="49" ht="30" customHeight="1">
      <c r="A49" s="28" t="inlineStr">
        <is>
          <t>Finance &amp; spend</t>
        </is>
      </c>
      <c r="B49" s="28" t="inlineStr">
        <is>
          <t>ops.manage</t>
        </is>
      </c>
      <c r="C49" s="28" t="inlineStr">
        <is>
          <t>Operations register</t>
        </is>
      </c>
      <c r="D49" s="28" t="inlineStr">
        <is>
          <t>Recurring company costs, renewals and compliance items.</t>
        </is>
      </c>
      <c r="E49" s="29" t="inlineStr">
        <is>
          <t>manage</t>
        </is>
      </c>
      <c r="F49" s="29" t="inlineStr"/>
      <c r="G49" s="29" t="inlineStr">
        <is>
          <t>✓</t>
        </is>
      </c>
      <c r="H49" s="29" t="inlineStr">
        <is>
          <t>✓</t>
        </is>
      </c>
      <c r="I49" s="29" t="inlineStr"/>
      <c r="J49" s="29" t="inlineStr"/>
      <c r="K49" s="29" t="inlineStr">
        <is>
          <t>✓</t>
        </is>
      </c>
      <c r="L49" s="29" t="inlineStr">
        <is>
          <t>✓</t>
        </is>
      </c>
      <c r="M49" s="29" t="inlineStr"/>
      <c r="N49" s="29" t="inlineStr"/>
      <c r="O49" s="29" t="inlineStr"/>
      <c r="P49" s="29">
        <f>COUNTIF(G49:O49,"✓")</f>
        <v/>
      </c>
    </row>
    <row r="50" ht="17" customHeight="1">
      <c r="A50" s="28" t="inlineStr">
        <is>
          <t>Finance &amp; spend</t>
        </is>
      </c>
      <c r="B50" s="28" t="inlineStr">
        <is>
          <t>expenses.approve</t>
        </is>
      </c>
      <c r="C50" s="28" t="inlineStr">
        <is>
          <t>Approve expense claims</t>
        </is>
      </c>
      <c r="D50" s="28" t="inlineStr">
        <is>
          <t>Approve claims in their workflow step.</t>
        </is>
      </c>
      <c r="E50" s="29" t="inlineStr">
        <is>
          <t>approve</t>
        </is>
      </c>
      <c r="F50" s="29" t="inlineStr"/>
      <c r="G50" s="29" t="inlineStr">
        <is>
          <t>✓</t>
        </is>
      </c>
      <c r="H50" s="29" t="inlineStr">
        <is>
          <t>✓</t>
        </is>
      </c>
      <c r="I50" s="29" t="inlineStr">
        <is>
          <t>✓</t>
        </is>
      </c>
      <c r="J50" s="29" t="inlineStr">
        <is>
          <t>✓</t>
        </is>
      </c>
      <c r="K50" s="29" t="inlineStr">
        <is>
          <t>✓</t>
        </is>
      </c>
      <c r="L50" s="29" t="inlineStr"/>
      <c r="M50" s="29" t="inlineStr">
        <is>
          <t>✓</t>
        </is>
      </c>
      <c r="N50" s="29" t="inlineStr"/>
      <c r="O50" s="29" t="inlineStr"/>
      <c r="P50" s="29">
        <f>COUNTIF(G50:O50,"✓")</f>
        <v/>
      </c>
    </row>
    <row r="51" ht="17" customHeight="1">
      <c r="A51" s="28" t="inlineStr">
        <is>
          <t>Finance &amp; spend</t>
        </is>
      </c>
      <c r="B51" s="28" t="inlineStr">
        <is>
          <t>expenses.pay</t>
        </is>
      </c>
      <c r="C51" s="28" t="inlineStr">
        <is>
          <t>Pay expense claims</t>
        </is>
      </c>
      <c r="D51" s="28" t="inlineStr">
        <is>
          <t>Mark approved claims as reimbursed.</t>
        </is>
      </c>
      <c r="E51" s="29" t="inlineStr">
        <is>
          <t>sensitive</t>
        </is>
      </c>
      <c r="F51" s="29" t="inlineStr">
        <is>
          <t>Yes</t>
        </is>
      </c>
      <c r="G51" s="29" t="inlineStr">
        <is>
          <t>✓</t>
        </is>
      </c>
      <c r="H51" s="29" t="inlineStr">
        <is>
          <t>✓</t>
        </is>
      </c>
      <c r="I51" s="29" t="inlineStr"/>
      <c r="J51" s="29" t="inlineStr"/>
      <c r="K51" s="29" t="inlineStr">
        <is>
          <t>✓</t>
        </is>
      </c>
      <c r="L51" s="29" t="inlineStr"/>
      <c r="M51" s="29" t="inlineStr"/>
      <c r="N51" s="29" t="inlineStr"/>
      <c r="O51" s="29" t="inlineStr"/>
      <c r="P51" s="29">
        <f>COUNTIF(G51:O51,"✓")</f>
        <v/>
      </c>
    </row>
    <row r="52" ht="17" customHeight="1">
      <c r="A52" s="28" t="inlineStr">
        <is>
          <t>Finance &amp; spend</t>
        </is>
      </c>
      <c r="B52" s="28" t="inlineStr">
        <is>
          <t>procurement.manage</t>
        </is>
      </c>
      <c r="C52" s="28" t="inlineStr">
        <is>
          <t>Procurement</t>
        </is>
      </c>
      <c r="D52" s="28" t="inlineStr">
        <is>
          <t>Vendors, purchase orders and vendor bills.</t>
        </is>
      </c>
      <c r="E52" s="29" t="inlineStr">
        <is>
          <t>manage</t>
        </is>
      </c>
      <c r="F52" s="29" t="inlineStr"/>
      <c r="G52" s="29" t="inlineStr">
        <is>
          <t>✓</t>
        </is>
      </c>
      <c r="H52" s="29" t="inlineStr">
        <is>
          <t>✓</t>
        </is>
      </c>
      <c r="I52" s="29" t="inlineStr"/>
      <c r="J52" s="29" t="inlineStr"/>
      <c r="K52" s="29" t="inlineStr">
        <is>
          <t>✓</t>
        </is>
      </c>
      <c r="L52" s="29" t="inlineStr"/>
      <c r="M52" s="29" t="inlineStr"/>
      <c r="N52" s="29" t="inlineStr"/>
      <c r="O52" s="29" t="inlineStr"/>
      <c r="P52" s="29">
        <f>COUNTIF(G52:O52,"✓")</f>
        <v/>
      </c>
    </row>
    <row r="53" ht="17" customHeight="1">
      <c r="A53" s="28" t="inlineStr">
        <is>
          <t>Finance &amp; spend</t>
        </is>
      </c>
      <c r="B53" s="28" t="inlineStr">
        <is>
          <t>budgets.manage</t>
        </is>
      </c>
      <c r="C53" s="28" t="inlineStr">
        <is>
          <t>Budgets</t>
        </is>
      </c>
      <c r="D53" s="28" t="inlineStr">
        <is>
          <t>Set department and project budgets.</t>
        </is>
      </c>
      <c r="E53" s="29" t="inlineStr">
        <is>
          <t>manage</t>
        </is>
      </c>
      <c r="F53" s="29" t="inlineStr"/>
      <c r="G53" s="29" t="inlineStr">
        <is>
          <t>✓</t>
        </is>
      </c>
      <c r="H53" s="29" t="inlineStr">
        <is>
          <t>✓</t>
        </is>
      </c>
      <c r="I53" s="29" t="inlineStr"/>
      <c r="J53" s="29" t="inlineStr"/>
      <c r="K53" s="29" t="inlineStr"/>
      <c r="L53" s="29" t="inlineStr"/>
      <c r="M53" s="29" t="inlineStr"/>
      <c r="N53" s="29" t="inlineStr"/>
      <c r="O53" s="29" t="inlineStr"/>
      <c r="P53" s="29">
        <f>COUNTIF(G53:O53,"✓")</f>
        <v/>
      </c>
    </row>
    <row r="54" ht="17" customHeight="1">
      <c r="A54" s="28" t="inlineStr">
        <is>
          <t>Finance &amp; spend</t>
        </is>
      </c>
      <c r="B54" s="28" t="inlineStr">
        <is>
          <t>leakage.view</t>
        </is>
      </c>
      <c r="C54" s="28" t="inlineStr">
        <is>
          <t>Revenue leakage</t>
        </is>
      </c>
      <c r="D54" s="28" t="inlineStr">
        <is>
          <t>Lost and unbilled revenue analysis.</t>
        </is>
      </c>
      <c r="E54" s="29" t="inlineStr">
        <is>
          <t>view</t>
        </is>
      </c>
      <c r="F54" s="29" t="inlineStr">
        <is>
          <t>Yes</t>
        </is>
      </c>
      <c r="G54" s="29" t="inlineStr">
        <is>
          <t>✓</t>
        </is>
      </c>
      <c r="H54" s="29" t="inlineStr">
        <is>
          <t>✓</t>
        </is>
      </c>
      <c r="I54" s="29" t="inlineStr"/>
      <c r="J54" s="29" t="inlineStr"/>
      <c r="K54" s="29" t="inlineStr"/>
      <c r="L54" s="29" t="inlineStr"/>
      <c r="M54" s="29" t="inlineStr">
        <is>
          <t>✓</t>
        </is>
      </c>
      <c r="N54" s="29" t="inlineStr"/>
      <c r="O54" s="29" t="inlineStr"/>
      <c r="P54" s="29">
        <f>COUNTIF(G54:O54,"✓")</f>
        <v/>
      </c>
    </row>
    <row r="55">
      <c r="A55" s="31" t="inlineStr">
        <is>
          <t>Reports &amp; company (6)</t>
        </is>
      </c>
      <c r="B55" s="32" t="n"/>
      <c r="C55" s="32" t="n"/>
      <c r="D55" s="32" t="n"/>
      <c r="E55" s="32" t="n"/>
      <c r="F55" s="32" t="n"/>
      <c r="G55" s="32" t="n"/>
      <c r="H55" s="32" t="n"/>
      <c r="I55" s="32" t="n"/>
      <c r="J55" s="32" t="n"/>
      <c r="K55" s="32" t="n"/>
      <c r="L55" s="32" t="n"/>
      <c r="M55" s="32" t="n"/>
      <c r="N55" s="32" t="n"/>
      <c r="O55" s="32" t="n"/>
      <c r="P55" s="32" t="n"/>
    </row>
    <row r="56" ht="17" customHeight="1">
      <c r="A56" s="28" t="inlineStr">
        <is>
          <t>Reports &amp; company</t>
        </is>
      </c>
      <c r="B56" s="28" t="inlineStr">
        <is>
          <t>reports.view</t>
        </is>
      </c>
      <c r="C56" s="28" t="inlineStr">
        <is>
          <t>Open reports</t>
        </is>
      </c>
      <c r="D56" s="28" t="inlineStr">
        <is>
          <t>Standard and saved reports within their data access.</t>
        </is>
      </c>
      <c r="E56" s="29" t="inlineStr">
        <is>
          <t>view</t>
        </is>
      </c>
      <c r="F56" s="29" t="inlineStr"/>
      <c r="G56" s="29" t="inlineStr">
        <is>
          <t>✓</t>
        </is>
      </c>
      <c r="H56" s="29" t="inlineStr">
        <is>
          <t>✓</t>
        </is>
      </c>
      <c r="I56" s="29" t="inlineStr">
        <is>
          <t>✓</t>
        </is>
      </c>
      <c r="J56" s="29" t="inlineStr">
        <is>
          <t>✓</t>
        </is>
      </c>
      <c r="K56" s="29" t="inlineStr">
        <is>
          <t>✓</t>
        </is>
      </c>
      <c r="L56" s="29" t="inlineStr">
        <is>
          <t>✓</t>
        </is>
      </c>
      <c r="M56" s="29" t="inlineStr">
        <is>
          <t>✓</t>
        </is>
      </c>
      <c r="N56" s="29" t="inlineStr">
        <is>
          <t>✓</t>
        </is>
      </c>
      <c r="O56" s="29" t="inlineStr"/>
      <c r="P56" s="29">
        <f>COUNTIF(G56:O56,"✓")</f>
        <v/>
      </c>
    </row>
    <row r="57" ht="17" customHeight="1">
      <c r="A57" s="28" t="inlineStr">
        <is>
          <t>Reports &amp; company</t>
        </is>
      </c>
      <c r="B57" s="28" t="inlineStr">
        <is>
          <t>reports.build</t>
        </is>
      </c>
      <c r="C57" s="28" t="inlineStr">
        <is>
          <t>Build custom reports</t>
        </is>
      </c>
      <c r="D57" s="28" t="inlineStr">
        <is>
          <t>Custom report builder and AI report studio.</t>
        </is>
      </c>
      <c r="E57" s="29" t="inlineStr">
        <is>
          <t>create</t>
        </is>
      </c>
      <c r="F57" s="29" t="inlineStr"/>
      <c r="G57" s="29" t="inlineStr">
        <is>
          <t>✓</t>
        </is>
      </c>
      <c r="H57" s="29" t="inlineStr">
        <is>
          <t>✓</t>
        </is>
      </c>
      <c r="I57" s="29" t="inlineStr">
        <is>
          <t>✓</t>
        </is>
      </c>
      <c r="J57" s="29" t="inlineStr">
        <is>
          <t>✓</t>
        </is>
      </c>
      <c r="K57" s="29" t="inlineStr">
        <is>
          <t>✓</t>
        </is>
      </c>
      <c r="L57" s="29" t="inlineStr"/>
      <c r="M57" s="29" t="inlineStr">
        <is>
          <t>✓</t>
        </is>
      </c>
      <c r="N57" s="29" t="inlineStr">
        <is>
          <t>✓</t>
        </is>
      </c>
      <c r="O57" s="29" t="inlineStr"/>
      <c r="P57" s="29">
        <f>COUNTIF(G57:O57,"✓")</f>
        <v/>
      </c>
    </row>
    <row r="58" ht="17" customHeight="1">
      <c r="A58" s="28" t="inlineStr">
        <is>
          <t>Reports &amp; company</t>
        </is>
      </c>
      <c r="B58" s="28" t="inlineStr">
        <is>
          <t>okrs.manage</t>
        </is>
      </c>
      <c r="C58" s="28" t="inlineStr">
        <is>
          <t>Company OKRs</t>
        </is>
      </c>
      <c r="D58" s="28" t="inlineStr">
        <is>
          <t>Set objectives and key results.</t>
        </is>
      </c>
      <c r="E58" s="29" t="inlineStr">
        <is>
          <t>manage</t>
        </is>
      </c>
      <c r="F58" s="29" t="inlineStr"/>
      <c r="G58" s="29" t="inlineStr">
        <is>
          <t>✓</t>
        </is>
      </c>
      <c r="H58" s="29" t="inlineStr">
        <is>
          <t>✓</t>
        </is>
      </c>
      <c r="I58" s="29" t="inlineStr"/>
      <c r="J58" s="29" t="inlineStr"/>
      <c r="K58" s="29" t="inlineStr"/>
      <c r="L58" s="29" t="inlineStr"/>
      <c r="M58" s="29" t="inlineStr"/>
      <c r="N58" s="29" t="inlineStr"/>
      <c r="O58" s="29" t="inlineStr"/>
      <c r="P58" s="29">
        <f>COUNTIF(G58:O58,"✓")</f>
        <v/>
      </c>
    </row>
    <row r="59" ht="17" customHeight="1">
      <c r="A59" s="28" t="inlineStr">
        <is>
          <t>Reports &amp; company</t>
        </is>
      </c>
      <c r="B59" s="28" t="inlineStr">
        <is>
          <t>documents.company</t>
        </is>
      </c>
      <c r="C59" s="28" t="inlineStr">
        <is>
          <t>Company library</t>
        </is>
      </c>
      <c r="D59" s="28" t="inlineStr">
        <is>
          <t>Manage policies and company-wide documents.</t>
        </is>
      </c>
      <c r="E59" s="29" t="inlineStr">
        <is>
          <t>manage</t>
        </is>
      </c>
      <c r="F59" s="29" t="inlineStr"/>
      <c r="G59" s="29" t="inlineStr">
        <is>
          <t>✓</t>
        </is>
      </c>
      <c r="H59" s="29" t="inlineStr">
        <is>
          <t>✓</t>
        </is>
      </c>
      <c r="I59" s="29" t="inlineStr"/>
      <c r="J59" s="29" t="inlineStr"/>
      <c r="K59" s="29" t="inlineStr">
        <is>
          <t>✓</t>
        </is>
      </c>
      <c r="L59" s="29" t="inlineStr">
        <is>
          <t>✓</t>
        </is>
      </c>
      <c r="M59" s="29" t="inlineStr"/>
      <c r="N59" s="29" t="inlineStr"/>
      <c r="O59" s="29" t="inlineStr"/>
      <c r="P59" s="29">
        <f>COUNTIF(G59:O59,"✓")</f>
        <v/>
      </c>
    </row>
    <row r="60" ht="17" customHeight="1">
      <c r="A60" s="28" t="inlineStr">
        <is>
          <t>Reports &amp; company</t>
        </is>
      </c>
      <c r="B60" s="28" t="inlineStr">
        <is>
          <t>audit.view</t>
        </is>
      </c>
      <c r="C60" s="28" t="inlineStr">
        <is>
          <t>Audit trail</t>
        </is>
      </c>
      <c r="D60" s="28" t="inlineStr">
        <is>
          <t>Who changed what, and when.</t>
        </is>
      </c>
      <c r="E60" s="29" t="inlineStr">
        <is>
          <t>view</t>
        </is>
      </c>
      <c r="F60" s="29" t="inlineStr"/>
      <c r="G60" s="29" t="inlineStr">
        <is>
          <t>✓</t>
        </is>
      </c>
      <c r="H60" s="29" t="inlineStr">
        <is>
          <t>✓</t>
        </is>
      </c>
      <c r="I60" s="29" t="inlineStr">
        <is>
          <t>✓</t>
        </is>
      </c>
      <c r="J60" s="29" t="inlineStr"/>
      <c r="K60" s="29" t="inlineStr"/>
      <c r="L60" s="29" t="inlineStr"/>
      <c r="M60" s="29" t="inlineStr"/>
      <c r="N60" s="29" t="inlineStr"/>
      <c r="O60" s="29" t="inlineStr"/>
      <c r="P60" s="29">
        <f>COUNTIF(G60:O60,"✓")</f>
        <v/>
      </c>
    </row>
    <row r="61" ht="17" customHeight="1">
      <c r="A61" s="28" t="inlineStr">
        <is>
          <t>Reports &amp; company</t>
        </is>
      </c>
      <c r="B61" s="28" t="inlineStr">
        <is>
          <t>data.export</t>
        </is>
      </c>
      <c r="C61" s="28" t="inlineStr">
        <is>
          <t>Export all data</t>
        </is>
      </c>
      <c r="D61" s="28" t="inlineStr">
        <is>
          <t>Full workspace data export.</t>
        </is>
      </c>
      <c r="E61" s="29" t="inlineStr">
        <is>
          <t>sensitive</t>
        </is>
      </c>
      <c r="F61" s="29" t="inlineStr">
        <is>
          <t>Yes</t>
        </is>
      </c>
      <c r="G61" s="29" t="inlineStr">
        <is>
          <t>✓</t>
        </is>
      </c>
      <c r="H61" s="29" t="inlineStr">
        <is>
          <t>✓</t>
        </is>
      </c>
      <c r="I61" s="29" t="inlineStr"/>
      <c r="J61" s="29" t="inlineStr"/>
      <c r="K61" s="29" t="inlineStr"/>
      <c r="L61" s="29" t="inlineStr"/>
      <c r="M61" s="29" t="inlineStr"/>
      <c r="N61" s="29" t="inlineStr"/>
      <c r="O61" s="29" t="inlineStr"/>
      <c r="P61" s="29">
        <f>COUNTIF(G61:O61,"✓")</f>
        <v/>
      </c>
    </row>
    <row r="62">
      <c r="A62" s="31" t="inlineStr">
        <is>
          <t>Workspace administration (9)</t>
        </is>
      </c>
      <c r="B62" s="32" t="n"/>
      <c r="C62" s="32" t="n"/>
      <c r="D62" s="32" t="n"/>
      <c r="E62" s="32" t="n"/>
      <c r="F62" s="32" t="n"/>
      <c r="G62" s="32" t="n"/>
      <c r="H62" s="32" t="n"/>
      <c r="I62" s="32" t="n"/>
      <c r="J62" s="32" t="n"/>
      <c r="K62" s="32" t="n"/>
      <c r="L62" s="32" t="n"/>
      <c r="M62" s="32" t="n"/>
      <c r="N62" s="32" t="n"/>
      <c r="O62" s="32" t="n"/>
      <c r="P62" s="32" t="n"/>
    </row>
    <row r="63" ht="17" customHeight="1">
      <c r="A63" s="28" t="inlineStr">
        <is>
          <t>Workspace administration</t>
        </is>
      </c>
      <c r="B63" s="28" t="inlineStr">
        <is>
          <t>settings.edit</t>
        </is>
      </c>
      <c r="C63" s="28" t="inlineStr">
        <is>
          <t>Company settings</t>
        </is>
      </c>
      <c r="D63" s="28" t="inlineStr">
        <is>
          <t>Calendar, timesheet, pay and project rules.</t>
        </is>
      </c>
      <c r="E63" s="29" t="inlineStr">
        <is>
          <t>manage</t>
        </is>
      </c>
      <c r="F63" s="29" t="inlineStr"/>
      <c r="G63" s="29" t="inlineStr">
        <is>
          <t>✓</t>
        </is>
      </c>
      <c r="H63" s="29" t="inlineStr">
        <is>
          <t>✓</t>
        </is>
      </c>
      <c r="I63" s="29" t="inlineStr"/>
      <c r="J63" s="29" t="inlineStr"/>
      <c r="K63" s="29" t="inlineStr"/>
      <c r="L63" s="29" t="inlineStr"/>
      <c r="M63" s="29" t="inlineStr"/>
      <c r="N63" s="29" t="inlineStr"/>
      <c r="O63" s="29" t="inlineStr"/>
      <c r="P63" s="29">
        <f>COUNTIF(G63:O63,"✓")</f>
        <v/>
      </c>
    </row>
    <row r="64" ht="17" customHeight="1">
      <c r="A64" s="28" t="inlineStr">
        <is>
          <t>Workspace administration</t>
        </is>
      </c>
      <c r="B64" s="28" t="inlineStr">
        <is>
          <t>theme.edit</t>
        </is>
      </c>
      <c r="C64" s="28" t="inlineStr">
        <is>
          <t>Brand &amp; appearance</t>
        </is>
      </c>
      <c r="D64" s="28" t="inlineStr">
        <is>
          <t>Workspace colours, fonts and logo.</t>
        </is>
      </c>
      <c r="E64" s="29" t="inlineStr">
        <is>
          <t>manage</t>
        </is>
      </c>
      <c r="F64" s="29" t="inlineStr"/>
      <c r="G64" s="29" t="inlineStr">
        <is>
          <t>✓</t>
        </is>
      </c>
      <c r="H64" s="29" t="inlineStr">
        <is>
          <t>✓</t>
        </is>
      </c>
      <c r="I64" s="29" t="inlineStr"/>
      <c r="J64" s="29" t="inlineStr"/>
      <c r="K64" s="29" t="inlineStr"/>
      <c r="L64" s="29" t="inlineStr"/>
      <c r="M64" s="29" t="inlineStr"/>
      <c r="N64" s="29" t="inlineStr"/>
      <c r="O64" s="29" t="inlineStr"/>
      <c r="P64" s="29">
        <f>COUNTIF(G64:O64,"✓")</f>
        <v/>
      </c>
    </row>
    <row r="65" ht="17" customHeight="1">
      <c r="A65" s="28" t="inlineStr">
        <is>
          <t>Workspace administration</t>
        </is>
      </c>
      <c r="B65" s="28" t="inlineStr">
        <is>
          <t>holidays.edit</t>
        </is>
      </c>
      <c r="C65" s="28" t="inlineStr">
        <is>
          <t>Holiday calendar</t>
        </is>
      </c>
      <c r="D65" s="28" t="inlineStr">
        <is>
          <t>Add and remove company holidays.</t>
        </is>
      </c>
      <c r="E65" s="29" t="inlineStr">
        <is>
          <t>manage</t>
        </is>
      </c>
      <c r="F65" s="29" t="inlineStr"/>
      <c r="G65" s="29" t="inlineStr">
        <is>
          <t>✓</t>
        </is>
      </c>
      <c r="H65" s="29" t="inlineStr">
        <is>
          <t>✓</t>
        </is>
      </c>
      <c r="I65" s="29" t="inlineStr"/>
      <c r="J65" s="29" t="inlineStr"/>
      <c r="K65" s="29" t="inlineStr">
        <is>
          <t>✓</t>
        </is>
      </c>
      <c r="L65" s="29" t="inlineStr"/>
      <c r="M65" s="29" t="inlineStr"/>
      <c r="N65" s="29" t="inlineStr"/>
      <c r="O65" s="29" t="inlineStr"/>
      <c r="P65" s="29">
        <f>COUNTIF(G65:O65,"✓")</f>
        <v/>
      </c>
    </row>
    <row r="66" ht="30" customHeight="1">
      <c r="A66" s="28" t="inlineStr">
        <is>
          <t>Workspace administration</t>
        </is>
      </c>
      <c r="B66" s="28" t="inlineStr">
        <is>
          <t>master.view</t>
        </is>
      </c>
      <c r="C66" s="28" t="inlineStr">
        <is>
          <t>See master data</t>
        </is>
      </c>
      <c r="D66" s="28" t="inlineStr">
        <is>
          <t>Org profile, locations, departments, designations, grades and shifts.</t>
        </is>
      </c>
      <c r="E66" s="29" t="inlineStr">
        <is>
          <t>view</t>
        </is>
      </c>
      <c r="F66" s="29" t="inlineStr"/>
      <c r="G66" s="29" t="inlineStr">
        <is>
          <t>✓</t>
        </is>
      </c>
      <c r="H66" s="29" t="inlineStr">
        <is>
          <t>✓</t>
        </is>
      </c>
      <c r="I66" s="29" t="inlineStr">
        <is>
          <t>✓</t>
        </is>
      </c>
      <c r="J66" s="29" t="inlineStr"/>
      <c r="K66" s="29" t="inlineStr">
        <is>
          <t>✓</t>
        </is>
      </c>
      <c r="L66" s="29" t="inlineStr">
        <is>
          <t>✓</t>
        </is>
      </c>
      <c r="M66" s="29" t="inlineStr"/>
      <c r="N66" s="29" t="inlineStr"/>
      <c r="O66" s="29" t="inlineStr"/>
      <c r="P66" s="29">
        <f>COUNTIF(G66:O66,"✓")</f>
        <v/>
      </c>
    </row>
    <row r="67" ht="17" customHeight="1">
      <c r="A67" s="28" t="inlineStr">
        <is>
          <t>Workspace administration</t>
        </is>
      </c>
      <c r="B67" s="28" t="inlineStr">
        <is>
          <t>master.edit</t>
        </is>
      </c>
      <c r="C67" s="28" t="inlineStr">
        <is>
          <t>Edit master data</t>
        </is>
      </c>
      <c r="D67" s="28" t="inlineStr">
        <is>
          <t>Change the organisation’s master data.</t>
        </is>
      </c>
      <c r="E67" s="29" t="inlineStr">
        <is>
          <t>manage</t>
        </is>
      </c>
      <c r="F67" s="29" t="inlineStr"/>
      <c r="G67" s="29" t="inlineStr">
        <is>
          <t>✓</t>
        </is>
      </c>
      <c r="H67" s="29" t="inlineStr">
        <is>
          <t>✓</t>
        </is>
      </c>
      <c r="I67" s="29" t="inlineStr"/>
      <c r="J67" s="29" t="inlineStr"/>
      <c r="K67" s="29" t="inlineStr">
        <is>
          <t>✓</t>
        </is>
      </c>
      <c r="L67" s="29" t="inlineStr"/>
      <c r="M67" s="29" t="inlineStr"/>
      <c r="N67" s="29" t="inlineStr"/>
      <c r="O67" s="29" t="inlineStr"/>
      <c r="P67" s="29">
        <f>COUNTIF(G67:O67,"✓")</f>
        <v/>
      </c>
    </row>
    <row r="68" ht="17" customHeight="1">
      <c r="A68" s="28" t="inlineStr">
        <is>
          <t>Workspace administration</t>
        </is>
      </c>
      <c r="B68" s="28" t="inlineStr">
        <is>
          <t>shifts.manage</t>
        </is>
      </c>
      <c r="C68" s="28" t="inlineStr">
        <is>
          <t>Shifts</t>
        </is>
      </c>
      <c r="D68" s="28" t="inlineStr">
        <is>
          <t>Create shifts and assign people to them.</t>
        </is>
      </c>
      <c r="E68" s="29" t="inlineStr">
        <is>
          <t>manage</t>
        </is>
      </c>
      <c r="F68" s="29" t="inlineStr"/>
      <c r="G68" s="29" t="inlineStr">
        <is>
          <t>✓</t>
        </is>
      </c>
      <c r="H68" s="29" t="inlineStr">
        <is>
          <t>✓</t>
        </is>
      </c>
      <c r="I68" s="29" t="inlineStr"/>
      <c r="J68" s="29" t="inlineStr"/>
      <c r="K68" s="29" t="inlineStr">
        <is>
          <t>✓</t>
        </is>
      </c>
      <c r="L68" s="29" t="inlineStr"/>
      <c r="M68" s="29" t="inlineStr"/>
      <c r="N68" s="29" t="inlineStr"/>
      <c r="O68" s="29" t="inlineStr"/>
      <c r="P68" s="29">
        <f>COUNTIF(G68:O68,"✓")</f>
        <v/>
      </c>
    </row>
    <row r="69" ht="17" customHeight="1">
      <c r="A69" s="28" t="inlineStr">
        <is>
          <t>Workspace administration</t>
        </is>
      </c>
      <c r="B69" s="28" t="inlineStr">
        <is>
          <t>workflows.manage</t>
        </is>
      </c>
      <c r="C69" s="28" t="inlineStr">
        <is>
          <t>Approval workflows</t>
        </is>
      </c>
      <c r="D69" s="28" t="inlineStr">
        <is>
          <t>Who approves what, in which order, with SLAs.</t>
        </is>
      </c>
      <c r="E69" s="29" t="inlineStr">
        <is>
          <t>manage</t>
        </is>
      </c>
      <c r="F69" s="29" t="inlineStr"/>
      <c r="G69" s="29" t="inlineStr">
        <is>
          <t>✓</t>
        </is>
      </c>
      <c r="H69" s="29" t="inlineStr">
        <is>
          <t>✓</t>
        </is>
      </c>
      <c r="I69" s="29" t="inlineStr"/>
      <c r="J69" s="29" t="inlineStr"/>
      <c r="K69" s="29" t="inlineStr"/>
      <c r="L69" s="29" t="inlineStr"/>
      <c r="M69" s="29" t="inlineStr"/>
      <c r="N69" s="29" t="inlineStr"/>
      <c r="O69" s="29" t="inlineStr"/>
      <c r="P69" s="29">
        <f>COUNTIF(G69:O69,"✓")</f>
        <v/>
      </c>
    </row>
    <row r="70" ht="17" customHeight="1">
      <c r="A70" s="28" t="inlineStr">
        <is>
          <t>Workspace administration</t>
        </is>
      </c>
      <c r="B70" s="28" t="inlineStr">
        <is>
          <t>emails.view</t>
        </is>
      </c>
      <c r="C70" s="28" t="inlineStr">
        <is>
          <t>Email templates &amp; outbox</t>
        </is>
      </c>
      <c r="D70" s="28" t="inlineStr">
        <is>
          <t>Edit templates and see emails the system sent.</t>
        </is>
      </c>
      <c r="E70" s="29" t="inlineStr">
        <is>
          <t>manage</t>
        </is>
      </c>
      <c r="F70" s="29" t="inlineStr"/>
      <c r="G70" s="29" t="inlineStr">
        <is>
          <t>✓</t>
        </is>
      </c>
      <c r="H70" s="29" t="inlineStr">
        <is>
          <t>✓</t>
        </is>
      </c>
      <c r="I70" s="29" t="inlineStr"/>
      <c r="J70" s="29" t="inlineStr"/>
      <c r="K70" s="29" t="inlineStr">
        <is>
          <t>✓</t>
        </is>
      </c>
      <c r="L70" s="29" t="inlineStr">
        <is>
          <t>✓</t>
        </is>
      </c>
      <c r="M70" s="29" t="inlineStr"/>
      <c r="N70" s="29" t="inlineStr"/>
      <c r="O70" s="29" t="inlineStr"/>
      <c r="P70" s="29">
        <f>COUNTIF(G70:O70,"✓")</f>
        <v/>
      </c>
    </row>
    <row r="71" ht="17" customHeight="1">
      <c r="A71" s="28" t="inlineStr">
        <is>
          <t>Workspace administration</t>
        </is>
      </c>
      <c r="B71" s="28" t="inlineStr">
        <is>
          <t>billing.manage</t>
        </is>
      </c>
      <c r="C71" s="28" t="inlineStr">
        <is>
          <t>Billing &amp; plan</t>
        </is>
      </c>
      <c r="D71" s="28" t="inlineStr">
        <is>
          <t>Subscription, seats and invoices for SeereonOS.</t>
        </is>
      </c>
      <c r="E71" s="29" t="inlineStr">
        <is>
          <t>manage</t>
        </is>
      </c>
      <c r="F71" s="29" t="inlineStr"/>
      <c r="G71" s="29" t="inlineStr">
        <is>
          <t>✓</t>
        </is>
      </c>
      <c r="H71" s="29" t="inlineStr">
        <is>
          <t>✓</t>
        </is>
      </c>
      <c r="I71" s="29" t="inlineStr"/>
      <c r="J71" s="29" t="inlineStr"/>
      <c r="K71" s="29" t="inlineStr"/>
      <c r="L71" s="29" t="inlineStr"/>
      <c r="M71" s="29" t="inlineStr"/>
      <c r="N71" s="29" t="inlineStr"/>
      <c r="O71" s="29" t="inlineStr"/>
      <c r="P71" s="29">
        <f>COUNTIF(G71:O71,"✓")</f>
        <v/>
      </c>
    </row>
    <row r="72">
      <c r="A72" s="31" t="inlineStr">
        <is>
          <t>Users, roles &amp; controls (10)</t>
        </is>
      </c>
      <c r="B72" s="32" t="n"/>
      <c r="C72" s="32" t="n"/>
      <c r="D72" s="32" t="n"/>
      <c r="E72" s="32" t="n"/>
      <c r="F72" s="32" t="n"/>
      <c r="G72" s="32" t="n"/>
      <c r="H72" s="32" t="n"/>
      <c r="I72" s="32" t="n"/>
      <c r="J72" s="32" t="n"/>
      <c r="K72" s="32" t="n"/>
      <c r="L72" s="32" t="n"/>
      <c r="M72" s="32" t="n"/>
      <c r="N72" s="32" t="n"/>
      <c r="O72" s="32" t="n"/>
      <c r="P72" s="32" t="n"/>
    </row>
    <row r="73" ht="17" customHeight="1">
      <c r="A73" s="28" t="inlineStr">
        <is>
          <t>Users, roles &amp; controls</t>
        </is>
      </c>
      <c r="B73" s="28" t="inlineStr">
        <is>
          <t>users.view</t>
        </is>
      </c>
      <c r="C73" s="28" t="inlineStr">
        <is>
          <t>See users</t>
        </is>
      </c>
      <c r="D73" s="28" t="inlineStr">
        <is>
          <t>The user list with roles and status.</t>
        </is>
      </c>
      <c r="E73" s="29" t="inlineStr">
        <is>
          <t>view</t>
        </is>
      </c>
      <c r="F73" s="29" t="inlineStr"/>
      <c r="G73" s="29" t="inlineStr">
        <is>
          <t>✓</t>
        </is>
      </c>
      <c r="H73" s="29" t="inlineStr">
        <is>
          <t>✓</t>
        </is>
      </c>
      <c r="I73" s="29" t="inlineStr">
        <is>
          <t>✓</t>
        </is>
      </c>
      <c r="J73" s="29" t="inlineStr"/>
      <c r="K73" s="29" t="inlineStr">
        <is>
          <t>✓</t>
        </is>
      </c>
      <c r="L73" s="29" t="inlineStr">
        <is>
          <t>✓</t>
        </is>
      </c>
      <c r="M73" s="29" t="inlineStr"/>
      <c r="N73" s="29" t="inlineStr"/>
      <c r="O73" s="29" t="inlineStr"/>
      <c r="P73" s="29">
        <f>COUNTIF(G73:O73,"✓")</f>
        <v/>
      </c>
    </row>
    <row r="74" ht="30" customHeight="1">
      <c r="A74" s="28" t="inlineStr">
        <is>
          <t>Users, roles &amp; controls</t>
        </is>
      </c>
      <c r="B74" s="28" t="inlineStr">
        <is>
          <t>users.manage</t>
        </is>
      </c>
      <c r="C74" s="28" t="inlineStr">
        <is>
          <t>Manage user access</t>
        </is>
      </c>
      <c r="D74" s="28" t="inlineStr">
        <is>
          <t>Change a user’s role, reporting line and extra permissions.</t>
        </is>
      </c>
      <c r="E74" s="29" t="inlineStr">
        <is>
          <t>sensitive</t>
        </is>
      </c>
      <c r="F74" s="29" t="inlineStr">
        <is>
          <t>Yes</t>
        </is>
      </c>
      <c r="G74" s="29" t="inlineStr">
        <is>
          <t>✓</t>
        </is>
      </c>
      <c r="H74" s="29" t="inlineStr">
        <is>
          <t>✓</t>
        </is>
      </c>
      <c r="I74" s="29" t="inlineStr"/>
      <c r="J74" s="29" t="inlineStr"/>
      <c r="K74" s="29" t="inlineStr"/>
      <c r="L74" s="29" t="inlineStr"/>
      <c r="M74" s="29" t="inlineStr"/>
      <c r="N74" s="29" t="inlineStr"/>
      <c r="O74" s="29" t="inlineStr"/>
      <c r="P74" s="29">
        <f>COUNTIF(G74:O74,"✓")</f>
        <v/>
      </c>
    </row>
    <row r="75" ht="17" customHeight="1">
      <c r="A75" s="28" t="inlineStr">
        <is>
          <t>Users, roles &amp; controls</t>
        </is>
      </c>
      <c r="B75" s="28" t="inlineStr">
        <is>
          <t>employees.create</t>
        </is>
      </c>
      <c r="C75" s="28" t="inlineStr">
        <is>
          <t>Create employees</t>
        </is>
      </c>
      <c r="D75" s="28" t="inlineStr">
        <is>
          <t>Onboard a new employee and send the welcome email.</t>
        </is>
      </c>
      <c r="E75" s="29" t="inlineStr">
        <is>
          <t>create</t>
        </is>
      </c>
      <c r="F75" s="29" t="inlineStr"/>
      <c r="G75" s="29" t="inlineStr">
        <is>
          <t>✓</t>
        </is>
      </c>
      <c r="H75" s="29" t="inlineStr">
        <is>
          <t>✓</t>
        </is>
      </c>
      <c r="I75" s="29" t="inlineStr"/>
      <c r="J75" s="29" t="inlineStr"/>
      <c r="K75" s="29" t="inlineStr">
        <is>
          <t>✓</t>
        </is>
      </c>
      <c r="L75" s="29" t="inlineStr">
        <is>
          <t>✓</t>
        </is>
      </c>
      <c r="M75" s="29" t="inlineStr"/>
      <c r="N75" s="29" t="inlineStr"/>
      <c r="O75" s="29" t="inlineStr"/>
      <c r="P75" s="29">
        <f>COUNTIF(G75:O75,"✓")</f>
        <v/>
      </c>
    </row>
    <row r="76" ht="17" customHeight="1">
      <c r="A76" s="28" t="inlineStr">
        <is>
          <t>Users, roles &amp; controls</t>
        </is>
      </c>
      <c r="B76" s="28" t="inlineStr">
        <is>
          <t>employees.edit</t>
        </is>
      </c>
      <c r="C76" s="28" t="inlineStr">
        <is>
          <t>Edit employee records</t>
        </is>
      </c>
      <c r="D76" s="28" t="inlineStr">
        <is>
          <t>Job details, department, designation, shift.</t>
        </is>
      </c>
      <c r="E76" s="29" t="inlineStr">
        <is>
          <t>edit</t>
        </is>
      </c>
      <c r="F76" s="29" t="inlineStr"/>
      <c r="G76" s="29" t="inlineStr">
        <is>
          <t>✓</t>
        </is>
      </c>
      <c r="H76" s="29" t="inlineStr">
        <is>
          <t>✓</t>
        </is>
      </c>
      <c r="I76" s="29" t="inlineStr"/>
      <c r="J76" s="29" t="inlineStr"/>
      <c r="K76" s="29" t="inlineStr">
        <is>
          <t>✓</t>
        </is>
      </c>
      <c r="L76" s="29" t="inlineStr">
        <is>
          <t>✓</t>
        </is>
      </c>
      <c r="M76" s="29" t="inlineStr"/>
      <c r="N76" s="29" t="inlineStr"/>
      <c r="O76" s="29" t="inlineStr"/>
      <c r="P76" s="29">
        <f>COUNTIF(G76:O76,"✓")</f>
        <v/>
      </c>
    </row>
    <row r="77" ht="17" customHeight="1">
      <c r="A77" s="28" t="inlineStr">
        <is>
          <t>Users, roles &amp; controls</t>
        </is>
      </c>
      <c r="B77" s="28" t="inlineStr">
        <is>
          <t>employees.deactivate</t>
        </is>
      </c>
      <c r="C77" s="28" t="inlineStr">
        <is>
          <t>Deactivate employees</t>
        </is>
      </c>
      <c r="D77" s="28" t="inlineStr">
        <is>
          <t>Turn off access when someone leaves.</t>
        </is>
      </c>
      <c r="E77" s="29" t="inlineStr">
        <is>
          <t>sensitive</t>
        </is>
      </c>
      <c r="F77" s="29" t="inlineStr">
        <is>
          <t>Yes</t>
        </is>
      </c>
      <c r="G77" s="29" t="inlineStr">
        <is>
          <t>✓</t>
        </is>
      </c>
      <c r="H77" s="29" t="inlineStr">
        <is>
          <t>✓</t>
        </is>
      </c>
      <c r="I77" s="29" t="inlineStr"/>
      <c r="J77" s="29" t="inlineStr"/>
      <c r="K77" s="29" t="inlineStr">
        <is>
          <t>✓</t>
        </is>
      </c>
      <c r="L77" s="29" t="inlineStr"/>
      <c r="M77" s="29" t="inlineStr"/>
      <c r="N77" s="29" t="inlineStr"/>
      <c r="O77" s="29" t="inlineStr"/>
      <c r="P77" s="29">
        <f>COUNTIF(G77:O77,"✓")</f>
        <v/>
      </c>
    </row>
    <row r="78" ht="17" customHeight="1">
      <c r="A78" s="28" t="inlineStr">
        <is>
          <t>Users, roles &amp; controls</t>
        </is>
      </c>
      <c r="B78" s="28" t="inlineStr">
        <is>
          <t>roles.view</t>
        </is>
      </c>
      <c r="C78" s="28" t="inlineStr">
        <is>
          <t>See roles</t>
        </is>
      </c>
      <c r="D78" s="28" t="inlineStr">
        <is>
          <t>Roles and their permission matrix.</t>
        </is>
      </c>
      <c r="E78" s="29" t="inlineStr">
        <is>
          <t>view</t>
        </is>
      </c>
      <c r="F78" s="29" t="inlineStr"/>
      <c r="G78" s="29" t="inlineStr">
        <is>
          <t>✓</t>
        </is>
      </c>
      <c r="H78" s="29" t="inlineStr">
        <is>
          <t>✓</t>
        </is>
      </c>
      <c r="I78" s="29" t="inlineStr">
        <is>
          <t>✓</t>
        </is>
      </c>
      <c r="J78" s="29" t="inlineStr"/>
      <c r="K78" s="29" t="inlineStr">
        <is>
          <t>✓</t>
        </is>
      </c>
      <c r="L78" s="29" t="inlineStr"/>
      <c r="M78" s="29" t="inlineStr"/>
      <c r="N78" s="29" t="inlineStr"/>
      <c r="O78" s="29" t="inlineStr"/>
      <c r="P78" s="29">
        <f>COUNTIF(G78:O78,"✓")</f>
        <v/>
      </c>
    </row>
    <row r="79" ht="17" customHeight="1">
      <c r="A79" s="28" t="inlineStr">
        <is>
          <t>Users, roles &amp; controls</t>
        </is>
      </c>
      <c r="B79" s="28" t="inlineStr">
        <is>
          <t>roles.manage</t>
        </is>
      </c>
      <c r="C79" s="28" t="inlineStr">
        <is>
          <t>Manage roles</t>
        </is>
      </c>
      <c r="D79" s="28" t="inlineStr">
        <is>
          <t>Create roles and change what each role can do.</t>
        </is>
      </c>
      <c r="E79" s="29" t="inlineStr">
        <is>
          <t>sensitive</t>
        </is>
      </c>
      <c r="F79" s="29" t="inlineStr">
        <is>
          <t>Yes</t>
        </is>
      </c>
      <c r="G79" s="29" t="inlineStr">
        <is>
          <t>✓</t>
        </is>
      </c>
      <c r="H79" s="29" t="inlineStr">
        <is>
          <t>✓</t>
        </is>
      </c>
      <c r="I79" s="29" t="inlineStr"/>
      <c r="J79" s="29" t="inlineStr"/>
      <c r="K79" s="29" t="inlineStr"/>
      <c r="L79" s="29" t="inlineStr"/>
      <c r="M79" s="29" t="inlineStr"/>
      <c r="N79" s="29" t="inlineStr"/>
      <c r="O79" s="29" t="inlineStr"/>
      <c r="P79" s="29">
        <f>COUNTIF(G79:O79,"✓")</f>
        <v/>
      </c>
    </row>
    <row r="80" ht="30" customHeight="1">
      <c r="A80" s="28" t="inlineStr">
        <is>
          <t>Users, roles &amp; controls</t>
        </is>
      </c>
      <c r="B80" s="28" t="inlineStr">
        <is>
          <t>makerchecker.check</t>
        </is>
      </c>
      <c r="C80" s="28" t="inlineStr">
        <is>
          <t>Check changes (maker-checker)</t>
        </is>
      </c>
      <c r="D80" s="28" t="inlineStr">
        <is>
          <t>Approve or reject sensitive changes made by someone else.</t>
        </is>
      </c>
      <c r="E80" s="29" t="inlineStr">
        <is>
          <t>approve</t>
        </is>
      </c>
      <c r="F80" s="29" t="inlineStr"/>
      <c r="G80" s="29" t="inlineStr">
        <is>
          <t>✓</t>
        </is>
      </c>
      <c r="H80" s="29" t="inlineStr">
        <is>
          <t>✓</t>
        </is>
      </c>
      <c r="I80" s="29" t="inlineStr">
        <is>
          <t>✓</t>
        </is>
      </c>
      <c r="J80" s="29" t="inlineStr"/>
      <c r="K80" s="29" t="inlineStr">
        <is>
          <t>✓</t>
        </is>
      </c>
      <c r="L80" s="29" t="inlineStr"/>
      <c r="M80" s="29" t="inlineStr"/>
      <c r="N80" s="29" t="inlineStr"/>
      <c r="O80" s="29" t="inlineStr"/>
      <c r="P80" s="29">
        <f>COUNTIF(G80:O80,"✓")</f>
        <v/>
      </c>
    </row>
    <row r="81" ht="17" customHeight="1">
      <c r="A81" s="28" t="inlineStr">
        <is>
          <t>Users, roles &amp; controls</t>
        </is>
      </c>
      <c r="B81" s="28" t="inlineStr">
        <is>
          <t>makerchecker.configure</t>
        </is>
      </c>
      <c r="C81" s="28" t="inlineStr">
        <is>
          <t>Configure maker-checker</t>
        </is>
      </c>
      <c r="D81" s="28" t="inlineStr">
        <is>
          <t>Choose which changes need a second person.</t>
        </is>
      </c>
      <c r="E81" s="29" t="inlineStr">
        <is>
          <t>sensitive</t>
        </is>
      </c>
      <c r="F81" s="29" t="inlineStr">
        <is>
          <t>Yes</t>
        </is>
      </c>
      <c r="G81" s="29" t="inlineStr">
        <is>
          <t>✓</t>
        </is>
      </c>
      <c r="H81" s="29" t="inlineStr">
        <is>
          <t>✓</t>
        </is>
      </c>
      <c r="I81" s="29" t="inlineStr"/>
      <c r="J81" s="29" t="inlineStr"/>
      <c r="K81" s="29" t="inlineStr"/>
      <c r="L81" s="29" t="inlineStr"/>
      <c r="M81" s="29" t="inlineStr"/>
      <c r="N81" s="29" t="inlineStr"/>
      <c r="O81" s="29" t="inlineStr"/>
      <c r="P81" s="29">
        <f>COUNTIF(G81:O81,"✓")</f>
        <v/>
      </c>
    </row>
    <row r="82" ht="17" customHeight="1">
      <c r="A82" s="28" t="inlineStr">
        <is>
          <t>Users, roles &amp; controls</t>
        </is>
      </c>
      <c r="B82" s="28" t="inlineStr">
        <is>
          <t>view_as</t>
        </is>
      </c>
      <c r="C82" s="28" t="inlineStr">
        <is>
          <t>View as another role</t>
        </is>
      </c>
      <c r="D82" s="28" t="inlineStr">
        <is>
          <t>Preview the product as any role (read-only).</t>
        </is>
      </c>
      <c r="E82" s="29" t="inlineStr">
        <is>
          <t>view</t>
        </is>
      </c>
      <c r="F82" s="29" t="inlineStr"/>
      <c r="G82" s="29" t="inlineStr">
        <is>
          <t>✓</t>
        </is>
      </c>
      <c r="H82" s="29" t="inlineStr">
        <is>
          <t>✓</t>
        </is>
      </c>
      <c r="I82" s="29" t="inlineStr"/>
      <c r="J82" s="29" t="inlineStr"/>
      <c r="K82" s="29" t="inlineStr"/>
      <c r="L82" s="29" t="inlineStr"/>
      <c r="M82" s="29" t="inlineStr"/>
      <c r="N82" s="29" t="inlineStr"/>
      <c r="O82" s="29" t="inlineStr"/>
      <c r="P82" s="29">
        <f>COUNTIF(G82:O82,"✓")</f>
        <v/>
      </c>
    </row>
    <row r="83">
      <c r="A83" s="18" t="inlineStr">
        <is>
          <t>Permissions per role</t>
        </is>
      </c>
      <c r="B83" s="33" t="n"/>
      <c r="C83" s="33" t="n"/>
      <c r="D83" s="33" t="n"/>
      <c r="E83" s="34" t="inlineStr">
        <is>
          <t>Total keys</t>
        </is>
      </c>
      <c r="F83" s="19">
        <f>COUNTA(B2:B82)</f>
        <v/>
      </c>
      <c r="G83" s="19">
        <f>COUNTIF(G2:G82,"✓")</f>
        <v/>
      </c>
      <c r="H83" s="19">
        <f>COUNTIF(H2:H82,"✓")</f>
        <v/>
      </c>
      <c r="I83" s="19">
        <f>COUNTIF(I2:I82,"✓")</f>
        <v/>
      </c>
      <c r="J83" s="19">
        <f>COUNTIF(J2:J82,"✓")</f>
        <v/>
      </c>
      <c r="K83" s="19">
        <f>COUNTIF(K2:K82,"✓")</f>
        <v/>
      </c>
      <c r="L83" s="19">
        <f>COUNTIF(L2:L82,"✓")</f>
        <v/>
      </c>
      <c r="M83" s="19">
        <f>COUNTIF(M2:M82,"✓")</f>
        <v/>
      </c>
      <c r="N83" s="19">
        <f>COUNTIF(N2:N82,"✓")</f>
        <v/>
      </c>
      <c r="O83" s="19">
        <f>COUNTIF(O2:O82,"✓")</f>
        <v/>
      </c>
      <c r="P83" s="33" t="n"/>
    </row>
    <row r="86" ht="20" customHeight="1">
      <c r="A86" s="4" t="inlineStr">
        <is>
          <t>Default roles: persona (home dashboard), description and demo users</t>
        </is>
      </c>
      <c r="B86" s="35" t="n"/>
      <c r="C86" s="35" t="n"/>
      <c r="D86" s="35" t="n"/>
      <c r="E86" s="35" t="n"/>
      <c r="F86" s="35" t="n"/>
    </row>
    <row r="87">
      <c r="A87" s="36" t="inlineStr">
        <is>
          <t>Role</t>
        </is>
      </c>
      <c r="B87" s="36" t="inlineStr">
        <is>
          <t>Role key</t>
        </is>
      </c>
      <c r="C87" s="36" t="inlineStr">
        <is>
          <t>Persona / home dashboard</t>
        </is>
      </c>
      <c r="D87" s="36" t="inlineStr">
        <is>
          <t>Description</t>
        </is>
      </c>
      <c r="E87" s="36" t="inlineStr">
        <is>
          <t>Locked</t>
        </is>
      </c>
      <c r="F87" s="36" t="inlineStr">
        <is>
          <t>Demo user(s) in Seereon</t>
        </is>
      </c>
      <c r="G87" s="36" t="inlineStr">
        <is>
          <t>Permissions</t>
        </is>
      </c>
    </row>
    <row r="88" ht="56" customHeight="1">
      <c r="A88" s="28" t="inlineStr">
        <is>
          <t>Administrator</t>
        </is>
      </c>
      <c r="B88" s="28" t="inlineStr">
        <is>
          <t>administrator</t>
        </is>
      </c>
      <c r="C88" s="28" t="inlineStr">
        <is>
          <t>admin - Leadership dashboard</t>
        </is>
      </c>
      <c r="D88" s="28" t="inlineStr">
        <is>
          <t>Sets up the workspace: master data, users, roles and controls. Full access.</t>
        </is>
      </c>
      <c r="E88" s="28" t="inlineStr">
        <is>
          <t>Yes (keeps role &amp; user management)</t>
        </is>
      </c>
      <c r="F88" s="28" t="inlineStr">
        <is>
          <t>Debasish Mishra (debasish@)</t>
        </is>
      </c>
      <c r="G88" s="29">
        <f>G83</f>
        <v/>
      </c>
    </row>
    <row r="89" ht="30" customHeight="1">
      <c r="A89" s="28" t="inlineStr">
        <is>
          <t>CEO</t>
        </is>
      </c>
      <c r="B89" s="28" t="inlineStr">
        <is>
          <t>ceo</t>
        </is>
      </c>
      <c r="C89" s="28" t="inlineStr">
        <is>
          <t>admin - Leadership dashboard</t>
        </is>
      </c>
      <c r="D89" s="28" t="inlineStr">
        <is>
          <t>Runs the company. Sees every number and is the final approver.</t>
        </is>
      </c>
      <c r="E89" s="28" t="inlineStr">
        <is>
          <t>No</t>
        </is>
      </c>
      <c r="F89" s="28" t="inlineStr">
        <is>
          <t>Santosh Nayak (santosh@)</t>
        </is>
      </c>
      <c r="G89" s="29">
        <f>H83</f>
        <v/>
      </c>
    </row>
    <row r="90" ht="30" customHeight="1">
      <c r="A90" s="28" t="inlineStr">
        <is>
          <t>CTO</t>
        </is>
      </c>
      <c r="B90" s="28" t="inlineStr">
        <is>
          <t>cto</t>
        </is>
      </c>
      <c r="C90" s="28" t="inlineStr">
        <is>
          <t>pm - Delivery dashboard</t>
        </is>
      </c>
      <c r="D90" s="28" t="inlineStr">
        <is>
          <t>Owns delivery and technology across all projects, without company finance.</t>
        </is>
      </c>
      <c r="E90" s="28" t="inlineStr">
        <is>
          <t>No</t>
        </is>
      </c>
      <c r="F90" s="28" t="inlineStr">
        <is>
          <t>None in the demo (assign under People)</t>
        </is>
      </c>
      <c r="G90" s="29">
        <f>I83</f>
        <v/>
      </c>
    </row>
    <row r="91" ht="30" customHeight="1">
      <c r="A91" s="28" t="inlineStr">
        <is>
          <t>Project Manager</t>
        </is>
      </c>
      <c r="B91" s="28" t="inlineStr">
        <is>
          <t>project_manager</t>
        </is>
      </c>
      <c r="C91" s="28" t="inlineStr">
        <is>
          <t>pm - Delivery dashboard</t>
        </is>
      </c>
      <c r="D91" s="28" t="inlineStr">
        <is>
          <t>Plans and delivers projects, assigns and reviews the team’s work.</t>
        </is>
      </c>
      <c r="E91" s="28" t="inlineStr">
        <is>
          <t>No</t>
        </is>
      </c>
      <c r="F91" s="28" t="inlineStr">
        <is>
          <t>Subhankar Rout (subhankar@) + margins.view, documents.view_all</t>
        </is>
      </c>
      <c r="G91" s="29">
        <f>J83</f>
        <v/>
      </c>
    </row>
    <row r="92" ht="30" customHeight="1">
      <c r="A92" s="28" t="inlineStr">
        <is>
          <t>HR Manager</t>
        </is>
      </c>
      <c r="B92" s="28" t="inlineStr">
        <is>
          <t>hr_manager</t>
        </is>
      </c>
      <c r="C92" s="28" t="inlineStr">
        <is>
          <t>ops - HR &amp; operations dashboard</t>
        </is>
      </c>
      <c r="D92" s="28" t="inlineStr">
        <is>
          <t>Owns people operations: onboarding, leave, appraisals, payroll preparation and procurement.</t>
        </is>
      </c>
      <c r="E92" s="28" t="inlineStr">
        <is>
          <t>No</t>
        </is>
      </c>
      <c r="F92" s="28" t="inlineStr">
        <is>
          <t>Priya Mohapatra (priya@) + documents.view_all</t>
        </is>
      </c>
      <c r="G92" s="29">
        <f>K83</f>
        <v/>
      </c>
    </row>
    <row r="93" ht="43" customHeight="1">
      <c r="A93" s="28" t="inlineStr">
        <is>
          <t>HR Executive</t>
        </is>
      </c>
      <c r="B93" s="28" t="inlineStr">
        <is>
          <t>hr_executive</t>
        </is>
      </c>
      <c r="C93" s="28" t="inlineStr">
        <is>
          <t>ops - HR &amp; operations dashboard</t>
        </is>
      </c>
      <c r="D93" s="28" t="inlineStr">
        <is>
          <t>Day-to-day HR: onboards employees, records leave, runs recruitment. Sensitive changes go to the HR Manager.</t>
        </is>
      </c>
      <c r="E93" s="28" t="inlineStr">
        <is>
          <t>No</t>
        </is>
      </c>
      <c r="F93" s="28" t="inlineStr">
        <is>
          <t>None in the demo (assign under People)</t>
        </is>
      </c>
      <c r="G93" s="29">
        <f>L83</f>
        <v/>
      </c>
    </row>
    <row r="94" ht="17" customHeight="1">
      <c r="A94" s="28" t="inlineStr">
        <is>
          <t>Sales Manager</t>
        </is>
      </c>
      <c r="B94" s="28" t="inlineStr">
        <is>
          <t>sales_manager</t>
        </is>
      </c>
      <c r="C94" s="28" t="inlineStr">
        <is>
          <t>sales - Sales dashboard</t>
        </is>
      </c>
      <c r="D94" s="28" t="inlineStr">
        <is>
          <t>Runs the sales team and the whole pipeline.</t>
        </is>
      </c>
      <c r="E94" s="28" t="inlineStr">
        <is>
          <t>No</t>
        </is>
      </c>
      <c r="F94" s="28" t="inlineStr">
        <is>
          <t>Baishali Rout (baishali@)</t>
        </is>
      </c>
      <c r="G94" s="29">
        <f>M83</f>
        <v/>
      </c>
    </row>
    <row r="95" ht="17" customHeight="1">
      <c r="A95" s="28" t="inlineStr">
        <is>
          <t>Sales Executive</t>
        </is>
      </c>
      <c r="B95" s="28" t="inlineStr">
        <is>
          <t>sales_executive</t>
        </is>
      </c>
      <c r="C95" s="28" t="inlineStr">
        <is>
          <t>sales - Sales dashboard</t>
        </is>
      </c>
      <c r="D95" s="28" t="inlineStr">
        <is>
          <t>Works their own deals and clients.</t>
        </is>
      </c>
      <c r="E95" s="28" t="inlineStr">
        <is>
          <t>No</t>
        </is>
      </c>
      <c r="F95" s="28" t="inlineStr">
        <is>
          <t>Subham Mohanty (subham@)</t>
        </is>
      </c>
      <c r="G95" s="29">
        <f>N83</f>
        <v/>
      </c>
    </row>
    <row r="96" ht="69" customHeight="1">
      <c r="A96" s="28" t="inlineStr">
        <is>
          <t>Employee</t>
        </is>
      </c>
      <c r="B96" s="28" t="inlineStr">
        <is>
          <t>employee</t>
        </is>
      </c>
      <c r="C96" s="28" t="inlineStr">
        <is>
          <t>employee - Employee home</t>
        </is>
      </c>
      <c r="D96" s="28" t="inlineStr">
        <is>
          <t>Self-service: tasks, timesheets, leave, expenses, documents and appraisal.</t>
        </is>
      </c>
      <c r="E96" s="28" t="inlineStr">
        <is>
          <t>No</t>
        </is>
      </c>
      <c r="F96" s="28" t="inlineStr">
        <is>
          <t>Hritesh Panda (hritesh@); Bijaya Jena (bijaya@); Jagannath Nayak (jagannath@); Jayashree Dash (jayashree@); Pragyasmita Pallai (pragyasmita@)</t>
        </is>
      </c>
      <c r="G96" s="29">
        <f>O83</f>
        <v/>
      </c>
    </row>
    <row r="98">
      <c r="A98" s="20" t="inlineStr">
        <is>
          <t>Effective permissions of a person = role permissions + extra permissions - revoked permissions. Persona only picks the home dashboard; every screen and action is decided by permission. ✓ = included in the default role as shipped (roles are editable per workspace).</t>
        </is>
      </c>
    </row>
  </sheetData>
  <autoFilter ref="A1:P82"/>
  <printOptions gridLines="0"/>
  <pageMargins left="0.4" right="0.4" top="1" bottom="1" header="0.5" footer="0.5"/>
  <pageSetup orientation="landscape" paperSize="9" fitToHeight="0" fitToWidth="1"/>
  <headerFooter>
    <oddHeader/>
    <oddFooter>&amp;C&amp;8SeereonOS Business Process Catalogue v4 - page &amp;P of &amp;N</oddFooter>
    <evenHeader/>
    <evenFooter/>
    <firstHeader/>
    <firstFooter/>
  </headerFooter>
</worksheet>
</file>

<file path=xl/worksheets/sheet5.xml><?xml version="1.0" encoding="utf-8"?>
<worksheet xmlns="http://schemas.openxmlformats.org/spreadsheetml/2006/main">
  <sheetPr>
    <tabColor rgb="000C6B4E"/>
    <outlinePr summaryBelow="1" summaryRight="1"/>
    <pageSetUpPr fitToPage="1"/>
  </sheetPr>
  <dimension ref="A1:M3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30" customWidth="1" min="2" max="2"/>
    <col width="13" customWidth="1" min="3" max="3"/>
    <col width="30" customWidth="1" min="4" max="4"/>
    <col width="30" customWidth="1" min="5" max="5"/>
    <col width="30" customWidth="1" min="6" max="6"/>
    <col width="26" customWidth="1" min="7" max="7"/>
    <col width="14" customWidth="1" min="8" max="8"/>
    <col width="18" customWidth="1" min="9" max="9"/>
    <col width="11" customWidth="1" min="10" max="10"/>
    <col width="44" customWidth="1" min="11" max="11"/>
    <col width="44" customWidth="1" min="12" max="12"/>
    <col width="20" customWidth="1" min="13" max="13"/>
  </cols>
  <sheetData>
    <row r="1" ht="30" customHeight="1">
      <c r="A1" s="25" t="inlineStr">
        <is>
          <t>Change entity</t>
        </is>
      </c>
      <c r="B1" s="25" t="inlineStr">
        <is>
          <t>What it covers</t>
        </is>
      </c>
      <c r="C1" s="25" t="inlineStr">
        <is>
          <t>Group</t>
        </is>
      </c>
      <c r="D1" s="25" t="inlineStr">
        <is>
          <t>Required permission (checker also needs it)</t>
        </is>
      </c>
      <c r="E1" s="25" t="inlineStr">
        <is>
          <t>Who can make it (default roles)</t>
        </is>
      </c>
      <c r="F1" s="25" t="inlineStr">
        <is>
          <t>Who can check by default (Check changes + required permission)</t>
        </is>
      </c>
      <c r="G1" s="25" t="inlineStr">
        <is>
          <t>Seereon checkers today</t>
        </is>
      </c>
      <c r="H1" s="27" t="inlineStr">
        <is>
          <t>On in Seereon</t>
        </is>
      </c>
      <c r="I1" s="25" t="inlineStr">
        <is>
          <t>New tenants</t>
        </is>
      </c>
      <c r="J1" s="27" t="inlineStr">
        <is>
          <t>Recommended</t>
        </is>
      </c>
      <c r="K1" s="25" t="inlineStr">
        <is>
          <t>What is applied on approval</t>
        </is>
      </c>
      <c r="L1" s="25" t="inlineStr">
        <is>
          <t>Failure modes (approval fails or is refused)</t>
        </is>
      </c>
      <c r="M1" s="25" t="inlineStr">
        <is>
          <t>Screen</t>
        </is>
      </c>
    </row>
    <row r="2" ht="43" customHeight="1">
      <c r="A2" s="28" t="inlineStr">
        <is>
          <t>Roles &amp; permissions (role)</t>
        </is>
      </c>
      <c r="B2" s="28" t="inlineStr">
        <is>
          <t>Roles and their permission matrix</t>
        </is>
      </c>
      <c r="C2" s="28" t="inlineStr">
        <is>
          <t>Access</t>
        </is>
      </c>
      <c r="D2" s="28" t="inlineStr">
        <is>
          <t>roles.manage - Manage roles</t>
        </is>
      </c>
      <c r="E2" s="28" t="inlineStr">
        <is>
          <t>Administrator, CEO</t>
        </is>
      </c>
      <c r="F2" s="28" t="inlineStr">
        <is>
          <t>Administrator, CEO</t>
        </is>
      </c>
      <c r="G2" s="28" t="inlineStr">
        <is>
          <t>Debasish Mishra, Santosh Nayak</t>
        </is>
      </c>
      <c r="H2" s="29" t="inlineStr">
        <is>
          <t>Yes</t>
        </is>
      </c>
      <c r="I2" s="28" t="inlineStr">
        <is>
          <t>Preselected (maker-checker starts off)</t>
        </is>
      </c>
      <c r="J2" s="29" t="inlineStr">
        <is>
          <t>Yes</t>
        </is>
      </c>
      <c r="K2" s="28" t="inlineStr">
        <is>
          <t>Role created, edited (permissions, persona, name, active) or deleted; everyone holding it gets the new screens on their next request.</t>
        </is>
      </c>
      <c r="L2" s="28" t="inlineStr">
        <is>
          <t>STALE (role changed after proposal); ROLE_LOCKED; ROLE_IN_USE (delete / deactivate); LOCKOUT re-checked; ROLE_NAME_TAKEN.</t>
        </is>
      </c>
      <c r="M2" s="28" t="inlineStr">
        <is>
          <t>/setup/roles</t>
        </is>
      </c>
    </row>
    <row r="3" ht="43" customHeight="1">
      <c r="A3" s="28" t="inlineStr">
        <is>
          <t>User access (role, extra permissions) (user_access)</t>
        </is>
      </c>
      <c r="B3" s="28" t="inlineStr">
        <is>
          <t>A person's role and extra / revoked permissions</t>
        </is>
      </c>
      <c r="C3" s="28" t="inlineStr">
        <is>
          <t>Access</t>
        </is>
      </c>
      <c r="D3" s="28" t="inlineStr">
        <is>
          <t>users.manage - Manage user access</t>
        </is>
      </c>
      <c r="E3" s="28" t="inlineStr">
        <is>
          <t>Administrator, CEO</t>
        </is>
      </c>
      <c r="F3" s="28" t="inlineStr">
        <is>
          <t>Administrator, CEO</t>
        </is>
      </c>
      <c r="G3" s="28" t="inlineStr">
        <is>
          <t>Debasish Mishra, Santosh Nayak</t>
        </is>
      </c>
      <c r="H3" s="29" t="inlineStr">
        <is>
          <t>Yes</t>
        </is>
      </c>
      <c r="I3" s="28" t="inlineStr">
        <is>
          <t>Preselected (maker-checker starts off)</t>
        </is>
      </c>
      <c r="J3" s="29" t="inlineStr">
        <is>
          <t>Yes</t>
        </is>
      </c>
      <c r="K3" s="28" t="inlineStr">
        <is>
          <t>Person's role, extra permissions and revoked permissions; effective permissions recomputed.</t>
        </is>
      </c>
      <c r="L3" s="28" t="inlineStr">
        <is>
          <t>STALE (their access changed meanwhile); role no longer exists; LOCKOUT; PERMISSION_ESCALATION at proposal.</t>
        </is>
      </c>
      <c r="M3" s="28" t="inlineStr">
        <is>
          <t>/people</t>
        </is>
      </c>
    </row>
    <row r="4" ht="43" customHeight="1">
      <c r="A4" s="28" t="inlineStr">
        <is>
          <t>Employee creation &amp; deactivation (employee)</t>
        </is>
      </c>
      <c r="B4" s="28" t="inlineStr">
        <is>
          <t>Creating an employee (with welcome email) and deactivating one</t>
        </is>
      </c>
      <c r="C4" s="28" t="inlineStr">
        <is>
          <t>Access</t>
        </is>
      </c>
      <c r="D4" s="28" t="inlineStr">
        <is>
          <t>employees.create - Create employees</t>
        </is>
      </c>
      <c r="E4" s="28" t="inlineStr">
        <is>
          <t>create: Administrator, CEO, HR Manager, HR Executive; deactivate: Administrator, CEO, HR Manager</t>
        </is>
      </c>
      <c r="F4" s="28" t="inlineStr">
        <is>
          <t>Administrator, CEO, HR Manager</t>
        </is>
      </c>
      <c r="G4" s="28" t="inlineStr">
        <is>
          <t>Debasish Mishra, Priya Mohapatra, Santosh Nayak</t>
        </is>
      </c>
      <c r="H4" s="29" t="inlineStr">
        <is>
          <t>No</t>
        </is>
      </c>
      <c r="I4" s="28" t="inlineStr">
        <is>
          <t>Not preselected</t>
        </is>
      </c>
      <c r="J4" s="29" t="inlineStr">
        <is>
          <t>No</t>
        </is>
      </c>
      <c r="K4" s="28" t="inlineStr">
        <is>
          <t>Create: user with employee code, temporary password, welcome email, CTC (if given). Deactivate: status deactivated, reports flagged.</t>
        </is>
      </c>
      <c r="L4" s="28" t="inlineStr">
        <is>
          <t>USER_EMAIL_TAKEN (created meanwhile); role inactive; SEATS_FULL; manager inactive; LOCKOUT on deactivation.</t>
        </is>
      </c>
      <c r="M4" s="28" t="inlineStr">
        <is>
          <t>/people/new, /people</t>
        </is>
      </c>
    </row>
    <row r="5" ht="30" customHeight="1">
      <c r="A5" s="28" t="inlineStr">
        <is>
          <t>Salaries &amp; cost rates (cost_rate)</t>
        </is>
      </c>
      <c r="B5" s="28" t="inlineStr">
        <is>
          <t>Monthly CTC, variable %, sales target</t>
        </is>
      </c>
      <c r="C5" s="28" t="inlineStr">
        <is>
          <t>Money</t>
        </is>
      </c>
      <c r="D5" s="28" t="inlineStr">
        <is>
          <t>cost_rates.edit - Change salaries &amp; cost rates</t>
        </is>
      </c>
      <c r="E5" s="28" t="inlineStr">
        <is>
          <t>Administrator, CEO</t>
        </is>
      </c>
      <c r="F5" s="28" t="inlineStr">
        <is>
          <t>Administrator, CEO</t>
        </is>
      </c>
      <c r="G5" s="28" t="inlineStr">
        <is>
          <t>Debasish Mishra, Santosh Nayak</t>
        </is>
      </c>
      <c r="H5" s="29" t="inlineStr">
        <is>
          <t>Yes</t>
        </is>
      </c>
      <c r="I5" s="28" t="inlineStr">
        <is>
          <t>Preselected (maker-checker starts off)</t>
        </is>
      </c>
      <c r="J5" s="29" t="inlineStr">
        <is>
          <t>Yes</t>
        </is>
      </c>
      <c r="K5" s="28" t="inlineStr">
        <is>
          <t>CTC / variable % / sales target row added from its effective date, or a future row removed.</t>
        </is>
      </c>
      <c r="L5" s="28" t="inlineStr">
        <is>
          <t>STALE (rate history changed); RATE_PERIOD_LOCKED (month paid); RATE_EXISTS.</t>
        </is>
      </c>
      <c r="M5" s="28" t="inlineStr">
        <is>
          <t>/settings/cost-rates</t>
        </is>
      </c>
    </row>
    <row r="6" ht="30" customHeight="1">
      <c r="A6" s="28" t="inlineStr">
        <is>
          <t>Payroll finalisation (payroll_finalise)</t>
        </is>
      </c>
      <c r="B6" s="28" t="inlineStr">
        <is>
          <t>Locking a monthly payroll run</t>
        </is>
      </c>
      <c r="C6" s="28" t="inlineStr">
        <is>
          <t>Money</t>
        </is>
      </c>
      <c r="D6" s="28" t="inlineStr">
        <is>
          <t>payroll.finalise - Finalise payroll</t>
        </is>
      </c>
      <c r="E6" s="28" t="inlineStr">
        <is>
          <t>Administrator, CEO, HR Manager</t>
        </is>
      </c>
      <c r="F6" s="28" t="inlineStr">
        <is>
          <t>Administrator, CEO</t>
        </is>
      </c>
      <c r="G6" s="28" t="inlineStr">
        <is>
          <t>Debasish Mishra, Santosh Nayak</t>
        </is>
      </c>
      <c r="H6" s="29" t="inlineStr">
        <is>
          <t>Yes</t>
        </is>
      </c>
      <c r="I6" s="28" t="inlineStr">
        <is>
          <t>Preselected (maker-checker starts off)</t>
        </is>
      </c>
      <c r="J6" s="29" t="inlineStr">
        <is>
          <t>Yes</t>
        </is>
      </c>
      <c r="K6" s="28" t="inlineStr">
        <is>
          <t>Run recomputed one last time, lines frozen, month locked for rates and holidays.</t>
        </is>
      </c>
      <c r="L6" s="28" t="inlineStr">
        <is>
          <t>STALE (run changed after the request); PAY_FINAL (already final).</t>
        </is>
      </c>
      <c r="M6" s="28" t="inlineStr">
        <is>
          <t>/payroll/:id</t>
        </is>
      </c>
    </row>
    <row r="7" ht="30" customHeight="1">
      <c r="A7" s="28" t="inlineStr">
        <is>
          <t>Vendor bank &amp; tax details (vendor)</t>
        </is>
      </c>
      <c r="B7" s="28" t="inlineStr">
        <is>
          <t>New vendors; vendor GSTIN, PAN and bank account</t>
        </is>
      </c>
      <c r="C7" s="28" t="inlineStr">
        <is>
          <t>Money</t>
        </is>
      </c>
      <c r="D7" s="28" t="inlineStr">
        <is>
          <t>procurement.manage - Procurement</t>
        </is>
      </c>
      <c r="E7" s="28" t="inlineStr">
        <is>
          <t>Administrator, CEO, HR Manager</t>
        </is>
      </c>
      <c r="F7" s="28" t="inlineStr">
        <is>
          <t>Administrator, CEO, HR Manager</t>
        </is>
      </c>
      <c r="G7" s="28" t="inlineStr">
        <is>
          <t>Debasish Mishra, Priya Mohapatra, Santosh Nayak</t>
        </is>
      </c>
      <c r="H7" s="29" t="inlineStr">
        <is>
          <t>Yes</t>
        </is>
      </c>
      <c r="I7" s="28" t="inlineStr">
        <is>
          <t>Preselected (maker-checker starts off)</t>
        </is>
      </c>
      <c r="J7" s="29" t="inlineStr">
        <is>
          <t>Yes</t>
        </is>
      </c>
      <c r="K7" s="28" t="inlineStr">
        <is>
          <t>New vendor, or a change of GSTIN, PAN or bank details (other vendor fields apply directly).</t>
        </is>
      </c>
      <c r="L7" s="28" t="inlineStr">
        <is>
          <t>STALE; DUPLICATE_VENDOR; VAL_GSTIN / VAL_PAN.</t>
        </is>
      </c>
      <c r="M7" s="28" t="inlineStr">
        <is>
          <t>/purchases (Vendors)</t>
        </is>
      </c>
    </row>
    <row r="8" ht="30" customHeight="1">
      <c r="A8" s="28" t="inlineStr">
        <is>
          <t>Budgets (budget)</t>
        </is>
      </c>
      <c r="B8" s="28" t="inlineStr">
        <is>
          <t>Department / category budgets</t>
        </is>
      </c>
      <c r="C8" s="28" t="inlineStr">
        <is>
          <t>Money</t>
        </is>
      </c>
      <c r="D8" s="28" t="inlineStr">
        <is>
          <t>budgets.manage - Budgets</t>
        </is>
      </c>
      <c r="E8" s="28" t="inlineStr">
        <is>
          <t>Administrator, CEO</t>
        </is>
      </c>
      <c r="F8" s="28" t="inlineStr">
        <is>
          <t>Administrator, CEO</t>
        </is>
      </c>
      <c r="G8" s="28" t="inlineStr">
        <is>
          <t>Debasish Mishra, Santosh Nayak</t>
        </is>
      </c>
      <c r="H8" s="29" t="inlineStr">
        <is>
          <t>No</t>
        </is>
      </c>
      <c r="I8" s="28" t="inlineStr">
        <is>
          <t>Not preselected</t>
        </is>
      </c>
      <c r="J8" s="29" t="inlineStr">
        <is>
          <t>No</t>
        </is>
      </c>
      <c r="K8" s="28" t="inlineStr">
        <is>
          <t>Budget line set, deleted, or a year copied.</t>
        </is>
      </c>
      <c r="L8" s="28" t="inlineStr">
        <is>
          <t>STALE (budget changed meanwhile).</t>
        </is>
      </c>
      <c r="M8" s="28" t="inlineStr">
        <is>
          <t>/budgets</t>
        </is>
      </c>
    </row>
    <row r="9" ht="30" customHeight="1">
      <c r="A9" s="28" t="inlineStr">
        <is>
          <t>Approval workflows (workflow)</t>
        </is>
      </c>
      <c r="B9" s="28" t="inlineStr">
        <is>
          <t>Approval workflow steps</t>
        </is>
      </c>
      <c r="C9" s="28" t="inlineStr">
        <is>
          <t>Configuration</t>
        </is>
      </c>
      <c r="D9" s="28" t="inlineStr">
        <is>
          <t>workflows.manage - Approval workflows</t>
        </is>
      </c>
      <c r="E9" s="28" t="inlineStr">
        <is>
          <t>Administrator, CEO</t>
        </is>
      </c>
      <c r="F9" s="28" t="inlineStr">
        <is>
          <t>Administrator, CEO</t>
        </is>
      </c>
      <c r="G9" s="28" t="inlineStr">
        <is>
          <t>Debasish Mishra, Santosh Nayak</t>
        </is>
      </c>
      <c r="H9" s="29" t="inlineStr">
        <is>
          <t>Yes</t>
        </is>
      </c>
      <c r="I9" s="28" t="inlineStr">
        <is>
          <t>Preselected (maker-checker starts off)</t>
        </is>
      </c>
      <c r="J9" s="29" t="inlineStr">
        <is>
          <t>Yes</t>
        </is>
      </c>
      <c r="K9" s="28" t="inlineStr">
        <is>
          <t>New steps for the process (or reset to default); requests already waiting keep their chain.</t>
        </is>
      </c>
      <c r="L9" s="28" t="inlineStr">
        <is>
          <t>STALE (workflow edited after proposal).</t>
        </is>
      </c>
      <c r="M9" s="28" t="inlineStr">
        <is>
          <t>/setup/workflows</t>
        </is>
      </c>
    </row>
    <row r="10" ht="30" customHeight="1">
      <c r="A10" s="28" t="inlineStr">
        <is>
          <t>Organisation profile (org_profile)</t>
        </is>
      </c>
      <c r="B10" s="28" t="inlineStr">
        <is>
          <t>Legal identity, tax IDs, bank, employee code format</t>
        </is>
      </c>
      <c r="C10" s="28" t="inlineStr">
        <is>
          <t>Configuration</t>
        </is>
      </c>
      <c r="D10" s="28" t="inlineStr">
        <is>
          <t>master.edit - Edit master data</t>
        </is>
      </c>
      <c r="E10" s="28" t="inlineStr">
        <is>
          <t>Administrator, CEO, HR Manager</t>
        </is>
      </c>
      <c r="F10" s="28" t="inlineStr">
        <is>
          <t>Administrator, CEO, HR Manager</t>
        </is>
      </c>
      <c r="G10" s="28" t="inlineStr">
        <is>
          <t>Debasish Mishra, Priya Mohapatra, Santosh Nayak</t>
        </is>
      </c>
      <c r="H10" s="29" t="inlineStr">
        <is>
          <t>Yes</t>
        </is>
      </c>
      <c r="I10" s="28" t="inlineStr">
        <is>
          <t>Preselected (maker-checker starts off)</t>
        </is>
      </c>
      <c r="J10" s="29" t="inlineStr">
        <is>
          <t>Yes</t>
        </is>
      </c>
      <c r="K10" s="28" t="inlineStr">
        <is>
          <t>Organisation profile fields (legal, tax, address, bank, employee code).</t>
        </is>
      </c>
      <c r="L10" s="28" t="inlineStr">
        <is>
          <t>STALE; EMPLOYEE_CODE_TAKEN.</t>
        </is>
      </c>
      <c r="M10" s="28" t="inlineStr">
        <is>
          <t>/setup/org</t>
        </is>
      </c>
    </row>
    <row r="11" ht="30" customHeight="1">
      <c r="A11" s="28" t="inlineStr">
        <is>
          <t>Master data (departments, grades…) (master_record)</t>
        </is>
      </c>
      <c r="B11" s="28" t="inlineStr">
        <is>
          <t>Locations, departments, designations, grades, cost centres</t>
        </is>
      </c>
      <c r="C11" s="28" t="inlineStr">
        <is>
          <t>Configuration</t>
        </is>
      </c>
      <c r="D11" s="28" t="inlineStr">
        <is>
          <t>master.edit - Edit master data</t>
        </is>
      </c>
      <c r="E11" s="28" t="inlineStr">
        <is>
          <t>Administrator, CEO, HR Manager</t>
        </is>
      </c>
      <c r="F11" s="28" t="inlineStr">
        <is>
          <t>Administrator, CEO, HR Manager</t>
        </is>
      </c>
      <c r="G11" s="28" t="inlineStr">
        <is>
          <t>Debasish Mishra, Priya Mohapatra, Santosh Nayak</t>
        </is>
      </c>
      <c r="H11" s="29" t="inlineStr">
        <is>
          <t>No</t>
        </is>
      </c>
      <c r="I11" s="28" t="inlineStr">
        <is>
          <t>Not preselected</t>
        </is>
      </c>
      <c r="J11" s="29" t="inlineStr">
        <is>
          <t>No</t>
        </is>
      </c>
      <c r="K11" s="28" t="inlineStr">
        <is>
          <t>Location, department, designation, grade or cost centre created, edited, (de)activated or deleted.</t>
        </is>
      </c>
      <c r="L11" s="28" t="inlineStr">
        <is>
          <t>STALE; DUPLICATE; IN_USE; HEAD_OFFICE_REQUIRED; DEPARTMENT_CYCLE.</t>
        </is>
      </c>
      <c r="M11" s="28" t="inlineStr">
        <is>
          <t>/setup/locations ... /setup/cost-centres</t>
        </is>
      </c>
    </row>
    <row r="12" ht="30" customHeight="1">
      <c r="A12" s="28" t="inlineStr">
        <is>
          <t>Shifts (shift)</t>
        </is>
      </c>
      <c r="B12" s="28" t="inlineStr">
        <is>
          <t>Shifts and shift assignment</t>
        </is>
      </c>
      <c r="C12" s="28" t="inlineStr">
        <is>
          <t>Configuration</t>
        </is>
      </c>
      <c r="D12" s="28" t="inlineStr">
        <is>
          <t>shifts.manage - Shifts</t>
        </is>
      </c>
      <c r="E12" s="28" t="inlineStr">
        <is>
          <t>Administrator, CEO, HR Manager</t>
        </is>
      </c>
      <c r="F12" s="28" t="inlineStr">
        <is>
          <t>Administrator, CEO, HR Manager</t>
        </is>
      </c>
      <c r="G12" s="28" t="inlineStr">
        <is>
          <t>Debasish Mishra, Priya Mohapatra, Santosh Nayak</t>
        </is>
      </c>
      <c r="H12" s="29" t="inlineStr">
        <is>
          <t>No</t>
        </is>
      </c>
      <c r="I12" s="28" t="inlineStr">
        <is>
          <t>Not preselected</t>
        </is>
      </c>
      <c r="J12" s="29" t="inlineStr">
        <is>
          <t>No</t>
        </is>
      </c>
      <c r="K12" s="28" t="inlineStr">
        <is>
          <t>Shift created / edited / deleted, or people moved to a shift.</t>
        </is>
      </c>
      <c r="L12" s="28" t="inlineStr">
        <is>
          <t>STALE; INACTIVE shift; DEFAULT_SHIFT_REQUIRED; person deactivated meanwhile.</t>
        </is>
      </c>
      <c r="M12" s="28" t="inlineStr">
        <is>
          <t>/setup/shifts</t>
        </is>
      </c>
    </row>
    <row r="13" ht="30" customHeight="1">
      <c r="A13" s="28" t="inlineStr">
        <is>
          <t>Company settings (settings)</t>
        </is>
      </c>
      <c r="B13" s="28" t="inlineStr">
        <is>
          <t>Company rules (calendar, SLA, pay rules)</t>
        </is>
      </c>
      <c r="C13" s="28" t="inlineStr">
        <is>
          <t>Configuration</t>
        </is>
      </c>
      <c r="D13" s="28" t="inlineStr">
        <is>
          <t>settings.edit - Company settings</t>
        </is>
      </c>
      <c r="E13" s="28" t="inlineStr">
        <is>
          <t>Administrator, CEO</t>
        </is>
      </c>
      <c r="F13" s="28" t="inlineStr">
        <is>
          <t>Administrator, CEO</t>
        </is>
      </c>
      <c r="G13" s="28" t="inlineStr">
        <is>
          <t>Debasish Mishra, Santosh Nayak</t>
        </is>
      </c>
      <c r="H13" s="29" t="inlineStr">
        <is>
          <t>No</t>
        </is>
      </c>
      <c r="I13" s="28" t="inlineStr">
        <is>
          <t>Not preselected</t>
        </is>
      </c>
      <c r="J13" s="29" t="inlineStr">
        <is>
          <t>No</t>
        </is>
      </c>
      <c r="K13" s="28" t="inlineStr">
        <is>
          <t>Company settings (listed in the maker-checker configuration).</t>
        </is>
      </c>
      <c r="L13" s="28" t="inlineStr">
        <is>
          <t>Not wired in this build: company settings save directly even when this type is ticked.</t>
        </is>
      </c>
      <c r="M13" s="28" t="inlineStr">
        <is>
          <t>/settings/company</t>
        </is>
      </c>
    </row>
    <row r="14" ht="43" customHeight="1">
      <c r="A14" s="28" t="inlineStr">
        <is>
          <t>Maker-checker settings (makerchecker_config)</t>
        </is>
      </c>
      <c r="B14" s="28" t="inlineStr">
        <is>
          <t>Maker-checker itself</t>
        </is>
      </c>
      <c r="C14" s="28" t="inlineStr">
        <is>
          <t>Configuration</t>
        </is>
      </c>
      <c r="D14" s="28" t="inlineStr">
        <is>
          <t>makerchecker.configure - Configure maker-checker</t>
        </is>
      </c>
      <c r="E14" s="28" t="inlineStr">
        <is>
          <t>Administrator, CEO</t>
        </is>
      </c>
      <c r="F14" s="28" t="inlineStr">
        <is>
          <t>Administrator, CEO</t>
        </is>
      </c>
      <c r="G14" s="28" t="inlineStr">
        <is>
          <t>Debasish Mishra, Santosh Nayak</t>
        </is>
      </c>
      <c r="H14" s="29" t="inlineStr">
        <is>
          <t>Yes (always while maker-checker is on)</t>
        </is>
      </c>
      <c r="I14" s="28" t="inlineStr">
        <is>
          <t>Always checked once enabled</t>
        </is>
      </c>
      <c r="J14" s="29" t="inlineStr">
        <is>
          <t>Yes</t>
        </is>
      </c>
      <c r="K14" s="28" t="inlineStr">
        <is>
          <t>Maker-checker on / off, checked change types and SLA.</t>
        </is>
      </c>
      <c r="L14" s="28" t="inlineStr">
        <is>
          <t>NO_CHECKER (no other person with Check changes).</t>
        </is>
      </c>
      <c r="M14" s="28" t="inlineStr">
        <is>
          <t>/setup/maker-checker</t>
        </is>
      </c>
    </row>
    <row r="17" ht="20" customHeight="1">
      <c r="A17" s="4" t="inlineStr">
        <is>
          <t>Integrity rules</t>
        </is>
      </c>
      <c r="B17" s="35" t="n"/>
      <c r="C17" s="35" t="n"/>
      <c r="D17" s="35" t="n"/>
    </row>
    <row r="18" ht="30" customHeight="1">
      <c r="A18" s="27" t="inlineStr">
        <is>
          <t>#</t>
        </is>
      </c>
      <c r="B18" s="25" t="inlineStr">
        <is>
          <t>Integrity rule</t>
        </is>
      </c>
      <c r="C18" s="25" t="inlineStr">
        <is>
          <t>Error / warning code</t>
        </is>
      </c>
      <c r="D18" s="25" t="inlineStr">
        <is>
          <t>Where enforced</t>
        </is>
      </c>
    </row>
    <row r="19" ht="30" customHeight="1">
      <c r="A19" s="29" t="n">
        <v>1</v>
      </c>
      <c r="B19" s="28" t="inlineStr">
        <is>
          <t>The maker can never check their own change.</t>
        </is>
      </c>
      <c r="C19" s="28" t="inlineStr">
        <is>
          <t>MAKER_CANNOT_CHECK (409)</t>
        </is>
      </c>
      <c r="D19" s="28" t="inlineStr">
        <is>
          <t>Changes &gt; approve / reject</t>
        </is>
      </c>
    </row>
    <row r="20" ht="56" customHeight="1">
      <c r="A20" s="29" t="n">
        <v>2</v>
      </c>
      <c r="B20" s="28" t="inlineStr">
        <is>
          <t>A checker needs "Check changes" (makerchecker.check) AND the change's required permission - you can only check what you could have done.</t>
        </is>
      </c>
      <c r="C20" s="28" t="inlineStr">
        <is>
          <t>FORBIDDEN (403)</t>
        </is>
      </c>
      <c r="D20" s="28" t="inlineStr">
        <is>
          <t>Changes &gt; approve / reject; can_check flag</t>
        </is>
      </c>
    </row>
    <row r="21" ht="30" customHeight="1">
      <c r="A21" s="29" t="n">
        <v>3</v>
      </c>
      <c r="B21" s="28" t="inlineStr">
        <is>
          <t>Only one pending change per record; withdraw or decide it first.</t>
        </is>
      </c>
      <c r="C21" s="28" t="inlineStr">
        <is>
          <t>CHANGE_PENDING (409)</t>
        </is>
      </c>
      <c r="D21" s="28" t="inlineStr">
        <is>
          <t>Every guarded write (propose)</t>
        </is>
      </c>
    </row>
    <row r="22" ht="56" customHeight="1">
      <c r="A22" s="29" t="n">
        <v>4</v>
      </c>
      <c r="B22" s="28" t="inlineStr">
        <is>
          <t>A record that changed after the proposal is not overwritten: approval fails and the change is marked failed; the maker is told.</t>
        </is>
      </c>
      <c r="C22" s="28" t="inlineStr">
        <is>
          <t>STALE (409) -&gt; status failed, NTF-05</t>
        </is>
      </c>
      <c r="D22" s="28" t="inlineStr">
        <is>
          <t>Appliers (base_version check)</t>
        </is>
      </c>
    </row>
    <row r="23" ht="30" customHeight="1">
      <c r="A23" s="29" t="n">
        <v>5</v>
      </c>
      <c r="B23" s="28" t="inlineStr">
        <is>
          <t>Rejection needs a reason of at least 10 characters.</t>
        </is>
      </c>
      <c r="C23" s="28" t="inlineStr">
        <is>
          <t>REASON_REQUIRED (422)</t>
        </is>
      </c>
      <c r="D23" s="28" t="inlineStr">
        <is>
          <t>Changes &gt; reject</t>
        </is>
      </c>
    </row>
    <row r="24" ht="56" customHeight="1">
      <c r="A24" s="29" t="n">
        <v>6</v>
      </c>
      <c r="B24" s="28" t="inlineStr">
        <is>
          <t>If nobody other than the maker is eligible to check, the change is refused - never silently self-approved.</t>
        </is>
      </c>
      <c r="C24" s="28" t="inlineStr">
        <is>
          <t>NO_CHECKER (409); NO_CHECKER_FOR warning in settings</t>
        </is>
      </c>
      <c r="D24" s="28" t="inlineStr">
        <is>
          <t>propose(); maker-checker settings</t>
        </is>
      </c>
    </row>
    <row r="25" ht="69" customHeight="1">
      <c r="A25" s="29" t="n">
        <v>7</v>
      </c>
      <c r="B25" s="28" t="inlineStr">
        <is>
          <t>Maker-checker cannot be switched on unless at least one other person has Check changes; the settings themselves are always checked while it is on.</t>
        </is>
      </c>
      <c r="C25" s="28" t="inlineStr">
        <is>
          <t>NO_CHECKER (409)</t>
        </is>
      </c>
      <c r="D25" s="28" t="inlineStr">
        <is>
          <t>Setup &gt; Maker-checker</t>
        </is>
      </c>
    </row>
    <row r="26" ht="56" customHeight="1">
      <c r="A26" s="29" t="n">
        <v>8</v>
      </c>
      <c r="B26" s="28" t="inlineStr">
        <is>
          <t>The Administrator role always keeps roles.view, roles.manage, users.view, users.manage and the leadership home.</t>
        </is>
      </c>
      <c r="C26" s="28" t="inlineStr">
        <is>
          <t>ROLE_LOCKED (409)</t>
        </is>
      </c>
      <c r="D26" s="28" t="inlineStr">
        <is>
          <t>Role edits</t>
        </is>
      </c>
    </row>
    <row r="27" ht="43" customHeight="1">
      <c r="A27" s="29" t="n">
        <v>9</v>
      </c>
      <c r="B27" s="28" t="inlineStr">
        <is>
          <t>At least one active person must always keep both "Manage roles" and "Manage user access".</t>
        </is>
      </c>
      <c r="C27" s="28" t="inlineStr">
        <is>
          <t>LOCKOUT (409)</t>
        </is>
      </c>
      <c r="D27" s="28" t="inlineStr">
        <is>
          <t>Role edits, user access changes, deactivation</t>
        </is>
      </c>
    </row>
    <row r="28" ht="69" customHeight="1">
      <c r="A28" s="29" t="n">
        <v>10</v>
      </c>
      <c r="B28" s="28" t="inlineStr">
        <is>
          <t>Nobody can grant a permission they do not hold; only users.manage holders can give a role that manages roles or users, or deactivate an access administrator.</t>
        </is>
      </c>
      <c r="C28" s="28" t="inlineStr">
        <is>
          <t>PERMISSION_ESCALATION (403)</t>
        </is>
      </c>
      <c r="D28" s="28" t="inlineStr">
        <is>
          <t>Create employee, user access, deactivate</t>
        </is>
      </c>
    </row>
    <row r="29" ht="43" customHeight="1">
      <c r="A29" s="29" t="n">
        <v>11</v>
      </c>
      <c r="B29" s="28" t="inlineStr">
        <is>
          <t>Built-in roles cannot be deleted or deactivated; roles in use cannot be deactivated or deleted.</t>
        </is>
      </c>
      <c r="C29" s="28" t="inlineStr">
        <is>
          <t>ROLE_SYSTEM / ROLE_IN_USE (409)</t>
        </is>
      </c>
      <c r="D29" s="28" t="inlineStr">
        <is>
          <t>Role edits</t>
        </is>
      </c>
    </row>
    <row r="30" ht="95" customHeight="1">
      <c r="A30" s="29" t="n">
        <v>12</v>
      </c>
      <c r="B30" s="28" t="inlineStr">
        <is>
          <t>In the Seereon workspace these need a checker: roles &amp; permissions, user access, salaries &amp; cost rates, approval workflows, payroll finalisation, vendor bank &amp; tax details, organisation profile (and maker-checker settings).</t>
        </is>
      </c>
      <c r="C30" s="28" t="inlineStr">
        <is>
          <t>Tenant config maker_checker</t>
        </is>
      </c>
      <c r="D30" s="28" t="inlineStr">
        <is>
          <t>Seed: seeds/access.ts</t>
        </is>
      </c>
    </row>
    <row r="31" ht="30" customHeight="1">
      <c r="A31" s="29" t="n">
        <v>13</v>
      </c>
      <c r="B31" s="28" t="inlineStr">
        <is>
          <t>View-as sessions are read-only and cannot check changes.</t>
        </is>
      </c>
      <c r="C31" s="28" t="inlineStr">
        <is>
          <t>VIEW_AS_READ_ONLY (403)</t>
        </is>
      </c>
      <c r="D31" s="28" t="inlineStr">
        <is>
          <t>Server, every write</t>
        </is>
      </c>
    </row>
    <row r="32" ht="43" customHeight="1">
      <c r="A32" s="29" t="n">
        <v>14</v>
      </c>
      <c r="B32" s="28" t="inlineStr">
        <is>
          <t>Changes waiting longer than the SLA (default 2 working days, 1-10) are flagged overdue.</t>
        </is>
      </c>
      <c r="C32" s="28" t="inlineStr">
        <is>
          <t>-</t>
        </is>
      </c>
      <c r="D32" s="28" t="inlineStr">
        <is>
          <t>Changes &gt; To check</t>
        </is>
      </c>
    </row>
    <row r="34">
      <c r="A34" s="20" t="inlineStr">
        <is>
          <t>Maker-checker SLA in Seereon: 2 working days. Seereon checks: Roles &amp; permissions, User access (role, extra permissions), Salaries &amp; cost rates, Approval workflows, Payroll finalisation, Vendor bank &amp; tax details, Organisation profile. New tenants: maker-checker off, preselected: Roles &amp; permissions, User access (role, extra permissions), Salaries &amp; cost rates, Approval workflows, Payroll finalisation, Vendor bank &amp; tax details, Organisation profile.</t>
        </is>
      </c>
    </row>
  </sheetData>
  <autoFilter ref="A1:M14"/>
  <printOptions gridLines="0"/>
  <pageMargins left="0.4" right="0.4" top="1" bottom="1" header="0.5" footer="0.5"/>
  <pageSetup orientation="landscape" paperSize="9" fitToHeight="0" fitToWidth="1"/>
  <headerFooter>
    <oddHeader/>
    <oddFooter>&amp;C&amp;8SeereonOS Business Process Catalogue v4 - page &amp;P of &amp;N</oddFooter>
    <evenHeader/>
    <evenFooter/>
    <firstHeader/>
    <firstFooter/>
  </headerFooter>
</worksheet>
</file>

<file path=xl/worksheets/sheet6.xml><?xml version="1.0" encoding="utf-8"?>
<worksheet xmlns="http://schemas.openxmlformats.org/spreadsheetml/2006/main">
  <sheetPr>
    <tabColor rgb="000C6B4E"/>
    <outlinePr summaryBelow="1" summaryRight="1"/>
    <pageSetUpPr fitToPage="1"/>
  </sheetPr>
  <dimension ref="A1:M3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34" customWidth="1" min="2" max="2"/>
    <col width="6" customWidth="1" min="3" max="3"/>
    <col width="22" customWidth="1" min="4" max="4"/>
    <col width="22" customWidth="1" min="5" max="5"/>
    <col width="14" customWidth="1" min="6" max="6"/>
    <col width="16" customWidth="1" min="7" max="7"/>
    <col width="10" customWidth="1" min="8" max="8"/>
    <col width="16" customWidth="1" min="9" max="9"/>
    <col width="40" customWidth="1" min="10" max="10"/>
    <col width="44" customWidth="1" min="11" max="11"/>
    <col width="50" customWidth="1" min="12" max="12"/>
    <col width="22" customWidth="1" min="13" max="13"/>
  </cols>
  <sheetData>
    <row r="1" ht="30" customHeight="1">
      <c r="A1" s="25" t="inlineStr">
        <is>
          <t>Process</t>
        </is>
      </c>
      <c r="B1" s="25" t="inlineStr">
        <is>
          <t>Workflow (default)</t>
        </is>
      </c>
      <c r="C1" s="27" t="inlineStr">
        <is>
          <t>Step</t>
        </is>
      </c>
      <c r="D1" s="25" t="inlineStr">
        <is>
          <t>Step name</t>
        </is>
      </c>
      <c r="E1" s="25" t="inlineStr">
        <is>
          <t>Approver type</t>
        </is>
      </c>
      <c r="F1" s="25" t="inlineStr">
        <is>
          <t>Role / person</t>
        </is>
      </c>
      <c r="G1" s="25" t="inlineStr">
        <is>
          <t>Amount threshold</t>
        </is>
      </c>
      <c r="H1" s="27" t="inlineStr">
        <is>
          <t>SLA (working days)</t>
        </is>
      </c>
      <c r="I1" s="25" t="inlineStr">
        <is>
          <t>Escalation</t>
        </is>
      </c>
      <c r="J1" s="25" t="inlineStr">
        <is>
          <t>v3 behaviour it reproduces</t>
        </is>
      </c>
      <c r="K1" s="25" t="inlineStr">
        <is>
          <t>What an admin can configure</t>
        </is>
      </c>
      <c r="L1" s="25" t="inlineStr">
        <is>
          <t>Example chain (demo request)</t>
        </is>
      </c>
      <c r="M1" s="25" t="inlineStr">
        <is>
          <t>Screens</t>
        </is>
      </c>
    </row>
    <row r="2" ht="69" customHeight="1">
      <c r="A2" s="28" t="inlineStr">
        <is>
          <t>Leave requests</t>
        </is>
      </c>
      <c r="B2" s="28" t="inlineStr">
        <is>
          <t>Leave approval: The reporting manager (or their delegate) decides leave.</t>
        </is>
      </c>
      <c r="C2" s="29" t="n">
        <v>1</v>
      </c>
      <c r="D2" s="28" t="inlineStr">
        <is>
          <t>Manager approval</t>
        </is>
      </c>
      <c r="E2" s="28" t="inlineStr">
        <is>
          <t>Reporting manager</t>
        </is>
      </c>
      <c r="F2" s="28" t="inlineStr">
        <is>
          <t>-</t>
        </is>
      </c>
      <c r="G2" s="28" t="inlineStr">
        <is>
          <t>-</t>
        </is>
      </c>
      <c r="H2" s="29" t="n">
        <v>2</v>
      </c>
      <c r="I2" s="28" t="inlineStr">
        <is>
          <t>None by default (configurable)</t>
        </is>
      </c>
      <c r="J2" s="28" t="inlineStr">
        <is>
          <t>Reporting manager (or active delegate) decides; top person's own leave auto-approved (APR-04).</t>
        </is>
      </c>
      <c r="K2" s="28" t="inlineStr">
        <is>
          <t>1-5 steps; per step: name, approver type, role or person, SLA 1-15 working days, escalation target, allow self-approval; reject-reason required; notify requester; reset to default; test with a sample request.</t>
        </is>
      </c>
      <c r="L2" s="28" t="inlineStr">
        <is>
          <t>Hritesh Panda (Employee) applies for leave: Manager approval: Subhankar Rout (Delivery Head, SLA 2d)</t>
        </is>
      </c>
      <c r="M2" s="28" t="inlineStr">
        <is>
          <t>/leave, /inbox</t>
        </is>
      </c>
    </row>
    <row r="3" ht="82" customHeight="1">
      <c r="A3" s="28" t="inlineStr">
        <is>
          <t>Expense claims</t>
        </is>
      </c>
      <c r="B3" s="28" t="inlineStr">
        <is>
          <t>Expense claim approval: Project manager (or reporting manager) approves; claims above ₹25,000 also need the CEO.</t>
        </is>
      </c>
      <c r="C3" s="29" t="n">
        <v>1</v>
      </c>
      <c r="D3" s="28" t="inlineStr">
        <is>
          <t>Manager / PM approval</t>
        </is>
      </c>
      <c r="E3" s="28" t="inlineStr">
        <is>
          <t>Project manager, else reporting manager</t>
        </is>
      </c>
      <c r="F3" s="28" t="inlineStr">
        <is>
          <t>-</t>
        </is>
      </c>
      <c r="G3" s="28" t="inlineStr">
        <is>
          <t>-</t>
        </is>
      </c>
      <c r="H3" s="29" t="n">
        <v>2</v>
      </c>
      <c r="I3" s="28" t="inlineStr">
        <is>
          <t>None by default (configurable)</t>
        </is>
      </c>
      <c r="J3" s="28" t="inlineStr">
        <is>
          <t>Project PM if the claim is on a project and PM is not the claimant, else reporting manager; above Rs 25,000 the CEO approves as a second step (APR-05, APR-06).</t>
        </is>
      </c>
      <c r="K3" s="28" t="inlineStr">
        <is>
          <t>1-5 steps; per step: name, approver type, role or person, SLA 1-15 working days, escalation target, allow self-approval; reject-reason required; notify requester; reset to default; test with a sample request. Amount thresholds (rising per step). Project approvers allowed.</t>
        </is>
      </c>
      <c r="L3" s="28" t="inlineStr">
        <is>
          <t>Hritesh Panda claims Rs 30,000 on a project: Manager / PM approval: Subhankar Rout (Delivery Head, SLA 2d) &gt; CEO approval above ₹25,000: Santosh Nayak (Founder &amp; CEO, SLA 2d)</t>
        </is>
      </c>
      <c r="M3" s="28" t="inlineStr">
        <is>
          <t>/expenses, /inbox</t>
        </is>
      </c>
    </row>
    <row r="4" ht="43" customHeight="1">
      <c r="A4" s="28" t="inlineStr">
        <is>
          <t>Expense claims</t>
        </is>
      </c>
      <c r="B4" s="28" t="inlineStr">
        <is>
          <t>Expense claim approval: Project manager (or reporting manager) approves; claims above ₹25,000 also need the CEO.</t>
        </is>
      </c>
      <c r="C4" s="29" t="n">
        <v>2</v>
      </c>
      <c r="D4" s="28" t="inlineStr">
        <is>
          <t>CEO approval above ₹25,000</t>
        </is>
      </c>
      <c r="E4" s="28" t="inlineStr">
        <is>
          <t>Anyone with a role</t>
        </is>
      </c>
      <c r="F4" s="28" t="inlineStr">
        <is>
          <t>CEO</t>
        </is>
      </c>
      <c r="G4" s="28" t="inlineStr">
        <is>
          <t>Above Rs 25,000</t>
        </is>
      </c>
      <c r="H4" s="29" t="n">
        <v>2</v>
      </c>
      <c r="I4" s="28" t="inlineStr">
        <is>
          <t>None by default (configurable)</t>
        </is>
      </c>
      <c r="J4" s="28" t="inlineStr">
        <is>
          <t>(same workflow)</t>
        </is>
      </c>
      <c r="K4" s="28" t="inlineStr">
        <is>
          <t>(same workflow)</t>
        </is>
      </c>
      <c r="L4" s="28" t="inlineStr">
        <is>
          <t>(see step 1)</t>
        </is>
      </c>
      <c r="M4" s="28" t="inlineStr">
        <is>
          <t>/expenses, /inbox</t>
        </is>
      </c>
    </row>
    <row r="5" ht="82" customHeight="1">
      <c r="A5" s="28" t="inlineStr">
        <is>
          <t>Purchase orders</t>
        </is>
      </c>
      <c r="B5" s="28" t="inlineStr">
        <is>
          <t>Purchase order approval: Every purchase order is approved by the CEO before it is issued.</t>
        </is>
      </c>
      <c r="C5" s="29" t="n">
        <v>1</v>
      </c>
      <c r="D5" s="28" t="inlineStr">
        <is>
          <t>CEO approval</t>
        </is>
      </c>
      <c r="E5" s="28" t="inlineStr">
        <is>
          <t>Anyone with a role</t>
        </is>
      </c>
      <c r="F5" s="28" t="inlineStr">
        <is>
          <t>CEO</t>
        </is>
      </c>
      <c r="G5" s="28" t="inlineStr">
        <is>
          <t>-</t>
        </is>
      </c>
      <c r="H5" s="29" t="n">
        <v>2</v>
      </c>
      <c r="I5" s="28" t="inlineStr">
        <is>
          <t>None by default (configurable)</t>
        </is>
      </c>
      <c r="J5" s="28" t="inlineStr">
        <is>
          <t>Every PO approved by the CEO (APR-08).</t>
        </is>
      </c>
      <c r="K5" s="28" t="inlineStr">
        <is>
          <t>1-5 steps; per step: name, approver type, role or person, SLA 1-15 working days, escalation target, allow self-approval; reject-reason required; notify requester; reset to default; test with a sample request. Amount thresholds (rising per step). Project approvers allowed.</t>
        </is>
      </c>
      <c r="L5" s="28" t="inlineStr">
        <is>
          <t>Priya Mohapatra (HR Manager) raises a PO for Rs 1,50,000: CEO approval: Santosh Nayak (Founder &amp; CEO, SLA 2d)</t>
        </is>
      </c>
      <c r="M5" s="28" t="inlineStr">
        <is>
          <t>/purchases, /inbox</t>
        </is>
      </c>
    </row>
    <row r="6" ht="69" customHeight="1">
      <c r="A6" s="28" t="inlineStr">
        <is>
          <t>Vendor bills</t>
        </is>
      </c>
      <c r="B6" s="28" t="inlineStr">
        <is>
          <t>Vendor bill approval: The CEO approves vendor bills for payment.</t>
        </is>
      </c>
      <c r="C6" s="29" t="n">
        <v>1</v>
      </c>
      <c r="D6" s="28" t="inlineStr">
        <is>
          <t>CEO approval</t>
        </is>
      </c>
      <c r="E6" s="28" t="inlineStr">
        <is>
          <t>Anyone with a role</t>
        </is>
      </c>
      <c r="F6" s="28" t="inlineStr">
        <is>
          <t>CEO</t>
        </is>
      </c>
      <c r="G6" s="28" t="inlineStr">
        <is>
          <t>-</t>
        </is>
      </c>
      <c r="H6" s="29" t="n">
        <v>2</v>
      </c>
      <c r="I6" s="28" t="inlineStr">
        <is>
          <t>None by default (configurable)</t>
        </is>
      </c>
      <c r="J6" s="28" t="inlineStr">
        <is>
          <t>Vendor bills approved by the CEO for payment (APR-09).</t>
        </is>
      </c>
      <c r="K6" s="28" t="inlineStr">
        <is>
          <t>1-5 steps; per step: name, approver type, role or person, SLA 1-15 working days, escalation target, allow self-approval; reject-reason required; notify requester; reset to default; test with a sample request. Amount thresholds (rising per step).</t>
        </is>
      </c>
      <c r="L6" s="28" t="inlineStr">
        <is>
          <t>Priya Mohapatra books a vendor bill of Rs 80,000: CEO approval: Santosh Nayak (Founder &amp; CEO, SLA 2d)</t>
        </is>
      </c>
      <c r="M6" s="28" t="inlineStr">
        <is>
          <t>/purchases, /inbox</t>
        </is>
      </c>
    </row>
    <row r="7" ht="69" customHeight="1">
      <c r="A7" s="28" t="inlineStr">
        <is>
          <t>Weekly timesheets</t>
        </is>
      </c>
      <c r="B7" s="28" t="inlineStr">
        <is>
          <t>Timesheet approval: Weekly timesheets are approved by the reporting manager.</t>
        </is>
      </c>
      <c r="C7" s="29" t="n">
        <v>1</v>
      </c>
      <c r="D7" s="28" t="inlineStr">
        <is>
          <t>Manager approval</t>
        </is>
      </c>
      <c r="E7" s="28" t="inlineStr">
        <is>
          <t>Reporting manager</t>
        </is>
      </c>
      <c r="F7" s="28" t="inlineStr">
        <is>
          <t>-</t>
        </is>
      </c>
      <c r="G7" s="28" t="inlineStr">
        <is>
          <t>-</t>
        </is>
      </c>
      <c r="H7" s="29" t="n">
        <v>2</v>
      </c>
      <c r="I7" s="28" t="inlineStr">
        <is>
          <t>None by default (configurable)</t>
        </is>
      </c>
      <c r="J7" s="28" t="inlineStr">
        <is>
          <t>Reporting manager approves the week; top person auto-approved (APR-01).</t>
        </is>
      </c>
      <c r="K7" s="28" t="inlineStr">
        <is>
          <t>1-5 steps; per step: name, approver type, role or person, SLA 1-15 working days, escalation target, allow self-approval; reject-reason required; notify requester; reset to default; test with a sample request.</t>
        </is>
      </c>
      <c r="L7" s="28" t="inlineStr">
        <is>
          <t>Hritesh Panda submits his week: Manager approval: Subhankar Rout (Delivery Head, SLA 2d)</t>
        </is>
      </c>
      <c r="M7" s="28" t="inlineStr">
        <is>
          <t>/timesheet, /approvals, /inbox</t>
        </is>
      </c>
    </row>
    <row r="8" ht="82" customHeight="1">
      <c r="A8" s="28" t="inlineStr">
        <is>
          <t>Task completion review</t>
        </is>
      </c>
      <c r="B8" s="28" t="inlineStr">
        <is>
          <t>Task review: Submitted tasks are reviewed by the task reviewer (PM, or the assigning manager).</t>
        </is>
      </c>
      <c r="C8" s="29" t="n">
        <v>1</v>
      </c>
      <c r="D8" s="28" t="inlineStr">
        <is>
          <t>Reviewer approval</t>
        </is>
      </c>
      <c r="E8" s="28" t="inlineStr">
        <is>
          <t>Task reviewer (set on the task)</t>
        </is>
      </c>
      <c r="F8" s="28" t="inlineStr">
        <is>
          <t>-</t>
        </is>
      </c>
      <c r="G8" s="28" t="inlineStr">
        <is>
          <t>-</t>
        </is>
      </c>
      <c r="H8" s="29" t="n">
        <v>2</v>
      </c>
      <c r="I8" s="28" t="inlineStr">
        <is>
          <t>None by default (configurable)</t>
        </is>
      </c>
      <c r="J8" s="28" t="inlineStr">
        <is>
          <t>Task reviewer &gt; project PM &gt; assigner / owner's manager; never self (APR-03).</t>
        </is>
      </c>
      <c r="K8" s="28" t="inlineStr">
        <is>
          <t>1-5 steps; per step: name, approver type, role or person, SLA 1-15 working days, escalation target, allow self-approval; reject-reason required; notify requester; reset to default; test with a sample request. "Task reviewer" approver and project approvers allowed.</t>
        </is>
      </c>
      <c r="L8" s="28" t="inlineStr">
        <is>
          <t>Hritesh Panda submits a task for review: Reviewer approval: Subhankar Rout (Delivery Head, SLA 2d)</t>
        </is>
      </c>
      <c r="M8" s="28" t="inlineStr">
        <is>
          <t>Task drawer, /team-tasks?tab=review, /inbox</t>
        </is>
      </c>
    </row>
    <row r="11" ht="20" customHeight="1">
      <c r="A11" s="4" t="inlineStr">
        <is>
          <t>Approver types</t>
        </is>
      </c>
      <c r="B11" s="35" t="n"/>
      <c r="C11" s="35" t="n"/>
      <c r="D11" s="35" t="n"/>
    </row>
    <row r="12" ht="30" customHeight="1">
      <c r="A12" s="25" t="inlineStr">
        <is>
          <t>Approver type</t>
        </is>
      </c>
      <c r="B12" s="25" t="inlineStr">
        <is>
          <t>Key</t>
        </is>
      </c>
      <c r="C12" s="25" t="inlineStr">
        <is>
          <t>Resolves to</t>
        </is>
      </c>
      <c r="D12" s="25" t="inlineStr">
        <is>
          <t>Allowed for</t>
        </is>
      </c>
    </row>
    <row r="13" ht="108" customHeight="1">
      <c r="A13" s="28" t="inlineStr">
        <is>
          <t>Reporting manager</t>
        </is>
      </c>
      <c r="B13" s="28" t="inlineStr">
        <is>
          <t>reports_to</t>
        </is>
      </c>
      <c r="C13" s="28" t="inlineStr">
        <is>
          <t>The requester's reporting manager (if active)</t>
        </is>
      </c>
      <c r="D13" s="28" t="inlineStr">
        <is>
          <t>All processes</t>
        </is>
      </c>
    </row>
    <row r="14" ht="82" customHeight="1">
      <c r="A14" s="28" t="inlineStr">
        <is>
          <t>Manager’s manager</t>
        </is>
      </c>
      <c r="B14" s="28" t="inlineStr">
        <is>
          <t>skip_level</t>
        </is>
      </c>
      <c r="C14" s="28" t="inlineStr">
        <is>
          <t>The reporting manager's manager</t>
        </is>
      </c>
      <c r="D14" s="28" t="inlineStr">
        <is>
          <t>All processes</t>
        </is>
      </c>
    </row>
    <row r="15" ht="186" customHeight="1">
      <c r="A15" s="28" t="inlineStr">
        <is>
          <t>Anyone with a role</t>
        </is>
      </c>
      <c r="B15" s="28" t="inlineStr">
        <is>
          <t>role</t>
        </is>
      </c>
      <c r="C15" s="28" t="inlineStr">
        <is>
          <t>First active holder of the chosen role (earliest joiner), other than the requester</t>
        </is>
      </c>
      <c r="D15" s="28" t="inlineStr">
        <is>
          <t>All processes</t>
        </is>
      </c>
    </row>
    <row r="16" ht="56" customHeight="1">
      <c r="A16" s="28" t="inlineStr">
        <is>
          <t>A specific person</t>
        </is>
      </c>
      <c r="B16" s="28" t="inlineStr">
        <is>
          <t>user</t>
        </is>
      </c>
      <c r="C16" s="28" t="inlineStr">
        <is>
          <t>A named active person</t>
        </is>
      </c>
      <c r="D16" s="28" t="inlineStr">
        <is>
          <t>All processes</t>
        </is>
      </c>
    </row>
    <row r="17" ht="69" customHeight="1">
      <c r="A17" s="28" t="inlineStr">
        <is>
          <t>Project manager of the project</t>
        </is>
      </c>
      <c r="B17" s="28" t="inlineStr">
        <is>
          <t>project_pm</t>
        </is>
      </c>
      <c r="C17" s="28" t="inlineStr">
        <is>
          <t>PM of the request's project</t>
        </is>
      </c>
      <c r="D17" s="28" t="inlineStr">
        <is>
          <t>Expense claims, purchase orders, task reviews</t>
        </is>
      </c>
    </row>
    <row r="18" ht="147" customHeight="1">
      <c r="A18" s="28" t="inlineStr">
        <is>
          <t>Project manager, else reporting manager</t>
        </is>
      </c>
      <c r="B18" s="28" t="inlineStr">
        <is>
          <t>project_pm_or_manager</t>
        </is>
      </c>
      <c r="C18" s="28" t="inlineStr">
        <is>
          <t>Project PM unless they are the requester, else reporting manager</t>
        </is>
      </c>
      <c r="D18" s="28" t="inlineStr">
        <is>
          <t>Expense claims, purchase orders, task reviews</t>
        </is>
      </c>
    </row>
    <row r="19" ht="134" customHeight="1">
      <c r="A19" s="28" t="inlineStr">
        <is>
          <t>Head of the requester’s department</t>
        </is>
      </c>
      <c r="B19" s="28" t="inlineStr">
        <is>
          <t>department_head</t>
        </is>
      </c>
      <c r="C19" s="28" t="inlineStr">
        <is>
          <t>Head of the requester's department, else reporting manager</t>
        </is>
      </c>
      <c r="D19" s="28" t="inlineStr">
        <is>
          <t>All processes</t>
        </is>
      </c>
    </row>
    <row r="20" ht="56" customHeight="1">
      <c r="A20" s="28" t="inlineStr">
        <is>
          <t>Task reviewer (set on the task)</t>
        </is>
      </c>
      <c r="B20" s="28" t="inlineStr">
        <is>
          <t>task_reviewer</t>
        </is>
      </c>
      <c r="C20" s="28" t="inlineStr">
        <is>
          <t>Reviewer set on the task</t>
        </is>
      </c>
      <c r="D20" s="28" t="inlineStr">
        <is>
          <t>Task completion review only; not as an escalation target</t>
        </is>
      </c>
    </row>
    <row r="23" ht="20" customHeight="1">
      <c r="A23" s="4" t="inlineStr">
        <is>
          <t>Routing and configuration rules</t>
        </is>
      </c>
      <c r="B23" s="35" t="n"/>
      <c r="C23" s="35" t="n"/>
    </row>
    <row r="24" ht="30" customHeight="1">
      <c r="A24" s="27" t="inlineStr">
        <is>
          <t>#</t>
        </is>
      </c>
      <c r="B24" s="25" t="inlineStr">
        <is>
          <t>Routing / configuration rule</t>
        </is>
      </c>
      <c r="C24" s="25" t="inlineStr">
        <is>
          <t>Code</t>
        </is>
      </c>
    </row>
    <row r="25" ht="56" customHeight="1">
      <c r="A25" s="29" t="n">
        <v>1</v>
      </c>
      <c r="B25" s="28" t="inlineStr">
        <is>
          <t>The chain is resolved and frozen on the request at submission; editing a workflow never re-routes requests already waiting.</t>
        </is>
      </c>
      <c r="C25" s="28" t="inlineStr">
        <is>
          <t>-</t>
        </is>
      </c>
    </row>
    <row r="26" ht="43" customHeight="1">
      <c r="A26" s="29" t="n">
        <v>2</v>
      </c>
      <c r="B26" s="28" t="inlineStr">
        <is>
          <t>A step applies only when the amount is strictly above its threshold; thresholds must rise from step to step.</t>
        </is>
      </c>
      <c r="C26" s="28" t="inlineStr">
        <is>
          <t>WF_AMOUNT_ORDER</t>
        </is>
      </c>
    </row>
    <row r="27" ht="69" customHeight="1">
      <c r="A27" s="29" t="n">
        <v>3</v>
      </c>
      <c r="B27" s="28" t="inlineStr">
        <is>
          <t>A step that resolves to the requester is skipped (no self-approval) unless "allow self" is ticked; consecutive steps with the same approver collapse into one.</t>
        </is>
      </c>
      <c r="C27" s="28" t="inlineStr">
        <is>
          <t>-</t>
        </is>
      </c>
    </row>
    <row r="28" ht="56" customHeight="1">
      <c r="A28" s="29" t="n">
        <v>4</v>
      </c>
      <c r="B28" s="28" t="inlineStr">
        <is>
          <t>If no step can name an approver the CEO (top approver) decides; the top person's own leave and timesheets are approved automatically.</t>
        </is>
      </c>
      <c r="C28" s="28" t="inlineStr">
        <is>
          <t>-</t>
        </is>
      </c>
    </row>
    <row r="29" ht="43" customHeight="1">
      <c r="A29" s="29" t="n">
        <v>5</v>
      </c>
      <c r="B29" s="28" t="inlineStr">
        <is>
          <t>Past a step's SLA the item escalates to the escalation target (once); approver and target are notified.</t>
        </is>
      </c>
      <c r="C29" s="28" t="inlineStr">
        <is>
          <t>NTF-04</t>
        </is>
      </c>
    </row>
    <row r="30" ht="56" customHeight="1">
      <c r="A30" s="29" t="n">
        <v>6</v>
      </c>
      <c r="B30" s="28" t="inlineStr">
        <is>
          <t>An approver who also holds the next step approves both in one act (e.g. CEO as manager on a claim that also needs the CEO).</t>
        </is>
      </c>
      <c r="C30" s="28" t="inlineStr">
        <is>
          <t>-</t>
        </is>
      </c>
    </row>
    <row r="31" ht="108" customHeight="1">
      <c r="A31" s="29" t="n">
        <v>7</v>
      </c>
      <c r="B31" s="28" t="inlineStr">
        <is>
          <t>1-5 steps; SLA 1-15 working days; escalation must differ from the approver; every-step-has-a-threshold needs explicit acknowledgement.</t>
        </is>
      </c>
      <c r="C31" s="28" t="inlineStr">
        <is>
          <t>WF_STEPS, WF_SLA, WF_ESCALATION, WF_NO_BASE_STEP</t>
        </is>
      </c>
    </row>
    <row r="32" ht="43" customHeight="1">
      <c r="A32" s="29" t="n">
        <v>8</v>
      </c>
      <c r="B32" s="28" t="inlineStr">
        <is>
          <t>Workflow changes are maker-checked in Seereon (entity workflow).</t>
        </is>
      </c>
      <c r="C32" s="28" t="inlineStr">
        <is>
          <t>Maker-checker</t>
        </is>
      </c>
    </row>
  </sheetData>
  <autoFilter ref="A1:M8"/>
  <printOptions gridLines="0"/>
  <pageMargins left="0.4" right="0.4" top="1" bottom="1" header="0.5" footer="0.5"/>
  <pageSetup orientation="landscape" paperSize="9" fitToHeight="0" fitToWidth="1"/>
  <headerFooter>
    <oddHeader/>
    <oddFooter>&amp;C&amp;8SeereonOS Business Process Catalogue v4 - page &amp;P of &amp;N</oddFooter>
    <evenHeader/>
    <evenFooter/>
    <firstHeader/>
    <firstFooter/>
  </headerFooter>
</worksheet>
</file>

<file path=xl/worksheets/sheet7.xml><?xml version="1.0" encoding="utf-8"?>
<worksheet xmlns="http://schemas.openxmlformats.org/spreadsheetml/2006/main">
  <sheetPr>
    <tabColor rgb="000C6B4E"/>
    <outlinePr summaryBelow="1" summaryRight="1"/>
    <pageSetUpPr fitToPage="1"/>
  </sheetPr>
  <dimension ref="A1:G3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34" customWidth="1" min="3" max="3"/>
    <col width="30" customWidth="1" min="4" max="4"/>
    <col width="34" customWidth="1" min="5" max="5"/>
    <col width="60" customWidth="1" min="6" max="6"/>
    <col width="30" customWidth="1" min="7" max="7"/>
  </cols>
  <sheetData>
    <row r="1" ht="30" customHeight="1">
      <c r="A1" s="27" t="inlineStr">
        <is>
          <t>#</t>
        </is>
      </c>
      <c r="B1" s="25" t="inlineStr">
        <is>
          <t>Actor</t>
        </is>
      </c>
      <c r="C1" s="25" t="inlineStr">
        <is>
          <t>Step</t>
        </is>
      </c>
      <c r="D1" s="25" t="inlineStr">
        <is>
          <t>Screen / route</t>
        </is>
      </c>
      <c r="E1" s="25" t="inlineStr">
        <is>
          <t>Permission required</t>
        </is>
      </c>
      <c r="F1" s="25" t="inlineStr">
        <is>
          <t>What the system does and checks</t>
        </is>
      </c>
      <c r="G1" s="25" t="inlineStr">
        <is>
          <t>Done when / result</t>
        </is>
      </c>
    </row>
    <row r="2" ht="30" customHeight="1">
      <c r="A2" s="29" t="inlineStr">
        <is>
          <t>A1</t>
        </is>
      </c>
      <c r="B2" s="28" t="inlineStr">
        <is>
          <t>Administrator</t>
        </is>
      </c>
      <c r="C2" s="28" t="inlineStr">
        <is>
          <t>Sign up (new company) or sign in (debasish@seereon.co.in in the demo)</t>
        </is>
      </c>
      <c r="D2" s="28" t="inlineStr">
        <is>
          <t>/signup, /login</t>
        </is>
      </c>
      <c r="E2" s="28" t="inlineStr">
        <is>
          <t>- (signer becomes Administrator)</t>
        </is>
      </c>
      <c r="F2" s="28" t="inlineStr">
        <is>
          <t>New workspace gets nine default roles, master data, six default workflows, system email templates and maker-checker preselected (off).</t>
        </is>
      </c>
      <c r="G2" s="28" t="inlineStr">
        <is>
          <t>Lands on Home; Setup checklist card links to /setup</t>
        </is>
      </c>
    </row>
    <row r="3" ht="43" customHeight="1">
      <c r="A3" s="29" t="inlineStr">
        <is>
          <t>A2</t>
        </is>
      </c>
      <c r="B3" s="28" t="inlineStr">
        <is>
          <t>Administrator</t>
        </is>
      </c>
      <c r="C3" s="28" t="inlineStr">
        <is>
          <t>Open the setup checklist</t>
        </is>
      </c>
      <c r="D3" s="28" t="inlineStr">
        <is>
          <t>/setup</t>
        </is>
      </c>
      <c r="E3" s="28" t="inlineStr">
        <is>
          <t>any of master.view, roles.view, employees.create, workflows.manage, makerchecker.configure, emails.view</t>
        </is>
      </c>
      <c r="F3" s="28" t="inlineStr">
        <is>
          <t>Seven steps with progress; links shown only for screens the viewer may open.</t>
        </is>
      </c>
      <c r="G3" s="28" t="inlineStr">
        <is>
          <t>Progress "n of 7"</t>
        </is>
      </c>
    </row>
    <row r="4" ht="43" customHeight="1">
      <c r="A4" s="29" t="inlineStr">
        <is>
          <t>A3</t>
        </is>
      </c>
      <c r="B4" s="28" t="inlineStr">
        <is>
          <t>Administrator</t>
        </is>
      </c>
      <c r="C4" s="28" t="inlineStr">
        <is>
          <t>Organisation profile</t>
        </is>
      </c>
      <c r="D4" s="28" t="inlineStr">
        <is>
          <t>/setup/org</t>
        </is>
      </c>
      <c r="E4" s="28" t="inlineStr">
        <is>
          <t>master.view to see, master.edit to change</t>
        </is>
      </c>
      <c r="F4" s="28" t="inlineStr">
        <is>
          <t>Legal / brand name, CIN, GSTIN (matches PAN), PAN, TAN, addresses, bank (masked), employee code prefix and next number. Maker-checked in Seereon.</t>
        </is>
      </c>
      <c r="G4" s="28" t="inlineStr">
        <is>
          <t>Legal name + GSTIN or PAN + an address</t>
        </is>
      </c>
    </row>
    <row r="5" ht="30" customHeight="1">
      <c r="A5" s="29" t="inlineStr">
        <is>
          <t>A4</t>
        </is>
      </c>
      <c r="B5" s="28" t="inlineStr">
        <is>
          <t>Administrator / HR Manager</t>
        </is>
      </c>
      <c r="C5" s="28" t="inlineStr">
        <is>
          <t>Locations and shifts</t>
        </is>
      </c>
      <c r="D5" s="28" t="inlineStr">
        <is>
          <t>/setup/locations, /setup/shifts</t>
        </is>
      </c>
      <c r="E5" s="28" t="inlineStr">
        <is>
          <t>master.edit; shifts.manage</t>
        </is>
      </c>
      <c r="F5" s="28" t="inlineStr">
        <is>
          <t>One head office; shift timings, break, grace, working days, minimum hours; one default shift.</t>
        </is>
      </c>
      <c r="G5" s="28" t="inlineStr">
        <is>
          <t>&gt;= 1 active location and &gt;= 1 active shift</t>
        </is>
      </c>
    </row>
    <row r="6" ht="43" customHeight="1">
      <c r="A6" s="29" t="inlineStr">
        <is>
          <t>A5</t>
        </is>
      </c>
      <c r="B6" s="28" t="inlineStr">
        <is>
          <t>Administrator / HR Manager</t>
        </is>
      </c>
      <c r="C6" s="28" t="inlineStr">
        <is>
          <t>Departments, designations, grades (and cost centres)</t>
        </is>
      </c>
      <c r="D6" s="28" t="inlineStr">
        <is>
          <t>/setup/departments, /setup/designations, /setup/grades, /setup/cost-centres</t>
        </is>
      </c>
      <c r="E6" s="28" t="inlineStr">
        <is>
          <t>master.edit</t>
        </is>
      </c>
      <c r="F6" s="28" t="inlineStr">
        <is>
          <t>Department heads and parents (no cycles), cost centres, grades with CTC bands, designations with default role.</t>
        </is>
      </c>
      <c r="G6" s="28" t="inlineStr">
        <is>
          <t>&gt;= 1 department, designation and grade</t>
        </is>
      </c>
    </row>
    <row r="7" ht="30" customHeight="1">
      <c r="A7" s="29" t="inlineStr">
        <is>
          <t>A6</t>
        </is>
      </c>
      <c r="B7" s="28" t="inlineStr">
        <is>
          <t>Administrator</t>
        </is>
      </c>
      <c r="C7" s="28" t="inlineStr">
        <is>
          <t>Review roles and permissions</t>
        </is>
      </c>
      <c r="D7" s="28" t="inlineStr">
        <is>
          <t>/setup/roles, /setup/roles/:key, ?tab=compare</t>
        </is>
      </c>
      <c r="E7" s="28" t="inlineStr">
        <is>
          <t>roles.view to see, roles.manage to change</t>
        </is>
      </c>
      <c r="F7" s="28" t="inlineStr">
        <is>
          <t>Nine roles ready; adjust the matrix, duplicate or create roles; Administrator locked; LOCKOUT protection. Maker-checked in Seereon.</t>
        </is>
      </c>
      <c r="G7" s="28" t="inlineStr">
        <is>
          <t>Any role edited / created, or a role change proposed</t>
        </is>
      </c>
    </row>
    <row r="8" ht="30" customHeight="1">
      <c r="A8" s="29" t="inlineStr">
        <is>
          <t>A7</t>
        </is>
      </c>
      <c r="B8" s="28" t="inlineStr">
        <is>
          <t>Administrator</t>
        </is>
      </c>
      <c r="C8" s="28" t="inlineStr">
        <is>
          <t>Approval workflows and maker-checker</t>
        </is>
      </c>
      <c r="D8" s="28" t="inlineStr">
        <is>
          <t>/setup/workflows, /setup/maker-checker</t>
        </is>
      </c>
      <c r="E8" s="28" t="inlineStr">
        <is>
          <t>workflows.manage; makerchecker.configure</t>
        </is>
      </c>
      <c r="F8" s="28" t="inlineStr">
        <is>
          <t>Steps, thresholds, SLA, escalation, test panel; choose change types that need a second person and the SLA.</t>
        </is>
      </c>
      <c r="G8" s="28" t="inlineStr">
        <is>
          <t>Maker-checker on, or a workflow edited</t>
        </is>
      </c>
    </row>
    <row r="9" ht="43" customHeight="1">
      <c r="A9" s="29" t="inlineStr">
        <is>
          <t>A8</t>
        </is>
      </c>
      <c r="B9" s="28" t="inlineStr">
        <is>
          <t>Administrator / HR</t>
        </is>
      </c>
      <c r="C9" s="28" t="inlineStr">
        <is>
          <t>Create employees (role + reporting manager)</t>
        </is>
      </c>
      <c r="D9" s="28" t="inlineStr">
        <is>
          <t>/people/new</t>
        </is>
      </c>
      <c r="E9" s="28" t="inlineStr">
        <is>
          <t>employees.create (+ users.manage for extra permissions, cost_rates.edit for CTC)</t>
        </is>
      </c>
      <c r="F9" s="28" t="inlineStr">
        <is>
          <t>Employee code assigned, temporary password generated, must_change_password set, manager notified (NTF-14).</t>
        </is>
      </c>
      <c r="G9" s="28" t="inlineStr">
        <is>
          <t>&gt;= 3 active people</t>
        </is>
      </c>
    </row>
    <row r="10" ht="43" customHeight="1">
      <c r="A10" s="29" t="inlineStr">
        <is>
          <t>A9</t>
        </is>
      </c>
      <c r="B10" s="28" t="inlineStr">
        <is>
          <t>System</t>
        </is>
      </c>
      <c r="C10" s="28" t="inlineStr">
        <is>
          <t>Welcome email with temporary credentials</t>
        </is>
      </c>
      <c r="D10" s="28" t="inlineStr">
        <is>
          <t>/setup/emails?tab=sent (outbox)</t>
        </is>
      </c>
      <c r="E10" s="28" t="inlineStr">
        <is>
          <t>emails.view to see the outbox</t>
        </is>
      </c>
      <c r="F10" s="28" t="inlineStr">
        <is>
          <t>Renders the "Welcome &amp; login details" template into the outbox (email delivery simulated in this build); the success screen shows exactly what the person received.</t>
        </is>
      </c>
      <c r="G10" s="28" t="inlineStr">
        <is>
          <t>Email in Sent</t>
        </is>
      </c>
    </row>
    <row r="11" ht="30" customHeight="1">
      <c r="A11" s="29" t="inlineStr">
        <is>
          <t>A10</t>
        </is>
      </c>
      <c r="B11" s="28" t="inlineStr">
        <is>
          <t>Administrator</t>
        </is>
      </c>
      <c r="C11" s="28" t="inlineStr">
        <is>
          <t>Check email templates</t>
        </is>
      </c>
      <c r="D11" s="28" t="inlineStr">
        <is>
          <t>/setup/emails</t>
        </is>
      </c>
      <c r="E11" s="28" t="inlineStr">
        <is>
          <t>emails.view</t>
        </is>
      </c>
      <c r="F11" s="28" t="inlineStr">
        <is>
          <t>Edit wording with placeholder chips; welcome / password-reset must keep {{username}}, {{temp_password}}, {{login_url}}.</t>
        </is>
      </c>
      <c r="G11" s="28" t="inlineStr">
        <is>
          <t>A template edited or an email sent</t>
        </is>
      </c>
    </row>
    <row r="12" ht="30" customHeight="1">
      <c r="A12" s="29" t="inlineStr">
        <is>
          <t>E1</t>
        </is>
      </c>
      <c r="B12" s="28" t="inlineStr">
        <is>
          <t>New employee</t>
        </is>
      </c>
      <c r="C12" s="28" t="inlineStr">
        <is>
          <t>Open the welcome email</t>
        </is>
      </c>
      <c r="D12" s="28" t="inlineStr">
        <is>
          <t>Email (outbox in the demo)</t>
        </is>
      </c>
      <c r="E12" s="28" t="inlineStr">
        <is>
          <t>-</t>
        </is>
      </c>
      <c r="F12" s="28" t="inlineStr">
        <is>
          <t>Contains sign-in link, username (work email), temporary password, role, reporting manager, joining date.</t>
        </is>
      </c>
      <c r="G12" s="28" t="inlineStr">
        <is>
          <t>-</t>
        </is>
      </c>
    </row>
    <row r="13" ht="30" customHeight="1">
      <c r="A13" s="29" t="inlineStr">
        <is>
          <t>E2</t>
        </is>
      </c>
      <c r="B13" s="28" t="inlineStr">
        <is>
          <t>New employee</t>
        </is>
      </c>
      <c r="C13" s="28" t="inlineStr">
        <is>
          <t>Sign in with the temporary password</t>
        </is>
      </c>
      <c r="D13" s="28" t="inlineStr">
        <is>
          <t>/login</t>
        </is>
      </c>
      <c r="E13" s="28" t="inlineStr">
        <is>
          <t>- (any active user)</t>
        </is>
      </c>
      <c r="F13" s="28" t="inlineStr">
        <is>
          <t>Session carries role name and effective permissions; must_change_password is set, so the app routes to Set your password.</t>
        </is>
      </c>
      <c r="G13" s="28" t="inlineStr">
        <is>
          <t>Redirected to /welcome/password</t>
        </is>
      </c>
    </row>
    <row r="14" ht="43" customHeight="1">
      <c r="A14" s="29" t="inlineStr">
        <is>
          <t>E3</t>
        </is>
      </c>
      <c r="B14" s="28" t="inlineStr">
        <is>
          <t>New employee</t>
        </is>
      </c>
      <c r="C14" s="28" t="inlineStr">
        <is>
          <t>Set their own password</t>
        </is>
      </c>
      <c r="D14" s="28" t="inlineStr">
        <is>
          <t>/welcome/password</t>
        </is>
      </c>
      <c r="E14" s="28" t="inlineStr">
        <is>
          <t>- (every write except /me/password, logout, prefs is blocked: PASSWORD_CHANGE_REQUIRED)</t>
        </is>
      </c>
      <c r="F14" s="28" t="inlineStr">
        <is>
          <t>Temporary password must be correct (PASSWORD_WRONG); new password &gt;= security.password_min_length (default 10, PASSWORD_WEAK), strength meter, must differ (PASSWORD_REUSED), confirm must match.</t>
        </is>
      </c>
      <c r="G14" s="28" t="inlineStr">
        <is>
          <t>must_change_password cleared</t>
        </is>
      </c>
    </row>
    <row r="15" ht="43" customHeight="1">
      <c r="A15" s="29" t="inlineStr">
        <is>
          <t>E4</t>
        </is>
      </c>
      <c r="B15" s="28" t="inlineStr">
        <is>
          <t>New employee</t>
        </is>
      </c>
      <c r="C15" s="28" t="inlineStr">
        <is>
          <t>Land on their own portal</t>
        </is>
      </c>
      <c r="D15" s="28" t="inlineStr">
        <is>
          <t>/home</t>
        </is>
      </c>
      <c r="E15" s="28" t="inlineStr">
        <is>
          <t>Role permissions (e.g. Employee: timesheet.own, daily_update.post, approvals.act, ai.use)</t>
        </is>
      </c>
      <c r="F15" s="28" t="inlineStr">
        <is>
          <t>Home dashboard chosen by the role persona; navigation shows only permitted screens: My tasks, Timesheet, Daily update, Leave, Expenses, Documents, My performance, Ask AI.</t>
        </is>
      </c>
      <c r="G15" s="28" t="inlineStr">
        <is>
          <t>Working in SeereonOS</t>
        </is>
      </c>
    </row>
    <row r="18" ht="20" customHeight="1">
      <c r="A18" s="4" t="inlineStr">
        <is>
          <t>Welcome email placeholders</t>
        </is>
      </c>
      <c r="B18" s="35" t="n"/>
      <c r="C18" s="35" t="n"/>
      <c r="D18" s="35" t="n"/>
    </row>
    <row r="19" ht="30" customHeight="1">
      <c r="A19" s="25" t="inlineStr">
        <is>
          <t>Placeholder</t>
        </is>
      </c>
      <c r="B19" s="25" t="inlineStr">
        <is>
          <t>Meaning</t>
        </is>
      </c>
      <c r="C19" s="25" t="inlineStr">
        <is>
          <t>Filled from</t>
        </is>
      </c>
      <c r="D19" s="25" t="inlineStr">
        <is>
          <t>Required in welcome email</t>
        </is>
      </c>
    </row>
    <row r="20" ht="43" customHeight="1">
      <c r="A20" s="28" t="inlineStr">
        <is>
          <t>{{employee_name}}</t>
        </is>
      </c>
      <c r="B20" s="28" t="inlineStr">
        <is>
          <t>Employee name</t>
        </is>
      </c>
      <c r="C20" s="28" t="inlineStr">
        <is>
          <t>Create employee &gt; Full name</t>
        </is>
      </c>
      <c r="D20" s="28" t="inlineStr">
        <is>
          <t>No</t>
        </is>
      </c>
    </row>
    <row r="21" ht="30" customHeight="1">
      <c r="A21" s="28" t="inlineStr">
        <is>
          <t>{{company}}</t>
        </is>
      </c>
      <c r="B21" s="28" t="inlineStr">
        <is>
          <t>Company</t>
        </is>
      </c>
      <c r="C21" s="28" t="inlineStr">
        <is>
          <t>Organisation profile &gt; brand name</t>
        </is>
      </c>
      <c r="D21" s="28" t="inlineStr">
        <is>
          <t>No</t>
        </is>
      </c>
    </row>
    <row r="22" ht="30" customHeight="1">
      <c r="A22" s="28" t="inlineStr">
        <is>
          <t>{{username}}</t>
        </is>
      </c>
      <c r="B22" s="28" t="inlineStr">
        <is>
          <t>Username</t>
        </is>
      </c>
      <c r="C22" s="28" t="inlineStr">
        <is>
          <t>Work email</t>
        </is>
      </c>
      <c r="D22" s="28" t="inlineStr">
        <is>
          <t>Yes</t>
        </is>
      </c>
    </row>
    <row r="23" ht="43" customHeight="1">
      <c r="A23" s="28" t="inlineStr">
        <is>
          <t>{{temp_password}}</t>
        </is>
      </c>
      <c r="B23" s="28" t="inlineStr">
        <is>
          <t>Temporary password</t>
        </is>
      </c>
      <c r="C23" s="28" t="inlineStr">
        <is>
          <t>Generated (length = security.password_min_length)</t>
        </is>
      </c>
      <c r="D23" s="28" t="inlineStr">
        <is>
          <t>Yes</t>
        </is>
      </c>
    </row>
    <row r="24" ht="43" customHeight="1">
      <c r="A24" s="28" t="inlineStr">
        <is>
          <t>{{login_url}}</t>
        </is>
      </c>
      <c r="B24" s="28" t="inlineStr">
        <is>
          <t>Login link</t>
        </is>
      </c>
      <c r="C24" s="28" t="inlineStr">
        <is>
          <t>Workspace sign-in link</t>
        </is>
      </c>
      <c r="D24" s="28" t="inlineStr">
        <is>
          <t>Yes</t>
        </is>
      </c>
    </row>
    <row r="25" ht="43" customHeight="1">
      <c r="A25" s="28" t="inlineStr">
        <is>
          <t>{{role_name}}</t>
        </is>
      </c>
      <c r="B25" s="28" t="inlineStr">
        <is>
          <t>Role</t>
        </is>
      </c>
      <c r="C25" s="28" t="inlineStr">
        <is>
          <t>Chosen role</t>
        </is>
      </c>
      <c r="D25" s="28" t="inlineStr">
        <is>
          <t>No</t>
        </is>
      </c>
    </row>
    <row r="26" ht="43" customHeight="1">
      <c r="A26" s="28" t="inlineStr">
        <is>
          <t>{{manager_name}}</t>
        </is>
      </c>
      <c r="B26" s="28" t="inlineStr">
        <is>
          <t>Manager</t>
        </is>
      </c>
      <c r="C26" s="28" t="inlineStr">
        <is>
          <t>Reporting manager</t>
        </is>
      </c>
      <c r="D26" s="28" t="inlineStr">
        <is>
          <t>No</t>
        </is>
      </c>
    </row>
    <row r="27" ht="43" customHeight="1">
      <c r="A27" s="28" t="inlineStr">
        <is>
          <t>{{joining_date}}</t>
        </is>
      </c>
      <c r="B27" s="28" t="inlineStr">
        <is>
          <t>Joining date</t>
        </is>
      </c>
      <c r="C27" s="28" t="inlineStr">
        <is>
          <t>Joining date (e.g. 1 October 2026)</t>
        </is>
      </c>
      <c r="D27" s="28" t="inlineStr">
        <is>
          <t>No</t>
        </is>
      </c>
    </row>
    <row r="28" ht="43" customHeight="1">
      <c r="A28" s="28" t="inlineStr">
        <is>
          <t>{{employee_code}}</t>
        </is>
      </c>
      <c r="B28" s="28" t="inlineStr">
        <is>
          <t>Employee code</t>
        </is>
      </c>
      <c r="C28" s="28" t="inlineStr">
        <is>
          <t>Org prefix + next number</t>
        </is>
      </c>
      <c r="D28" s="28" t="inlineStr">
        <is>
          <t>No</t>
        </is>
      </c>
    </row>
    <row r="29" ht="43" customHeight="1">
      <c r="A29" s="28" t="inlineStr">
        <is>
          <t>{{designation}}</t>
        </is>
      </c>
      <c r="B29" s="28" t="inlineStr">
        <is>
          <t>Designation</t>
        </is>
      </c>
      <c r="C29" s="28" t="inlineStr">
        <is>
          <t>Designation</t>
        </is>
      </c>
      <c r="D29" s="28" t="inlineStr">
        <is>
          <t>No</t>
        </is>
      </c>
    </row>
    <row r="30" ht="43" customHeight="1">
      <c r="A30" s="28" t="inlineStr">
        <is>
          <t>{{department}}</t>
        </is>
      </c>
      <c r="B30" s="28" t="inlineStr">
        <is>
          <t>Department</t>
        </is>
      </c>
      <c r="C30" s="28" t="inlineStr">
        <is>
          <t>Department</t>
        </is>
      </c>
      <c r="D30" s="28" t="inlineStr">
        <is>
          <t>No</t>
        </is>
      </c>
    </row>
    <row r="33" ht="20" customHeight="1">
      <c r="A33" s="4" t="inlineStr">
        <is>
          <t>Default welcome email (template "welcome")</t>
        </is>
      </c>
      <c r="B33" s="35" t="n"/>
      <c r="C33" s="35" t="n"/>
      <c r="D33" s="35" t="n"/>
      <c r="E33" s="35" t="n"/>
      <c r="F33" s="35" t="n"/>
      <c r="G33" s="35" t="n"/>
    </row>
    <row r="34" ht="247" customHeight="1">
      <c r="A34" s="5" t="inlineStr">
        <is>
          <t>Subject: Welcome to {{company}}, {{employee_name}} — your SeereonOS login
Hi {{employee_name}},
Welcome to {{company}}! Your SeereonOS account is ready.
Sign in: {{login_url}}
Username: {{username}}
Temporary password: {{temp_password}}
You will be asked to set your own password the first time you sign in.
Your role: {{role_name}}
Reporting manager: {{manager_name}}
Joining date: {{joining_date}}
See you on day one,
{{company}} HR</t>
        </is>
      </c>
    </row>
  </sheetData>
  <autoFilter ref="A1:G15"/>
  <mergeCells count="1">
    <mergeCell ref="A34:G34"/>
  </mergeCells>
  <printOptions gridLines="0"/>
  <pageMargins left="0.4" right="0.4" top="1" bottom="1" header="0.5" footer="0.5"/>
  <pageSetup orientation="landscape" paperSize="9" fitToHeight="0" fitToWidth="1"/>
  <headerFooter>
    <oddHeader/>
    <oddFooter>&amp;C&amp;8SeereonOS Business Process Catalogue v4 - page &amp;P of &amp;N</oddFooter>
    <evenHeader/>
    <evenFooter/>
    <firstHeader/>
    <firstFooter/>
  </headerFooter>
</worksheet>
</file>

<file path=xl/worksheets/sheet8.xml><?xml version="1.0" encoding="utf-8"?>
<worksheet xmlns="http://schemas.openxmlformats.org/spreadsheetml/2006/main">
  <sheetPr>
    <tabColor rgb="000C6B4E"/>
    <outlinePr summaryBelow="1" summaryRight="1"/>
    <pageSetUpPr fitToPage="1"/>
  </sheetPr>
  <dimension ref="A1:N2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24" customWidth="1" min="2" max="2"/>
    <col width="20" customWidth="1" min="3" max="3"/>
    <col width="44" customWidth="1" min="4" max="4"/>
    <col width="18" customWidth="1" min="5" max="5"/>
    <col width="20" customWidth="1" min="6" max="6"/>
    <col width="34" customWidth="1" min="7" max="7"/>
    <col width="30" customWidth="1" min="8" max="8"/>
    <col width="34" customWidth="1" min="9" max="9"/>
    <col width="30" customWidth="1" min="10" max="10"/>
    <col width="16" customWidth="1" min="11" max="11"/>
    <col width="20" customWidth="1" min="12" max="12"/>
    <col width="12" customWidth="1" min="13" max="13"/>
    <col width="11" customWidth="1" min="14" max="14"/>
  </cols>
  <sheetData>
    <row r="1" ht="30" customHeight="1">
      <c r="A1" s="25" t="inlineStr">
        <is>
          <t>ID</t>
        </is>
      </c>
      <c r="B1" s="25" t="inlineStr">
        <is>
          <t>What is approved</t>
        </is>
      </c>
      <c r="C1" s="25" t="inlineStr">
        <is>
          <t>Requester</t>
        </is>
      </c>
      <c r="D1" s="25" t="inlineStr">
        <is>
          <t>Approver resolution rule</t>
        </is>
      </c>
      <c r="E1" s="25" t="inlineStr">
        <is>
          <t>Delegation / cover</t>
        </is>
      </c>
      <c r="F1" s="25" t="inlineStr">
        <is>
          <t>SLA</t>
        </is>
      </c>
      <c r="G1" s="25" t="inlineStr">
        <is>
          <t>On approve</t>
        </is>
      </c>
      <c r="H1" s="25" t="inlineStr">
        <is>
          <t>On reject / send back</t>
        </is>
      </c>
      <c r="I1" s="25" t="inlineStr">
        <is>
          <t>Mandatory reason or input</t>
        </is>
      </c>
      <c r="J1" s="25" t="inlineStr">
        <is>
          <t>Escalation / overdue handling</t>
        </is>
      </c>
      <c r="K1" s="25" t="inlineStr">
        <is>
          <t>Inbox kind</t>
        </is>
      </c>
      <c r="L1" s="25" t="inlineStr">
        <is>
          <t>Screen</t>
        </is>
      </c>
      <c r="M1" s="25" t="inlineStr">
        <is>
          <t>Process ID</t>
        </is>
      </c>
      <c r="N1" s="27" t="inlineStr">
        <is>
          <t>Status</t>
        </is>
      </c>
    </row>
    <row r="2" ht="69" customHeight="1">
      <c r="A2" s="28" t="inlineStr">
        <is>
          <t>APR-01</t>
        </is>
      </c>
      <c r="B2" s="28" t="inlineStr">
        <is>
          <t>Weekly timesheet</t>
        </is>
      </c>
      <c r="C2" s="28" t="inlineStr">
        <is>
          <t>Every person (all roles)</t>
        </is>
      </c>
      <c r="D2" s="28" t="inlineStr">
        <is>
          <t>Reports-to manager (BR-07); top person (admin with no manager) is auto-approved; Admin can act on all. v4: routed by the "Weekly timesheets" workflow (default reproduces this rule); SLA and escalation per step.</t>
        </is>
      </c>
      <c r="E2" s="28" t="inlineStr">
        <is>
          <t>Active delegate of the approver</t>
        </is>
      </c>
      <c r="F2" s="28" t="inlineStr">
        <is>
          <t>approval.sla_working_days from submission (company setting, default 2, range 1-10)</t>
        </is>
      </c>
      <c r="G2" s="28" t="inlineStr">
        <is>
          <t>Week approved and frozen; hours count for cost, billing and pay; NTF-05</t>
        </is>
      </c>
      <c r="H2" s="28" t="inlineStr">
        <is>
          <t>Week reopens for the person to fix and resubmit; NTF-06</t>
        </is>
      </c>
      <c r="I2" s="28" t="inlineStr">
        <is>
          <t>Reject reason min 5 characters (TS_REASON_REQUIRED); cannot approve own week (TS_SELF_APPROVAL)</t>
        </is>
      </c>
      <c r="J2" s="28" t="inlineStr">
        <is>
          <t>Late approval flagged (APPROVAL_LATE) and counted in the manager's Approval KPI = -(late + overdue pending) (BR-11); never blocks; NTF-10 digest defined</t>
        </is>
      </c>
      <c r="K2" s="28" t="inlineStr">
        <is>
          <t>timesheet (bulk approve if approval.bulk_approve)</t>
        </is>
      </c>
      <c r="L2" s="28" t="inlineStr">
        <is>
          <t>/approvals, /inbox</t>
        </is>
      </c>
      <c r="M2" s="28" t="inlineStr">
        <is>
          <t>TIM-03</t>
        </is>
      </c>
      <c r="N2" s="29" t="inlineStr">
        <is>
          <t>Extended</t>
        </is>
      </c>
    </row>
    <row r="3" ht="30" customHeight="1">
      <c r="A3" s="28" t="inlineStr">
        <is>
          <t>APR-02</t>
        </is>
      </c>
      <c r="B3" s="28" t="inlineStr">
        <is>
          <t>Timesheet unlock request</t>
        </is>
      </c>
      <c r="C3" s="28" t="inlineStr">
        <is>
          <t>Person whose week locked unsubmitted</t>
        </is>
      </c>
      <c r="D3" s="28" t="inlineStr">
        <is>
          <t>Same approver as the timesheet; Admin</t>
        </is>
      </c>
      <c r="E3" s="28" t="inlineStr">
        <is>
          <t>Active delegate</t>
        </is>
      </c>
      <c r="F3" s="28" t="inlineStr">
        <is>
          <t>approval.sla_working_days from request</t>
        </is>
      </c>
      <c r="G3" s="28" t="inlineStr">
        <is>
          <t>Week editable for 1-7 days (timesheet.unlock_max_days); NTF-08</t>
        </is>
      </c>
      <c r="H3" s="28" t="inlineStr">
        <is>
          <t>Request declined, week stays locked; NTF-08</t>
        </is>
      </c>
      <c r="I3" s="28" t="inlineStr">
        <is>
          <t>Request reason min 5; decline reason min 5; TS_UNLOCK_RANGE</t>
        </is>
      </c>
      <c r="J3" s="28" t="inlineStr">
        <is>
          <t>Overdue badge in inbox</t>
        </is>
      </c>
      <c r="K3" s="28" t="inlineStr">
        <is>
          <t>unlock</t>
        </is>
      </c>
      <c r="L3" s="28" t="inlineStr">
        <is>
          <t>/approvals, /inbox</t>
        </is>
      </c>
      <c r="M3" s="28" t="inlineStr">
        <is>
          <t>TIM-04</t>
        </is>
      </c>
      <c r="N3" s="29" t="inlineStr">
        <is>
          <t>Live</t>
        </is>
      </c>
    </row>
    <row r="4" ht="69" customHeight="1">
      <c r="A4" s="28" t="inlineStr">
        <is>
          <t>APR-03</t>
        </is>
      </c>
      <c r="B4" s="28" t="inlineStr">
        <is>
          <t>Task completion (review)</t>
        </is>
      </c>
      <c r="C4" s="28" t="inlineStr">
        <is>
          <t>Task owner or backup</t>
        </is>
      </c>
      <c r="D4" s="28" t="inlineStr">
        <is>
          <t>Task reviewer if set; else project PM (project tasks); else the assigner, then owner's manager (general tasks); never the owner unless top admin; Admin always. v4: routed by the "Task completion review" workflow (default: task reviewer).</t>
        </is>
      </c>
      <c r="E4" s="28" t="inlineStr">
        <is>
          <t>Delegate of the reviewer sees it in the inbox</t>
        </is>
      </c>
      <c r="F4" s="28" t="inlineStr">
        <is>
          <t>approval.sla_working_days from submission</t>
        </is>
      </c>
      <c r="G4" s="28" t="inlineStr">
        <is>
          <t>Task Done with quality 1-5; done date = submission date; timeliness early / on time / late stamped; dependants unblocked; NTF-05</t>
        </is>
      </c>
      <c r="H4" s="28" t="inlineStr">
        <is>
          <t>Send back: task returns to In progress, round +1, optional new due date (logged as reschedule); NTF-06</t>
        </is>
      </c>
      <c r="I4" s="28" t="inlineStr">
        <is>
          <t>Submit: note min 5; delay reason code + 15-character explanation if late (DELAY_REASON_REQUIRED). Approve: quality rating 1-5. Send back: reason min 10</t>
        </is>
      </c>
      <c r="J4" s="28" t="inlineStr">
        <is>
          <t>Overdue badge; inbox warns if submitted late without a reason</t>
        </is>
      </c>
      <c r="K4" s="28" t="inlineStr">
        <is>
          <t>task_review</t>
        </is>
      </c>
      <c r="L4" s="28" t="inlineStr">
        <is>
          <t>/inbox, /team-tasks?tab=review, task drawer</t>
        </is>
      </c>
      <c r="M4" s="28" t="inlineStr">
        <is>
          <t>TSK-04, TSK-06, TSK-07</t>
        </is>
      </c>
      <c r="N4" s="29" t="inlineStr">
        <is>
          <t>Extended</t>
        </is>
      </c>
    </row>
    <row r="5" ht="56" customHeight="1">
      <c r="A5" s="28" t="inlineStr">
        <is>
          <t>APR-04</t>
        </is>
      </c>
      <c r="B5" s="28" t="inlineStr">
        <is>
          <t>Leave request</t>
        </is>
      </c>
      <c r="C5" s="28" t="inlineStr">
        <is>
          <t>Employee (any role)</t>
        </is>
      </c>
      <c r="D5" s="28" t="inlineStr">
        <is>
          <t>Reports-to manager; auto-approved when there is no manager; Admin can decide any. v4: routed by the "Leave requests" workflow (default: reporting manager).</t>
        </is>
      </c>
      <c r="E5" s="28" t="inlineStr">
        <is>
          <t>Active delegate of the manager (also notified)</t>
        </is>
      </c>
      <c r="F5" s="28" t="inlineStr">
        <is>
          <t>approval.sla_working_days from request</t>
        </is>
      </c>
      <c r="G5" s="28" t="inlineStr">
        <is>
          <t>Balance re-checked; leave days written to the timesheet and leave register; NTF-05</t>
        </is>
      </c>
      <c r="H5" s="28" t="inlineStr">
        <is>
          <t>Request rejected; NTF-06</t>
        </is>
      </c>
      <c r="I5" s="28" t="inlineStr">
        <is>
          <t>Request reason min 5; reject reason min 5; cannot decide own leave</t>
        </is>
      </c>
      <c r="J5" s="28" t="inlineStr">
        <is>
          <t>Overdue badge; HR Home lists pending leave company-wide</t>
        </is>
      </c>
      <c r="K5" s="28" t="inlineStr">
        <is>
          <t>leave</t>
        </is>
      </c>
      <c r="L5" s="28" t="inlineStr">
        <is>
          <t>/leave, /inbox</t>
        </is>
      </c>
      <c r="M5" s="28" t="inlineStr">
        <is>
          <t>TIM-06, TIM-07</t>
        </is>
      </c>
      <c r="N5" s="29" t="inlineStr">
        <is>
          <t>Extended</t>
        </is>
      </c>
    </row>
    <row r="6" ht="56" customHeight="1">
      <c r="A6" s="28" t="inlineStr">
        <is>
          <t>APR-05</t>
        </is>
      </c>
      <c r="B6" s="28" t="inlineStr">
        <is>
          <t>Expense claim (up to Rs 25,000)</t>
        </is>
      </c>
      <c r="C6" s="28" t="inlineStr">
        <is>
          <t>Employee (any role)</t>
        </is>
      </c>
      <c r="D6" s="28" t="inlineStr">
        <is>
          <t>Project PM if the claim is on a project (and PM is not the claimant); else reports-to manager; else Admin. v4: routed by the "Expense claims" workflow, step 1 (PM else reporting manager).</t>
        </is>
      </c>
      <c r="E6" s="28" t="inlineStr">
        <is>
          <t>Delegate of the approver</t>
        </is>
      </c>
      <c r="F6" s="28" t="inlineStr">
        <is>
          <t>approval.sla_working_days from submission</t>
        </is>
      </c>
      <c r="G6" s="28" t="inlineStr">
        <is>
          <t>Approved; checked against the month's category budget (outside budget = unbudgeted spend, OVER_BUDGET); goes to To pay; NTF-05</t>
        </is>
      </c>
      <c r="H6" s="28" t="inlineStr">
        <is>
          <t>Rejected; claimant can edit and resubmit; NTF-06</t>
        </is>
      </c>
      <c r="I6" s="28" t="inlineStr">
        <is>
          <t>Reject reason min 5 (REASON_REQUIRED); no self-approval (SELF_APPROVAL)</t>
        </is>
      </c>
      <c r="J6" s="28" t="inlineStr">
        <is>
          <t>Overdue badge</t>
        </is>
      </c>
      <c r="K6" s="28" t="inlineStr">
        <is>
          <t>expense (approve)</t>
        </is>
      </c>
      <c r="L6" s="28" t="inlineStr">
        <is>
          <t>/expenses?tab=approve, /inbox</t>
        </is>
      </c>
      <c r="M6" s="28" t="inlineStr">
        <is>
          <t>SPD-02</t>
        </is>
      </c>
      <c r="N6" s="29" t="inlineStr">
        <is>
          <t>Extended</t>
        </is>
      </c>
    </row>
    <row r="7" ht="56" customHeight="1">
      <c r="A7" s="28" t="inlineStr">
        <is>
          <t>APR-06</t>
        </is>
      </c>
      <c r="B7" s="28" t="inlineStr">
        <is>
          <t>Expense claim above Rs 25,000 (second step)</t>
        </is>
      </c>
      <c r="C7" s="28" t="inlineStr">
        <is>
          <t>Employee</t>
        </is>
      </c>
      <c r="D7" s="28" t="inlineStr">
        <is>
          <t>First approval by PM / manager as above, then Admin (CEO) for final approval. v4: step 2 of the "Expense claims" workflow (CEO role, above Rs 25,000); threshold configurable.</t>
        </is>
      </c>
      <c r="E7" s="28" t="inlineStr">
        <is>
          <t>-</t>
        </is>
      </c>
      <c r="F7" s="28" t="inlineStr">
        <is>
          <t>approval.sla_working_days per step</t>
        </is>
      </c>
      <c r="G7" s="28" t="inlineStr">
        <is>
          <t>As APR-05 after Admin approval</t>
        </is>
      </c>
      <c r="H7" s="28" t="inlineStr">
        <is>
          <t>As APR-05</t>
        </is>
      </c>
      <c r="I7" s="28" t="inlineStr">
        <is>
          <t>As APR-05</t>
        </is>
      </c>
      <c r="J7" s="28" t="inlineStr">
        <is>
          <t>SECOND_APPROVAL warning tells the first approver it moved to the Admin</t>
        </is>
      </c>
      <c r="K7" s="28" t="inlineStr">
        <is>
          <t>expense (approve)</t>
        </is>
      </c>
      <c r="L7" s="28" t="inlineStr">
        <is>
          <t>/expenses, /inbox</t>
        </is>
      </c>
      <c r="M7" s="28" t="inlineStr">
        <is>
          <t>SPD-02</t>
        </is>
      </c>
      <c r="N7" s="29" t="inlineStr">
        <is>
          <t>Extended</t>
        </is>
      </c>
    </row>
    <row r="8" ht="30" customHeight="1">
      <c r="A8" s="28" t="inlineStr">
        <is>
          <t>APR-07</t>
        </is>
      </c>
      <c r="B8" s="28" t="inlineStr">
        <is>
          <t>Expense reimbursement (payment)</t>
        </is>
      </c>
      <c r="C8" s="28" t="inlineStr">
        <is>
          <t>System (approved claim)</t>
        </is>
      </c>
      <c r="D8" s="28" t="inlineStr">
        <is>
          <t>Admin or HR &amp; operations (expenses.pay)</t>
        </is>
      </c>
      <c r="E8" s="28" t="inlineStr">
        <is>
          <t>-</t>
        </is>
      </c>
      <c r="F8" s="28" t="inlineStr">
        <is>
          <t>approval.sla_working_days from approval</t>
        </is>
      </c>
      <c r="G8" s="28" t="inlineStr">
        <is>
          <t>Paid; locked ledger expense row created; NTF-05 reimbursed</t>
        </is>
      </c>
      <c r="H8" s="28" t="inlineStr">
        <is>
          <t>-</t>
        </is>
      </c>
      <c r="I8" s="28" t="inlineStr">
        <is>
          <t>Payment date (not future)</t>
        </is>
      </c>
      <c r="J8" s="28" t="inlineStr">
        <is>
          <t>Overdue badge</t>
        </is>
      </c>
      <c r="K8" s="28" t="inlineStr">
        <is>
          <t>expense (pay)</t>
        </is>
      </c>
      <c r="L8" s="28" t="inlineStr">
        <is>
          <t>/expenses?tab=pay, /inbox</t>
        </is>
      </c>
      <c r="M8" s="28" t="inlineStr">
        <is>
          <t>SPD-03</t>
        </is>
      </c>
      <c r="N8" s="29" t="inlineStr">
        <is>
          <t>New in v3</t>
        </is>
      </c>
    </row>
    <row r="9" ht="43" customHeight="1">
      <c r="A9" s="28" t="inlineStr">
        <is>
          <t>APR-08</t>
        </is>
      </c>
      <c r="B9" s="28" t="inlineStr">
        <is>
          <t>Purchase order</t>
        </is>
      </c>
      <c r="C9" s="28" t="inlineStr">
        <is>
          <t>Admin or HR &amp; operations</t>
        </is>
      </c>
      <c r="D9" s="28" t="inlineStr">
        <is>
          <t>Admin (CEO) only. v4: routed by the "Purchase orders" workflow (default: CEO role).</t>
        </is>
      </c>
      <c r="E9" s="28" t="inlineStr">
        <is>
          <t>-</t>
        </is>
      </c>
      <c r="F9" s="28" t="inlineStr">
        <is>
          <t>approval.sla_working_days from submission</t>
        </is>
      </c>
      <c r="G9" s="28" t="inlineStr">
        <is>
          <t>PO approved: commits budget; bills can be booked against it; NTF-05</t>
        </is>
      </c>
      <c r="H9" s="28" t="inlineStr">
        <is>
          <t>PO rejected; NTF-06</t>
        </is>
      </c>
      <c r="I9" s="28" t="inlineStr">
        <is>
          <t>Justification min 15 when over budget (JUSTIFICATION_REQUIRED); reject reason min 5</t>
        </is>
      </c>
      <c r="J9" s="28" t="inlineStr">
        <is>
          <t>Overdue badge; over-budget flag shown to approver</t>
        </is>
      </c>
      <c r="K9" s="28" t="inlineStr">
        <is>
          <t>purchase_order</t>
        </is>
      </c>
      <c r="L9" s="28" t="inlineStr">
        <is>
          <t>/purchases, /inbox</t>
        </is>
      </c>
      <c r="M9" s="28" t="inlineStr">
        <is>
          <t>SPD-04, SPD-05</t>
        </is>
      </c>
      <c r="N9" s="29" t="inlineStr">
        <is>
          <t>Extended</t>
        </is>
      </c>
    </row>
    <row r="10" ht="30" customHeight="1">
      <c r="A10" s="28" t="inlineStr">
        <is>
          <t>APR-09</t>
        </is>
      </c>
      <c r="B10" s="28" t="inlineStr">
        <is>
          <t>Vendor bill approval</t>
        </is>
      </c>
      <c r="C10" s="28" t="inlineStr">
        <is>
          <t>Admin or HR &amp; operations (booking)</t>
        </is>
      </c>
      <c r="D10" s="28" t="inlineStr">
        <is>
          <t>Admin (CEO) only. v4: routed by the "Vendor bills" workflow (default: CEO role).</t>
        </is>
      </c>
      <c r="E10" s="28" t="inlineStr">
        <is>
          <t>-</t>
        </is>
      </c>
      <c r="F10" s="28" t="inlineStr">
        <is>
          <t>approval.sla_working_days from bill date</t>
        </is>
      </c>
      <c r="G10" s="28" t="inlineStr">
        <is>
          <t>Approved for payment by due date; NTF-05</t>
        </is>
      </c>
      <c r="H10" s="28" t="inlineStr">
        <is>
          <t>Dispute with reason (min 10); resolve before approving</t>
        </is>
      </c>
      <c r="I10" s="28" t="inlineStr">
        <is>
          <t>Must match an approved PO within +5% (BILL_EXCEEDS_PO)</t>
        </is>
      </c>
      <c r="J10" s="28" t="inlineStr">
        <is>
          <t>Inbox warns: no PO linked / bill higher than PO</t>
        </is>
      </c>
      <c r="K10" s="28" t="inlineStr">
        <is>
          <t>vendor_bill (approve)</t>
        </is>
      </c>
      <c r="L10" s="28" t="inlineStr">
        <is>
          <t>/purchases, /inbox</t>
        </is>
      </c>
      <c r="M10" s="28" t="inlineStr">
        <is>
          <t>SPD-06, SPD-07</t>
        </is>
      </c>
      <c r="N10" s="29" t="inlineStr">
        <is>
          <t>Extended</t>
        </is>
      </c>
    </row>
    <row r="11" ht="30" customHeight="1">
      <c r="A11" s="28" t="inlineStr">
        <is>
          <t>APR-10</t>
        </is>
      </c>
      <c r="B11" s="28" t="inlineStr">
        <is>
          <t>Vendor bill payment</t>
        </is>
      </c>
      <c r="C11" s="28" t="inlineStr">
        <is>
          <t>System (approved bill)</t>
        </is>
      </c>
      <c r="D11" s="28" t="inlineStr">
        <is>
          <t>Admin or HR &amp; operations</t>
        </is>
      </c>
      <c r="E11" s="28" t="inlineStr">
        <is>
          <t>-</t>
        </is>
      </c>
      <c r="F11" s="28" t="inlineStr">
        <is>
          <t>Bill due date (vendor payment terms)</t>
        </is>
      </c>
      <c r="G11" s="28" t="inlineStr">
        <is>
          <t>Paid; ledger expense row; payables ageing updates</t>
        </is>
      </c>
      <c r="H11" s="28" t="inlineStr">
        <is>
          <t>-</t>
        </is>
      </c>
      <c r="I11" s="28" t="inlineStr">
        <is>
          <t>Payment date (not future)</t>
        </is>
      </c>
      <c r="J11" s="28" t="inlineStr">
        <is>
          <t>Overdue after due date</t>
        </is>
      </c>
      <c r="K11" s="28" t="inlineStr">
        <is>
          <t>vendor_bill (pay)</t>
        </is>
      </c>
      <c r="L11" s="28" t="inlineStr">
        <is>
          <t>/purchases, /inbox</t>
        </is>
      </c>
      <c r="M11" s="28" t="inlineStr">
        <is>
          <t>SPD-07</t>
        </is>
      </c>
      <c r="N11" s="29" t="inlineStr">
        <is>
          <t>New in v3</t>
        </is>
      </c>
    </row>
    <row r="12" ht="30" customHeight="1">
      <c r="A12" s="28" t="inlineStr">
        <is>
          <t>APR-11</t>
        </is>
      </c>
      <c r="B12" s="28" t="inlineStr">
        <is>
          <t>Appraisal - manager review</t>
        </is>
      </c>
      <c r="C12" s="28" t="inlineStr">
        <is>
          <t>Employee (self review submitted)</t>
        </is>
      </c>
      <c r="D12" s="28" t="inlineStr">
        <is>
          <t>The appraisal's manager (reports-to at launch)</t>
        </is>
      </c>
      <c r="E12" s="28" t="inlineStr">
        <is>
          <t>Active delegate of the manager</t>
        </is>
      </c>
      <c r="F12" s="28" t="inlineStr">
        <is>
          <t>Cycle manager due date</t>
        </is>
      </c>
      <c r="G12" s="28" t="inlineStr">
        <is>
          <t>Goes to HR review</t>
        </is>
      </c>
      <c r="H12" s="28" t="inlineStr">
        <is>
          <t>HR can send back to the manager</t>
        </is>
      </c>
      <c r="I12" s="28" t="inlineStr">
        <is>
          <t>Rating 1-5; comments min 30</t>
        </is>
      </c>
      <c r="J12" s="28" t="inlineStr">
        <is>
          <t>Overdue badge after the cycle date</t>
        </is>
      </c>
      <c r="K12" s="28" t="inlineStr">
        <is>
          <t>appraisal</t>
        </is>
      </c>
      <c r="L12" s="28" t="inlineStr">
        <is>
          <t>/appraisals/:id, /inbox</t>
        </is>
      </c>
      <c r="M12" s="28" t="inlineStr">
        <is>
          <t>HR-12</t>
        </is>
      </c>
      <c r="N12" s="29" t="inlineStr">
        <is>
          <t>New in v3</t>
        </is>
      </c>
    </row>
    <row r="13" ht="56" customHeight="1">
      <c r="A13" s="28" t="inlineStr">
        <is>
          <t>APR-12</t>
        </is>
      </c>
      <c r="B13" s="28" t="inlineStr">
        <is>
          <t>Appraisal - HR review</t>
        </is>
      </c>
      <c r="C13" s="28" t="inlineStr">
        <is>
          <t>Manager (review submitted)</t>
        </is>
      </c>
      <c r="D13" s="28" t="inlineStr">
        <is>
          <t>HR &amp; operations or Admin (appraisals.manage); not for own appraisal</t>
        </is>
      </c>
      <c r="E13" s="28" t="inlineStr">
        <is>
          <t>-</t>
        </is>
      </c>
      <c r="F13" s="28" t="inlineStr">
        <is>
          <t>Cycle HR due date</t>
        </is>
      </c>
      <c r="G13" s="28" t="inlineStr">
        <is>
          <t>Completed and locked with final rating, increment %, promotion; an increment &gt; 0 creates a new cost rate effective the day after the cycle ends; NTF-05</t>
        </is>
      </c>
      <c r="H13" s="28" t="inlineStr">
        <is>
          <t>Send back to manager with reason min 10</t>
        </is>
      </c>
      <c r="I13" s="28" t="inlineStr">
        <is>
          <t>RATING_DEVIATION: explain (min 15) if final differs from system suggestion by more than 1; increment 0-50%</t>
        </is>
      </c>
      <c r="J13" s="28" t="inlineStr">
        <is>
          <t>Cycle cannot close while any appraisal is open (APPRAISALS_OPEN)</t>
        </is>
      </c>
      <c r="K13" s="28" t="inlineStr">
        <is>
          <t>appraisal</t>
        </is>
      </c>
      <c r="L13" s="28" t="inlineStr">
        <is>
          <t>/appraisals/:id, /inbox</t>
        </is>
      </c>
      <c r="M13" s="28" t="inlineStr">
        <is>
          <t>HR-13</t>
        </is>
      </c>
      <c r="N13" s="29" t="inlineStr">
        <is>
          <t>New in v3</t>
        </is>
      </c>
    </row>
    <row r="14" ht="30" customHeight="1">
      <c r="A14" s="28" t="inlineStr">
        <is>
          <t>APR-13</t>
        </is>
      </c>
      <c r="B14" s="28" t="inlineStr">
        <is>
          <t>Goals (KRAs) for the cycle</t>
        </is>
      </c>
      <c r="C14" s="28" t="inlineStr">
        <is>
          <t>Employee</t>
        </is>
      </c>
      <c r="D14" s="28" t="inlineStr">
        <is>
          <t>Person's manager (anyone above in the reporting line) or HR</t>
        </is>
      </c>
      <c r="E14" s="28" t="inlineStr">
        <is>
          <t>-</t>
        </is>
      </c>
      <c r="F14" s="28" t="inlineStr">
        <is>
          <t>Before the self review (no fixed SLA)</t>
        </is>
      </c>
      <c r="G14" s="28" t="inlineStr">
        <is>
          <t>Goal agreed and locked; progress can be logged; NTF-05</t>
        </is>
      </c>
      <c r="H14" s="28" t="inlineStr">
        <is>
          <t>Not approved (stays draft; can be edited)</t>
        </is>
      </c>
      <c r="I14" s="28" t="inlineStr">
        <is>
          <t>Weights must total exactly 100% when the last goal is approved (GOAL_WEIGHTS)</t>
        </is>
      </c>
      <c r="J14" s="28" t="inlineStr">
        <is>
          <t>-</t>
        </is>
      </c>
      <c r="K14" s="28" t="inlineStr">
        <is>
          <t>- (My performance)</t>
        </is>
      </c>
      <c r="L14" s="28" t="inlineStr">
        <is>
          <t>/performance</t>
        </is>
      </c>
      <c r="M14" s="28" t="inlineStr">
        <is>
          <t>HR-08</t>
        </is>
      </c>
      <c r="N14" s="29" t="inlineStr">
        <is>
          <t>New in v3</t>
        </is>
      </c>
    </row>
    <row r="15" ht="43" customHeight="1">
      <c r="A15" s="28" t="inlineStr">
        <is>
          <t>APR-14</t>
        </is>
      </c>
      <c r="B15" s="28" t="inlineStr">
        <is>
          <t>Change request</t>
        </is>
      </c>
      <c r="C15" s="28" t="inlineStr">
        <is>
          <t>PM (on client request)</t>
        </is>
      </c>
      <c r="D15" s="28" t="inlineStr">
        <is>
          <t>Admin or the project PM</t>
        </is>
      </c>
      <c r="E15" s="28" t="inlineStr">
        <is>
          <t>-</t>
        </is>
      </c>
      <c r="F15" s="28" t="inlineStr">
        <is>
          <t>approval.sla_working_days from raise</t>
        </is>
      </c>
      <c r="G15" s="28" t="inlineStr">
        <is>
          <t>Approved: value added to contract; optional new milestone; NTF-14 to raiser</t>
        </is>
      </c>
      <c r="H15" s="28" t="inlineStr">
        <is>
          <t>Rejected; if after project start, logged as scope creep in Lost revenue</t>
        </is>
      </c>
      <c r="I15" s="28" t="inlineStr">
        <is>
          <t>Estimated hours before approval</t>
        </is>
      </c>
      <c r="J15" s="28" t="inlineStr">
        <is>
          <t>Overdue badge</t>
        </is>
      </c>
      <c r="K15" s="28" t="inlineStr">
        <is>
          <t>change_request</t>
        </is>
      </c>
      <c r="L15" s="28" t="inlineStr">
        <is>
          <t>/projects/:id/changes, /inbox</t>
        </is>
      </c>
      <c r="M15" s="28" t="inlineStr">
        <is>
          <t>DEL-08</t>
        </is>
      </c>
      <c r="N15" s="29" t="inlineStr">
        <is>
          <t>Extended</t>
        </is>
      </c>
    </row>
    <row r="16" ht="30" customHeight="1">
      <c r="A16" s="28" t="inlineStr">
        <is>
          <t>APR-15</t>
        </is>
      </c>
      <c r="B16" s="28" t="inlineStr">
        <is>
          <t>Must-read document acknowledgement</t>
        </is>
      </c>
      <c r="C16" s="28" t="inlineStr">
        <is>
          <t>PM / HR publishing a must-read document</t>
        </is>
      </c>
      <c r="D16" s="28" t="inlineStr">
        <is>
          <t>Each required reader (project team, or everyone for company documents)</t>
        </is>
      </c>
      <c r="E16" s="28" t="inlineStr">
        <is>
          <t>-</t>
        </is>
      </c>
      <c r="F16" s="28" t="inlineStr">
        <is>
          <t>approval.sla_working_days from publication</t>
        </is>
      </c>
      <c r="G16" s="28" t="inlineStr">
        <is>
          <t>Acknowledged for the current version; owner sees acknowledged / total</t>
        </is>
      </c>
      <c r="H16" s="28" t="inlineStr">
        <is>
          <t>-</t>
        </is>
      </c>
      <c r="I16" s="28" t="inlineStr">
        <is>
          <t>-</t>
        </is>
      </c>
      <c r="J16" s="28" t="inlineStr">
        <is>
          <t>Overdue badge; new version resets acknowledgements</t>
        </is>
      </c>
      <c r="K16" s="28" t="inlineStr">
        <is>
          <t>document</t>
        </is>
      </c>
      <c r="L16" s="28" t="inlineStr">
        <is>
          <t>/documents, /inbox</t>
        </is>
      </c>
      <c r="M16" s="28" t="inlineStr">
        <is>
          <t>DOC-04</t>
        </is>
      </c>
      <c r="N16" s="29" t="inlineStr">
        <is>
          <t>New in v3</t>
        </is>
      </c>
    </row>
    <row r="17" ht="30" customHeight="1">
      <c r="A17" s="28" t="inlineStr">
        <is>
          <t>APR-16</t>
        </is>
      </c>
      <c r="B17" s="28" t="inlineStr">
        <is>
          <t>Deal reopen (out of Won / Lost)</t>
        </is>
      </c>
      <c r="C17" s="28" t="inlineStr">
        <is>
          <t>Sales</t>
        </is>
      </c>
      <c r="D17" s="28" t="inlineStr">
        <is>
          <t>Admin only</t>
        </is>
      </c>
      <c r="E17" s="28" t="inlineStr">
        <is>
          <t>-</t>
        </is>
      </c>
      <c r="F17" s="28" t="inlineStr">
        <is>
          <t>-</t>
        </is>
      </c>
      <c r="G17" s="28" t="inlineStr">
        <is>
          <t>Deal back in an open stage</t>
        </is>
      </c>
      <c r="H17" s="28" t="inlineStr">
        <is>
          <t>-</t>
        </is>
      </c>
      <c r="I17" s="28" t="inlineStr">
        <is>
          <t>Lost needs a reason; Won needs a value</t>
        </is>
      </c>
      <c r="J17" s="28" t="inlineStr">
        <is>
          <t>-</t>
        </is>
      </c>
      <c r="K17" s="28" t="inlineStr">
        <is>
          <t>- (Pipeline)</t>
        </is>
      </c>
      <c r="L17" s="28" t="inlineStr">
        <is>
          <t>/sales</t>
        </is>
      </c>
      <c r="M17" s="28" t="inlineStr">
        <is>
          <t>SAL-04, SAL-05</t>
        </is>
      </c>
      <c r="N17" s="29" t="inlineStr">
        <is>
          <t>Live</t>
        </is>
      </c>
    </row>
    <row r="18" ht="30" customHeight="1">
      <c r="A18" s="28" t="inlineStr">
        <is>
          <t>APR-17</t>
        </is>
      </c>
      <c r="B18" s="28" t="inlineStr">
        <is>
          <t>Project status to On hold / NPA / Closed</t>
        </is>
      </c>
      <c r="C18" s="28" t="inlineStr">
        <is>
          <t>PM</t>
        </is>
      </c>
      <c r="D18" s="28" t="inlineStr">
        <is>
          <t>Admin or the project PM (no second approver)</t>
        </is>
      </c>
      <c r="E18" s="28" t="inlineStr">
        <is>
          <t>-</t>
        </is>
      </c>
      <c r="F18" s="28" t="inlineStr">
        <is>
          <t>-</t>
        </is>
      </c>
      <c r="G18" s="28" t="inlineStr">
        <is>
          <t>Status changes with reason and history; PM notified</t>
        </is>
      </c>
      <c r="H18" s="28" t="inlineStr">
        <is>
          <t>-</t>
        </is>
      </c>
      <c r="I18" s="28" t="inlineStr">
        <is>
          <t>Reason min 5 (BR_17_REASON_REQUIRED)</t>
        </is>
      </c>
      <c r="J18" s="28" t="inlineStr">
        <is>
          <t>-</t>
        </is>
      </c>
      <c r="K18" s="28" t="inlineStr">
        <is>
          <t>- (Project)</t>
        </is>
      </c>
      <c r="L18" s="28" t="inlineStr">
        <is>
          <t>/projects/:id</t>
        </is>
      </c>
      <c r="M18" s="28" t="inlineStr">
        <is>
          <t>DEL-07</t>
        </is>
      </c>
      <c r="N18" s="29" t="inlineStr">
        <is>
          <t>Live</t>
        </is>
      </c>
    </row>
    <row r="19" ht="56" customHeight="1">
      <c r="A19" s="28" t="inlineStr">
        <is>
          <t>APR-18</t>
        </is>
      </c>
      <c r="B19" s="28" t="inlineStr">
        <is>
          <t>Payroll finalisation</t>
        </is>
      </c>
      <c r="C19" s="28" t="inlineStr">
        <is>
          <t>HR Manager (payroll.run) or CEO</t>
        </is>
      </c>
      <c r="D19" s="28" t="inlineStr">
        <is>
          <t>Maker-checker in Seereon: a second person with Check changes + Finalise payroll (CEO or Administrator); without maker-checker the requester needs payroll.finalise</t>
        </is>
      </c>
      <c r="E19" s="28" t="inlineStr">
        <is>
          <t>-</t>
        </is>
      </c>
      <c r="F19" s="28" t="inlineStr">
        <is>
          <t>Maker-checker SLA (default 2 working days)</t>
        </is>
      </c>
      <c r="G19" s="28" t="inlineStr">
        <is>
          <t>Run recomputed, lines frozen, month locked for rates and holidays</t>
        </is>
      </c>
      <c r="H19" s="28" t="inlineStr">
        <is>
          <t>Rejected with reason (&gt;= 10 characters); run stays draft</t>
        </is>
      </c>
      <c r="I19" s="28" t="inlineStr">
        <is>
          <t>Review warnings (no rate, unapproved weeks); reject reason &gt;= 10</t>
        </is>
      </c>
      <c r="J19" s="28" t="inlineStr">
        <is>
          <t>Overdue after the maker-checker SLA; STALE if the run changed after the request</t>
        </is>
      </c>
      <c r="K19" s="28" t="inlineStr">
        <is>
          <t>change (Changes screen)</t>
        </is>
      </c>
      <c r="L19" s="28" t="inlineStr">
        <is>
          <t>/payroll/:id, /changes</t>
        </is>
      </c>
      <c r="M19" s="28" t="inlineStr">
        <is>
          <t>PAY-04</t>
        </is>
      </c>
      <c r="N19" s="29" t="inlineStr">
        <is>
          <t>Extended</t>
        </is>
      </c>
    </row>
    <row r="20" ht="43" customHeight="1">
      <c r="A20" s="28" t="inlineStr">
        <is>
          <t>APR-21</t>
        </is>
      </c>
      <c r="B20" s="28" t="inlineStr">
        <is>
          <t>Sensitive change (maker-checker)</t>
        </is>
      </c>
      <c r="C20" s="28" t="inlineStr">
        <is>
          <t>Maker: holder of the change's permission</t>
        </is>
      </c>
      <c r="D20" s="28" t="inlineStr">
        <is>
          <t>Anyone else with Check changes + the change's required permission (see Maker-checker sheet)</t>
        </is>
      </c>
      <c r="E20" s="28" t="inlineStr">
        <is>
          <t>-</t>
        </is>
      </c>
      <c r="F20" s="28" t="inlineStr">
        <is>
          <t>tenant maker_checker.sla_days (default 2, range 1-10)</t>
        </is>
      </c>
      <c r="G20" s="28" t="inlineStr">
        <is>
          <t>Change applied; NTF-05 to maker</t>
        </is>
      </c>
      <c r="H20" s="28" t="inlineStr">
        <is>
          <t>Rejected with reason; NTF-05 to maker</t>
        </is>
      </c>
      <c r="I20" s="28" t="inlineStr">
        <is>
          <t>Reject reason &gt;= 10 (REASON_REQUIRED); maker cannot check (MAKER_CANNOT_CHECK)</t>
        </is>
      </c>
      <c r="J20" s="28" t="inlineStr">
        <is>
          <t>Overdue flag; STALE -&gt; failed</t>
        </is>
      </c>
      <c r="K20" s="28" t="inlineStr">
        <is>
          <t>change (Changes screen)</t>
        </is>
      </c>
      <c r="L20" s="28" t="inlineStr">
        <is>
          <t>/changes</t>
        </is>
      </c>
      <c r="M20" s="28" t="inlineStr">
        <is>
          <t>MC-01, MC-02</t>
        </is>
      </c>
      <c r="N20" s="29" t="inlineStr">
        <is>
          <t>New in v4</t>
        </is>
      </c>
    </row>
    <row r="21" ht="30" customHeight="1">
      <c r="A21" s="28" t="inlineStr">
        <is>
          <t>APR-19</t>
        </is>
      </c>
      <c r="B21" s="28" t="inlineStr">
        <is>
          <t>Discount above limit</t>
        </is>
      </c>
      <c r="C21" s="28" t="inlineStr">
        <is>
          <t>Sales / PM</t>
        </is>
      </c>
      <c r="D21" s="28" t="inlineStr">
        <is>
          <t>CEO</t>
        </is>
      </c>
      <c r="E21" s="28" t="inlineStr">
        <is>
          <t>-</t>
        </is>
      </c>
      <c r="F21" s="28" t="inlineStr">
        <is>
          <t>1 working day (recommended)</t>
        </is>
      </c>
      <c r="G21" s="28" t="inlineStr">
        <is>
          <t>Discount allowed and auto-logged as leakage</t>
        </is>
      </c>
      <c r="H21" s="28" t="inlineStr">
        <is>
          <t>Quote must be revised</t>
        </is>
      </c>
      <c r="I21" s="28" t="inlineStr">
        <is>
          <t>Reason and client context</t>
        </is>
      </c>
      <c r="J21" s="28" t="inlineStr">
        <is>
          <t>Inbox overdue</t>
        </is>
      </c>
      <c r="K21" s="28" t="inlineStr">
        <is>
          <t>discount (proposed)</t>
        </is>
      </c>
      <c r="L21" s="28" t="inlineStr">
        <is>
          <t>-</t>
        </is>
      </c>
      <c r="M21" s="28" t="inlineStr">
        <is>
          <t>REV-08</t>
        </is>
      </c>
      <c r="N21" s="29" t="inlineStr">
        <is>
          <t>Planned</t>
        </is>
      </c>
    </row>
    <row r="22" ht="30" customHeight="1">
      <c r="A22" s="28" t="inlineStr">
        <is>
          <t>APR-20</t>
        </is>
      </c>
      <c r="B22" s="28" t="inlineStr">
        <is>
          <t>Travel request and advance</t>
        </is>
      </c>
      <c r="C22" s="28" t="inlineStr">
        <is>
          <t>Employee</t>
        </is>
      </c>
      <c r="D22" s="28" t="inlineStr">
        <is>
          <t>Project PM, else reports-to manager; Admin above a limit</t>
        </is>
      </c>
      <c r="E22" s="28" t="inlineStr">
        <is>
          <t>Delegate</t>
        </is>
      </c>
      <c r="F22" s="28" t="inlineStr">
        <is>
          <t>2 working days (recommended)</t>
        </is>
      </c>
      <c r="G22" s="28" t="inlineStr">
        <is>
          <t>Travel booked, advance paid</t>
        </is>
      </c>
      <c r="H22" s="28" t="inlineStr">
        <is>
          <t>Rejected with reason</t>
        </is>
      </c>
      <c r="I22" s="28" t="inlineStr">
        <is>
          <t>Purpose, project, estimate</t>
        </is>
      </c>
      <c r="J22" s="28" t="inlineStr">
        <is>
          <t>Inbox overdue</t>
        </is>
      </c>
      <c r="K22" s="28" t="inlineStr">
        <is>
          <t>travel (proposed)</t>
        </is>
      </c>
      <c r="L22" s="28" t="inlineStr">
        <is>
          <t>-</t>
        </is>
      </c>
      <c r="M22" s="28" t="inlineStr">
        <is>
          <t>SPD-11</t>
        </is>
      </c>
      <c r="N22" s="29" t="inlineStr">
        <is>
          <t>Planned</t>
        </is>
      </c>
    </row>
  </sheetData>
  <autoFilter ref="A1:N22"/>
  <conditionalFormatting sqref="N2:N22">
    <cfRule type="expression" priority="1" dxfId="0">
      <formula>$N2="Live"</formula>
    </cfRule>
    <cfRule type="expression" priority="2" dxfId="1">
      <formula>$N2="Extended"</formula>
    </cfRule>
    <cfRule type="expression" priority="3" dxfId="2">
      <formula>$N2="New in v3"</formula>
    </cfRule>
    <cfRule type="expression" priority="4" dxfId="3">
      <formula>$N2="New in v4"</formula>
    </cfRule>
    <cfRule type="expression" priority="5" dxfId="4">
      <formula>$N2="Planned"</formula>
    </cfRule>
  </conditionalFormatting>
  <printOptions gridLines="0"/>
  <pageMargins left="0.4" right="0.4" top="1" bottom="1" header="0.5" footer="0.5"/>
  <pageSetup orientation="landscape" paperSize="9" fitToHeight="0" fitToWidth="1"/>
  <headerFooter>
    <oddHeader/>
    <oddFooter>&amp;C&amp;8SeereonOS Business Process Catalogue v4 - page &amp;P of &amp;N</oddFooter>
    <evenHeader/>
    <evenFooter/>
    <firstHeader/>
    <firstFooter/>
  </headerFooter>
</worksheet>
</file>

<file path=xl/worksheets/sheet9.xml><?xml version="1.0" encoding="utf-8"?>
<worksheet xmlns="http://schemas.openxmlformats.org/spreadsheetml/2006/main">
  <sheetPr>
    <tabColor rgb="000C6B4E"/>
    <outlinePr summaryBelow="1" summaryRight="1"/>
    <pageSetUpPr fitToPage="1"/>
  </sheetPr>
  <dimension ref="A1:I5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34" customWidth="1" min="2" max="2"/>
    <col width="60" customWidth="1" min="3" max="3"/>
    <col width="26" customWidth="1" min="4" max="4"/>
    <col width="20" customWidth="1" min="5" max="5"/>
    <col width="16" customWidth="1" min="6" max="6"/>
    <col width="36" customWidth="1" min="7" max="7"/>
    <col width="28" customWidth="1" min="8" max="8"/>
    <col width="11" customWidth="1" min="9" max="9"/>
  </cols>
  <sheetData>
    <row r="1" ht="30" customHeight="1">
      <c r="A1" s="25" t="inlineStr">
        <is>
          <t>KPI</t>
        </is>
      </c>
      <c r="B1" s="25" t="inlineStr">
        <is>
          <t>Definition</t>
        </is>
      </c>
      <c r="C1" s="25" t="inlineStr">
        <is>
          <t>Formula (as computed)</t>
        </is>
      </c>
      <c r="D1" s="25" t="inlineStr">
        <is>
          <t>Source data</t>
        </is>
      </c>
      <c r="E1" s="25" t="inlineStr">
        <is>
          <t>Frequency / window</t>
        </is>
      </c>
      <c r="F1" s="25" t="inlineStr">
        <is>
          <t>Owner role</t>
        </is>
      </c>
      <c r="G1" s="25" t="inlineStr">
        <is>
          <t>Where shown</t>
        </is>
      </c>
      <c r="H1" s="25" t="inlineStr">
        <is>
          <t>Target / threshold setting</t>
        </is>
      </c>
      <c r="I1" s="27" t="inlineStr">
        <is>
          <t>Status</t>
        </is>
      </c>
    </row>
    <row r="2" ht="56" customHeight="1">
      <c r="A2" s="28" t="inlineStr">
        <is>
          <t>Task on-time %</t>
        </is>
      </c>
      <c r="B2" s="28" t="inlineStr">
        <is>
          <t>Share of completed tasks finished on or before the due date</t>
        </is>
      </c>
      <c r="C2" s="28" t="inlineStr">
        <is>
          <t>(early + on time) / completed tasks in the window</t>
        </is>
      </c>
      <c r="D2" s="28" t="inlineStr">
        <is>
          <t>tasks (status done, timeliness)</t>
        </is>
      </c>
      <c r="E2" s="28" t="inlineStr">
        <is>
          <t>Last 90 days on dashboards; any period in Team tasks</t>
        </is>
      </c>
      <c r="F2" s="28" t="inlineStr">
        <is>
          <t>Line manager / PM</t>
        </is>
      </c>
      <c r="G2" s="28" t="inlineStr">
        <is>
          <t>CEO, HR &amp; operations, PM, Employee Home (task delivery); CEO People panel; Reports / Ask AI; Team tasks &gt; Performance; My performance; Appraisal</t>
        </is>
      </c>
      <c r="H2" s="28" t="inlineStr">
        <is>
          <t>Tone: green / amber / red bands on panels</t>
        </is>
      </c>
      <c r="I2" s="29" t="inlineStr">
        <is>
          <t>New in v3</t>
        </is>
      </c>
    </row>
    <row r="3" ht="30" customHeight="1">
      <c r="A3" s="28" t="inlineStr">
        <is>
          <t>Timeliness (early / on time / late)</t>
        </is>
      </c>
      <c r="B3" s="28" t="inlineStr">
        <is>
          <t>Classification of each completed task</t>
        </is>
      </c>
      <c r="C3" s="28" t="inlineStr">
        <is>
          <t>variance = signed working days between due date and submission date (weekends, holidays excluded); &lt; 0 early, = 0 on time, &gt; 0 late</t>
        </is>
      </c>
      <c r="D3" s="28" t="inlineStr">
        <is>
          <t>tasks.due_on, submission date, calendar</t>
        </is>
      </c>
      <c r="E3" s="28" t="inlineStr">
        <is>
          <t>Per task</t>
        </is>
      </c>
      <c r="F3" s="28" t="inlineStr">
        <is>
          <t>Reviewer</t>
        </is>
      </c>
      <c r="G3" s="28" t="inlineStr">
        <is>
          <t>Task drawer, Team tasks, inbox</t>
        </is>
      </c>
      <c r="H3" s="28" t="inlineStr">
        <is>
          <t>-</t>
        </is>
      </c>
      <c r="I3" s="29" t="inlineStr">
        <is>
          <t>New in v3</t>
        </is>
      </c>
    </row>
    <row r="4" ht="17" customHeight="1">
      <c r="A4" s="28" t="inlineStr">
        <is>
          <t>Average variance (days)</t>
        </is>
      </c>
      <c r="B4" s="28" t="inlineStr">
        <is>
          <t>How early or late work lands on average</t>
        </is>
      </c>
      <c r="C4" s="28" t="inlineStr">
        <is>
          <t>sum(variance days) / completed tasks</t>
        </is>
      </c>
      <c r="D4" s="28" t="inlineStr">
        <is>
          <t>tasks.variance_days</t>
        </is>
      </c>
      <c r="E4" s="28" t="inlineStr">
        <is>
          <t>Period</t>
        </is>
      </c>
      <c r="F4" s="28" t="inlineStr">
        <is>
          <t>Line manager</t>
        </is>
      </c>
      <c r="G4" s="28" t="inlineStr">
        <is>
          <t>Team tasks &gt; Performance, My performance</t>
        </is>
      </c>
      <c r="H4" s="28" t="inlineStr">
        <is>
          <t>0 or negative is good</t>
        </is>
      </c>
      <c r="I4" s="29" t="inlineStr">
        <is>
          <t>New in v3</t>
        </is>
      </c>
    </row>
    <row r="5" ht="30" customHeight="1">
      <c r="A5" s="28" t="inlineStr">
        <is>
          <t>First-pass approval %</t>
        </is>
      </c>
      <c r="B5" s="28" t="inlineStr">
        <is>
          <t>Share of reviewed tasks approved without a send-back</t>
        </is>
      </c>
      <c r="C5" s="28" t="inlineStr">
        <is>
          <t>done tasks with reviews and no "sent back" decision / done tasks with reviews</t>
        </is>
      </c>
      <c r="D5" s="28" t="inlineStr">
        <is>
          <t>task_reviews</t>
        </is>
      </c>
      <c r="E5" s="28" t="inlineStr">
        <is>
          <t>Period</t>
        </is>
      </c>
      <c r="F5" s="28" t="inlineStr">
        <is>
          <t>Line manager</t>
        </is>
      </c>
      <c r="G5" s="28" t="inlineStr">
        <is>
          <t>Team tasks &gt; Performance, My performance, Appraisal</t>
        </is>
      </c>
      <c r="H5" s="28" t="inlineStr">
        <is>
          <t>-</t>
        </is>
      </c>
      <c r="I5" s="29" t="inlineStr">
        <is>
          <t>New in v3</t>
        </is>
      </c>
    </row>
    <row r="6" ht="30" customHeight="1">
      <c r="A6" s="28" t="inlineStr">
        <is>
          <t>Average quality rating</t>
        </is>
      </c>
      <c r="B6" s="28" t="inlineStr">
        <is>
          <t>Reviewer's quality score of approved work</t>
        </is>
      </c>
      <c r="C6" s="28" t="inlineStr">
        <is>
          <t>mean(quality_rating 1-5) over completed tasks</t>
        </is>
      </c>
      <c r="D6" s="28" t="inlineStr">
        <is>
          <t>tasks.quality_rating</t>
        </is>
      </c>
      <c r="E6" s="28" t="inlineStr">
        <is>
          <t>Period</t>
        </is>
      </c>
      <c r="F6" s="28" t="inlineStr">
        <is>
          <t>Reviewer</t>
        </is>
      </c>
      <c r="G6" s="28" t="inlineStr">
        <is>
          <t>Team tasks &gt; Performance, My performance, Appraisal</t>
        </is>
      </c>
      <c r="H6" s="28" t="inlineStr">
        <is>
          <t>-</t>
        </is>
      </c>
      <c r="I6" s="29" t="inlineStr">
        <is>
          <t>New in v3</t>
        </is>
      </c>
    </row>
    <row r="7" ht="17" customHeight="1">
      <c r="A7" s="28" t="inlineStr">
        <is>
          <t>Sent-back count</t>
        </is>
      </c>
      <c r="B7" s="28" t="inlineStr">
        <is>
          <t>Rework rounds</t>
        </is>
      </c>
      <c r="C7" s="28" t="inlineStr">
        <is>
          <t>count of task_reviews with decision = sent_back</t>
        </is>
      </c>
      <c r="D7" s="28" t="inlineStr">
        <is>
          <t>task_reviews</t>
        </is>
      </c>
      <c r="E7" s="28" t="inlineStr">
        <is>
          <t>Period</t>
        </is>
      </c>
      <c r="F7" s="28" t="inlineStr">
        <is>
          <t>Line manager</t>
        </is>
      </c>
      <c r="G7" s="28" t="inlineStr">
        <is>
          <t>Team tasks</t>
        </is>
      </c>
      <c r="H7" s="28" t="inlineStr">
        <is>
          <t>-</t>
        </is>
      </c>
      <c r="I7" s="29" t="inlineStr">
        <is>
          <t>New in v3</t>
        </is>
      </c>
    </row>
    <row r="8" ht="17" customHeight="1">
      <c r="A8" s="28" t="inlineStr">
        <is>
          <t>Delay reasons</t>
        </is>
      </c>
      <c r="B8" s="28" t="inlineStr">
        <is>
          <t>Why tasks were late</t>
        </is>
      </c>
      <c r="C8" s="28" t="inlineStr">
        <is>
          <t>count of tasks by delay_reason_code (top 3 per person, top 9 overall)</t>
        </is>
      </c>
      <c r="D8" s="28" t="inlineStr">
        <is>
          <t>tasks.delay_reason_code</t>
        </is>
      </c>
      <c r="E8" s="28" t="inlineStr">
        <is>
          <t>Period</t>
        </is>
      </c>
      <c r="F8" s="28" t="inlineStr">
        <is>
          <t>Line manager</t>
        </is>
      </c>
      <c r="G8" s="28" t="inlineStr">
        <is>
          <t>Team tasks &gt; Performance</t>
        </is>
      </c>
      <c r="H8" s="28" t="inlineStr">
        <is>
          <t>-</t>
        </is>
      </c>
      <c r="I8" s="29" t="inlineStr">
        <is>
          <t>New in v3</t>
        </is>
      </c>
    </row>
    <row r="9" ht="30" customHeight="1">
      <c r="A9" s="28" t="inlineStr">
        <is>
          <t>Overdue open tasks</t>
        </is>
      </c>
      <c r="B9" s="28" t="inlineStr">
        <is>
          <t>Open work past its due date</t>
        </is>
      </c>
      <c r="C9" s="28" t="inlineStr">
        <is>
          <t>count(open tasks with due_on &lt; today); overdue days = working days since due</t>
        </is>
      </c>
      <c r="D9" s="28" t="inlineStr">
        <is>
          <t>tasks</t>
        </is>
      </c>
      <c r="E9" s="28" t="inlineStr">
        <is>
          <t>Live</t>
        </is>
      </c>
      <c r="F9" s="28" t="inlineStr">
        <is>
          <t>PM / Line manager</t>
        </is>
      </c>
      <c r="G9" s="28" t="inlineStr">
        <is>
          <t>Employee Home, Team tasks, CEO delivery</t>
        </is>
      </c>
      <c r="H9" s="28" t="inlineStr">
        <is>
          <t>-</t>
        </is>
      </c>
      <c r="I9" s="29" t="inlineStr">
        <is>
          <t>Live</t>
        </is>
      </c>
    </row>
    <row r="10" ht="30" customHeight="1">
      <c r="A10" s="28" t="inlineStr">
        <is>
          <t>Effort ratio</t>
        </is>
      </c>
      <c r="B10" s="28" t="inlineStr">
        <is>
          <t>How long work takes vs estimate (BR-26)</t>
        </is>
      </c>
      <c r="C10" s="28" t="inlineStr">
        <is>
          <t>actual hours / estimated hours (finished tasks with logged time; otherwise open work vs pro-rata estimate)</t>
        </is>
      </c>
      <c r="D10" s="28" t="inlineStr">
        <is>
          <t>timesheet_entries, tasks.est_hours</t>
        </is>
      </c>
      <c r="E10" s="28" t="inlineStr">
        <is>
          <t>Per task / project</t>
        </is>
      </c>
      <c r="F10" s="28" t="inlineStr">
        <is>
          <t>PM</t>
        </is>
      </c>
      <c r="G10" s="28" t="inlineStr">
        <is>
          <t>Project money tab, Insights &gt; Effort overruns, Estimation accuracy</t>
        </is>
      </c>
      <c r="H10" s="28" t="inlineStr">
        <is>
          <t>projects.effort_ratio_alert = 1.2</t>
        </is>
      </c>
      <c r="I10" s="29" t="inlineStr">
        <is>
          <t>Live</t>
        </is>
      </c>
    </row>
    <row r="11" ht="43" customHeight="1">
      <c r="A11" s="28" t="inlineStr">
        <is>
          <t>SPI (schedule performance)</t>
        </is>
      </c>
      <c r="B11" s="28" t="inlineStr">
        <is>
          <t>Earned vs planned progress by today</t>
        </is>
      </c>
      <c r="C11" s="28" t="inlineStr">
        <is>
          <t>earned / planned, capped at 2; earned = estimate of done tasks + 50% of logged (capped) on open tasks; planned = estimate due by today, linear over each task window</t>
        </is>
      </c>
      <c r="D11" s="28" t="inlineStr">
        <is>
          <t>tasks, hours</t>
        </is>
      </c>
      <c r="E11" s="28" t="inlineStr">
        <is>
          <t>Live</t>
        </is>
      </c>
      <c r="F11" s="28" t="inlineStr">
        <is>
          <t>PM</t>
        </is>
      </c>
      <c r="G11" s="28" t="inlineStr">
        <is>
          <t>CEO delivery, PM delivery control, project</t>
        </is>
      </c>
      <c r="H11" s="28" t="inlineStr">
        <is>
          <t>SPI &lt; 0.8 on an active project turns health At risk</t>
        </is>
      </c>
      <c r="I11" s="29" t="inlineStr">
        <is>
          <t>Live</t>
        </is>
      </c>
    </row>
    <row r="12" ht="43" customHeight="1">
      <c r="A12" s="28" t="inlineStr">
        <is>
          <t>Project health</t>
        </is>
      </c>
      <c r="B12" s="28" t="inlineStr">
        <is>
          <t>On track / At risk / Off track</t>
        </is>
      </c>
      <c r="C12" s="28" t="inlineStr">
        <is>
          <t>Off track if projected margin &lt; 0, or (margin below floor AND effort ratio &gt; alert), or 2+ overdue milestones; At risk if margin below floor, or effort ratio &gt; alert, or 1 overdue milestone, or SPI &lt; 0.8</t>
        </is>
      </c>
      <c r="D12" s="28" t="inlineStr">
        <is>
          <t>project metrics</t>
        </is>
      </c>
      <c r="E12" s="28" t="inlineStr">
        <is>
          <t>Live</t>
        </is>
      </c>
      <c r="F12" s="28" t="inlineStr">
        <is>
          <t>PM</t>
        </is>
      </c>
      <c r="G12" s="28" t="inlineStr">
        <is>
          <t>CEO project health strip, PM delivery control, Projects list</t>
        </is>
      </c>
      <c r="H12" s="28" t="inlineStr">
        <is>
          <t>projects.margin_floor_pct 25%, effort_ratio_alert 1.2</t>
        </is>
      </c>
      <c r="I12" s="29" t="inlineStr">
        <is>
          <t>Live</t>
        </is>
      </c>
    </row>
    <row r="13" ht="30" customHeight="1">
      <c r="A13" s="28" t="inlineStr">
        <is>
          <t>Cost per hour</t>
        </is>
      </c>
      <c r="B13" s="28" t="inlineStr">
        <is>
          <t>Hourly cost of a person (BR-23)</t>
        </is>
      </c>
      <c r="C13" s="28" t="inlineStr">
        <is>
          <t>monthly CTC / (working days in month x min hours per day); rate valid on the work date</t>
        </is>
      </c>
      <c r="D13" s="28" t="inlineStr">
        <is>
          <t>cost_rates, calendar</t>
        </is>
      </c>
      <c r="E13" s="28" t="inlineStr">
        <is>
          <t>Per day worked</t>
        </is>
      </c>
      <c r="F13" s="28" t="inlineStr">
        <is>
          <t>CEO</t>
        </is>
      </c>
      <c r="G13" s="28" t="inlineStr">
        <is>
          <t>Project money, P&amp;L</t>
        </is>
      </c>
      <c r="H13" s="28" t="inlineStr">
        <is>
          <t>calendar.min_hours_per_day 9</t>
        </is>
      </c>
      <c r="I13" s="29" t="inlineStr">
        <is>
          <t>Live</t>
        </is>
      </c>
    </row>
    <row r="14" ht="30" customHeight="1">
      <c r="A14" s="28" t="inlineStr">
        <is>
          <t>Margin % vs markup %</t>
        </is>
      </c>
      <c r="B14" s="28" t="inlineStr">
        <is>
          <t>Profitability (BR-24); shown side by side</t>
        </is>
      </c>
      <c r="C14" s="28" t="inlineStr">
        <is>
          <t>margin = (revenue - cost) / revenue; markup = (revenue - cost) / cost</t>
        </is>
      </c>
      <c r="D14" s="28" t="inlineStr">
        <is>
          <t>invoices / contract value, costed hours</t>
        </is>
      </c>
      <c r="E14" s="28" t="inlineStr">
        <is>
          <t>Planned / projected / actual (BR-25)</t>
        </is>
      </c>
      <c r="F14" s="28" t="inlineStr">
        <is>
          <t>PM / CEO</t>
        </is>
      </c>
      <c r="G14" s="28" t="inlineStr">
        <is>
          <t>Project money tab, P&amp;L, CEO Home</t>
        </is>
      </c>
      <c r="H14" s="28" t="inlineStr">
        <is>
          <t>MARGIN_BELOW_FLOOR below 25%</t>
        </is>
      </c>
      <c r="I14" s="29" t="inlineStr">
        <is>
          <t>Live</t>
        </is>
      </c>
    </row>
    <row r="15" ht="30" customHeight="1">
      <c r="A15" s="28" t="inlineStr">
        <is>
          <t>Planned / projected / actual cost</t>
        </is>
      </c>
      <c r="B15" s="28" t="inlineStr">
        <is>
          <t>Three views of project cost (BR-25)</t>
        </is>
      </c>
      <c r="C15" s="28" t="inlineStr">
        <is>
          <t>planned = sum(est hours x owner rate); projected = logged cost + remaining estimate x rate; actual = approved hours x rate</t>
        </is>
      </c>
      <c r="D15" s="28" t="inlineStr">
        <is>
          <t>tasks, hours, cost_rates</t>
        </is>
      </c>
      <c r="E15" s="28" t="inlineStr">
        <is>
          <t>Live</t>
        </is>
      </c>
      <c r="F15" s="28" t="inlineStr">
        <is>
          <t>PM</t>
        </is>
      </c>
      <c r="G15" s="28" t="inlineStr">
        <is>
          <t>Project money tab</t>
        </is>
      </c>
      <c r="H15" s="28" t="inlineStr">
        <is>
          <t>-</t>
        </is>
      </c>
      <c r="I15" s="29" t="inlineStr">
        <is>
          <t>Live</t>
        </is>
      </c>
    </row>
    <row r="16" ht="17" customHeight="1">
      <c r="A16" s="28" t="inlineStr">
        <is>
          <t>Milestones on time %</t>
        </is>
      </c>
      <c r="B16" s="28" t="inlineStr">
        <is>
          <t>Delivery reliability of milestones</t>
        </is>
      </c>
      <c r="C16" s="28" t="inlineStr">
        <is>
          <t>achieved on or before planned end / achieved milestones</t>
        </is>
      </c>
      <c r="D16" s="28" t="inlineStr">
        <is>
          <t>milestones</t>
        </is>
      </c>
      <c r="E16" s="28" t="inlineStr">
        <is>
          <t>Period</t>
        </is>
      </c>
      <c r="F16" s="28" t="inlineStr">
        <is>
          <t>PM</t>
        </is>
      </c>
      <c r="G16" s="28" t="inlineStr">
        <is>
          <t>CEO delivery</t>
        </is>
      </c>
      <c r="H16" s="28" t="inlineStr">
        <is>
          <t>-</t>
        </is>
      </c>
      <c r="I16" s="29" t="inlineStr">
        <is>
          <t>Live</t>
        </is>
      </c>
    </row>
    <row r="17" ht="30" customHeight="1">
      <c r="A17" s="28" t="inlineStr">
        <is>
          <t>Utilisation</t>
        </is>
      </c>
      <c r="B17" s="28" t="inlineStr">
        <is>
          <t>How loaded the delivery team is</t>
        </is>
      </c>
      <c r="C17" s="28" t="inlineStr">
        <is>
          <t>average over delivery people of mean daily allocation % over the next 10 working days</t>
        </is>
      </c>
      <c r="D17" s="28" t="inlineStr">
        <is>
          <t>allocations</t>
        </is>
      </c>
      <c r="E17" s="28" t="inlineStr">
        <is>
          <t>Next 10 working days</t>
        </is>
      </c>
      <c r="F17" s="28" t="inlineStr">
        <is>
          <t>PM</t>
        </is>
      </c>
      <c r="G17" s="28" t="inlineStr">
        <is>
          <t>CEO delivery, PM resource load, Insights &gt; Allocation</t>
        </is>
      </c>
      <c r="H17" s="28" t="inlineStr">
        <is>
          <t>Outliers &lt; 80% or &gt; 110%; allocation.max_pct_per_person 100</t>
        </is>
      </c>
      <c r="I17" s="29" t="inlineStr">
        <is>
          <t>Live</t>
        </is>
      </c>
    </row>
    <row r="18" ht="43" customHeight="1">
      <c r="A18" s="28" t="inlineStr">
        <is>
          <t>Delivery prediction P50 / P80</t>
        </is>
      </c>
      <c r="B18" s="28" t="inlineStr">
        <is>
          <t>Likely finish dates</t>
        </is>
      </c>
      <c r="C18" s="28" t="inlineStr">
        <is>
          <t>each person's queue re-run 6 times with their own effort-ratio quantiles (best 20% to worst 10%); P50 typical, P80 bad-but-realistic; chance on time = share of runs by deadline</t>
        </is>
      </c>
      <c r="D18" s="28" t="inlineStr">
        <is>
          <t>tasks, history</t>
        </is>
      </c>
      <c r="E18" s="28" t="inlineStr">
        <is>
          <t>Live</t>
        </is>
      </c>
      <c r="F18" s="28" t="inlineStr">
        <is>
          <t>PM</t>
        </is>
      </c>
      <c r="G18" s="28" t="inlineStr">
        <is>
          <t>Insights &gt; Predictions, project schedule</t>
        </is>
      </c>
      <c r="H18" s="28" t="inlineStr">
        <is>
          <t>-</t>
        </is>
      </c>
      <c r="I18" s="29" t="inlineStr">
        <is>
          <t>Live</t>
        </is>
      </c>
    </row>
    <row r="19" ht="30" customHeight="1">
      <c r="A19" s="28" t="inlineStr">
        <is>
          <t>Timesheet compliance (insights)</t>
        </is>
      </c>
      <c r="B19" s="28" t="inlineStr">
        <is>
          <t>Discipline in submitting time</t>
        </is>
      </c>
      <c r="C19" s="28" t="inlineStr">
        <is>
          <t>weeks submitted or approved / last 8 completed weeks</t>
        </is>
      </c>
      <c r="D19" s="28" t="inlineStr">
        <is>
          <t>timesheet_weeks</t>
        </is>
      </c>
      <c r="E19" s="28" t="inlineStr">
        <is>
          <t>Last 8 weeks</t>
        </is>
      </c>
      <c r="F19" s="28" t="inlineStr">
        <is>
          <t>Line manager / HR</t>
        </is>
      </c>
      <c r="G19" s="28" t="inlineStr">
        <is>
          <t>Insights, PM Home, HR Home (missing last week)</t>
        </is>
      </c>
      <c r="H19" s="28" t="inlineStr">
        <is>
          <t>Green &gt;= 90%, amber &gt;= 75%, red below</t>
        </is>
      </c>
      <c r="I19" s="29" t="inlineStr">
        <is>
          <t>Live</t>
        </is>
      </c>
    </row>
    <row r="20" ht="30" customHeight="1">
      <c r="A20" s="28" t="inlineStr">
        <is>
          <t>Timesheet compliance (appraisal)</t>
        </is>
      </c>
      <c r="B20" s="28" t="inlineStr">
        <is>
          <t>Approved-week discipline for appraisal</t>
        </is>
      </c>
      <c r="C20" s="28" t="inlineStr">
        <is>
          <t>approved weeks / expected weeks since joining (or since company adoption) in the period; score reduced 0.1 per late week (max 0.5)</t>
        </is>
      </c>
      <c r="D20" s="28" t="inlineStr">
        <is>
          <t>timesheet_weeks</t>
        </is>
      </c>
      <c r="E20" s="28" t="inlineStr">
        <is>
          <t>Appraisal period</t>
        </is>
      </c>
      <c r="F20" s="28" t="inlineStr">
        <is>
          <t>HR</t>
        </is>
      </c>
      <c r="G20" s="28" t="inlineStr">
        <is>
          <t>Appraisal, My performance</t>
        </is>
      </c>
      <c r="H20" s="28" t="inlineStr">
        <is>
          <t>-</t>
        </is>
      </c>
      <c r="I20" s="29" t="inlineStr">
        <is>
          <t>New in v3</t>
        </is>
      </c>
    </row>
    <row r="21" ht="30" customHeight="1">
      <c r="A21" s="28" t="inlineStr">
        <is>
          <t>Approval KPI</t>
        </is>
      </c>
      <c r="B21" s="28" t="inlineStr">
        <is>
          <t>Manager approval discipline (BR-11)</t>
        </is>
      </c>
      <c r="C21" s="28" t="inlineStr">
        <is>
          <t>-(late decisions + submissions pending past SLA); 0 is perfect</t>
        </is>
      </c>
      <c r="D21" s="28" t="inlineStr">
        <is>
          <t>timesheet_weeks</t>
        </is>
      </c>
      <c r="E21" s="28" t="inlineStr">
        <is>
          <t>Last 8 weeks</t>
        </is>
      </c>
      <c r="F21" s="28" t="inlineStr">
        <is>
          <t>Line manager</t>
        </is>
      </c>
      <c r="G21" s="28" t="inlineStr">
        <is>
          <t>CEO Home (approvals by manager), Insights &gt; Approval KPI</t>
        </is>
      </c>
      <c r="H21" s="28" t="inlineStr">
        <is>
          <t>approval.sla_working_days 2</t>
        </is>
      </c>
      <c r="I21" s="29" t="inlineStr">
        <is>
          <t>Live</t>
        </is>
      </c>
    </row>
    <row r="22" ht="30" customHeight="1">
      <c r="A22" s="28" t="inlineStr">
        <is>
          <t>Approval SLA %</t>
        </is>
      </c>
      <c r="B22" s="28" t="inlineStr">
        <is>
          <t>Share of a manager's timesheet decisions made within SLA</t>
        </is>
      </c>
      <c r="C22" s="28" t="inlineStr">
        <is>
          <t>decisions on or before SLA due / decisions (own weeks excluded)</t>
        </is>
      </c>
      <c r="D22" s="28" t="inlineStr">
        <is>
          <t>timesheet_weeks</t>
        </is>
      </c>
      <c r="E22" s="28" t="inlineStr">
        <is>
          <t>Period</t>
        </is>
      </c>
      <c r="F22" s="28" t="inlineStr">
        <is>
          <t>Line manager</t>
        </is>
      </c>
      <c r="G22" s="28" t="inlineStr">
        <is>
          <t>My performance, Appraisal (manager task score)</t>
        </is>
      </c>
      <c r="H22" s="28" t="inlineStr">
        <is>
          <t>-</t>
        </is>
      </c>
      <c r="I22" s="29" t="inlineStr">
        <is>
          <t>New in v3</t>
        </is>
      </c>
    </row>
    <row r="23" ht="56" customHeight="1">
      <c r="A23" s="28" t="inlineStr">
        <is>
          <t>Weekly scorecard score</t>
        </is>
      </c>
      <c r="B23" s="28" t="inlineStr">
        <is>
          <t>Weekly habit score per person</t>
        </is>
      </c>
      <c r="C23" s="28" t="inlineStr">
        <is>
          <t>average of available cells (each 0-100): delivery (due tasks on time), demo, activities (15/week), follow-ups (100 - 25 per overdue next step), new leads (2/week), ops on time, updates (days / working days), timesheet (hours / working days x min hours), approvals on time</t>
        </is>
      </c>
      <c r="D23" s="28" t="inlineStr">
        <is>
          <t>daily updates, hours, tasks, deals, ops items, weeks</t>
        </is>
      </c>
      <c r="E23" s="28" t="inlineStr">
        <is>
          <t>Week (Mon-Sat)</t>
        </is>
      </c>
      <c r="F23" s="28" t="inlineStr">
        <is>
          <t>Line manager</t>
        </is>
      </c>
      <c r="G23" s="28" t="inlineStr">
        <is>
          <t>Scorecard</t>
        </is>
      </c>
      <c r="H23" s="28" t="inlineStr">
        <is>
          <t>Green 90+, amber 75-89, red below 75</t>
        </is>
      </c>
      <c r="I23" s="29" t="inlineStr">
        <is>
          <t>Live</t>
        </is>
      </c>
    </row>
    <row r="24" ht="82" customHeight="1">
      <c r="A24" s="28" t="inlineStr">
        <is>
          <t>Appraisal system score</t>
        </is>
      </c>
      <c r="B24" s="28" t="inlineStr">
        <is>
          <t>Evidence-based suggested rating</t>
        </is>
      </c>
      <c r="C24" s="28" t="inlineStr">
        <is>
          <t>weighted mean of available components using cycle weights (goals, tasks, timesheets, behaviour = 100): tasks = scale(0.6 on-time % + 0.2 first-pass % + 0.2 quality + 0.15 approval SLA for managers, re-weighted); timesheets = scale(compliance) - min(0.5, 0.1 x late weeks); goals = scale(goals score); behaviour = manager rating; scale(x) = 1 + 4x, clamped 1-5</t>
        </is>
      </c>
      <c r="D24" s="28" t="inlineStr">
        <is>
          <t>tasks, reviews, weeks, goals, ratings</t>
        </is>
      </c>
      <c r="E24" s="28" t="inlineStr">
        <is>
          <t>Appraisal cycle</t>
        </is>
      </c>
      <c r="F24" s="28" t="inlineStr">
        <is>
          <t>HR</t>
        </is>
      </c>
      <c r="G24" s="28" t="inlineStr">
        <is>
          <t>Appraisal (manager and HR review)</t>
        </is>
      </c>
      <c r="H24" s="28" t="inlineStr">
        <is>
          <t>RATING_DEVIATION if final differs by more than 1</t>
        </is>
      </c>
      <c r="I24" s="29" t="inlineStr">
        <is>
          <t>New in v3</t>
        </is>
      </c>
    </row>
    <row r="25" ht="30" customHeight="1">
      <c r="A25" s="28" t="inlineStr">
        <is>
          <t>Goals score</t>
        </is>
      </c>
      <c r="B25" s="28" t="inlineStr">
        <is>
          <t>Achievement of agreed goals</t>
        </is>
      </c>
      <c r="C25" s="28" t="inlineStr">
        <is>
          <t>sum(weight x min(1, current / target)) / sum(weight), agreed goals only</t>
        </is>
      </c>
      <c r="D25" s="28" t="inlineStr">
        <is>
          <t>goals</t>
        </is>
      </c>
      <c r="E25" s="28" t="inlineStr">
        <is>
          <t>Cycle</t>
        </is>
      </c>
      <c r="F25" s="28" t="inlineStr">
        <is>
          <t>Line manager</t>
        </is>
      </c>
      <c r="G25" s="28" t="inlineStr">
        <is>
          <t>My performance, Appraisal</t>
        </is>
      </c>
      <c r="H25" s="28" t="inlineStr">
        <is>
          <t>Weights total 100%</t>
        </is>
      </c>
      <c r="I25" s="29" t="inlineStr">
        <is>
          <t>New in v3</t>
        </is>
      </c>
    </row>
    <row r="26" ht="17" customHeight="1">
      <c r="A26" s="28" t="inlineStr">
        <is>
          <t>Win rate</t>
        </is>
      </c>
      <c r="B26" s="28" t="inlineStr">
        <is>
          <t>Share of closed deals that were won</t>
        </is>
      </c>
      <c r="C26" s="28" t="inlineStr">
        <is>
          <t>won / (won + lost)</t>
        </is>
      </c>
      <c r="D26" s="28" t="inlineStr">
        <is>
          <t>deals</t>
        </is>
      </c>
      <c r="E26" s="28" t="inlineStr">
        <is>
          <t>Period</t>
        </is>
      </c>
      <c r="F26" s="28" t="inlineStr">
        <is>
          <t>Sales</t>
        </is>
      </c>
      <c r="G26" s="28" t="inlineStr">
        <is>
          <t>Sales Home, Sales performance, CEO</t>
        </is>
      </c>
      <c r="H26" s="28" t="inlineStr">
        <is>
          <t>-</t>
        </is>
      </c>
      <c r="I26" s="29" t="inlineStr">
        <is>
          <t>Live</t>
        </is>
      </c>
    </row>
    <row r="27" ht="30" customHeight="1">
      <c r="A27" s="28" t="inlineStr">
        <is>
          <t>Weighted pipeline</t>
        </is>
      </c>
      <c r="B27" s="28" t="inlineStr">
        <is>
          <t>Probability-adjusted open pipeline</t>
        </is>
      </c>
      <c r="C27" s="28" t="inlineStr">
        <is>
          <t>sum(open deal value x stage chance): Lead 10%, Qualified 20%, Demo 35%, Proposal 50%, Negotiation 70%</t>
        </is>
      </c>
      <c r="D27" s="28" t="inlineStr">
        <is>
          <t>deals</t>
        </is>
      </c>
      <c r="E27" s="28" t="inlineStr">
        <is>
          <t>Live</t>
        </is>
      </c>
      <c r="F27" s="28" t="inlineStr">
        <is>
          <t>Sales</t>
        </is>
      </c>
      <c r="G27" s="28" t="inlineStr">
        <is>
          <t>Sales Home, CEO revenue ahead</t>
        </is>
      </c>
      <c r="H27" s="28" t="inlineStr">
        <is>
          <t>-</t>
        </is>
      </c>
      <c r="I27" s="29" t="inlineStr">
        <is>
          <t>Live</t>
        </is>
      </c>
    </row>
    <row r="28" ht="30" customHeight="1">
      <c r="A28" s="28" t="inlineStr">
        <is>
          <t>Average sales cycle (days)</t>
        </is>
      </c>
      <c r="B28" s="28" t="inlineStr">
        <is>
          <t>Time to close</t>
        </is>
      </c>
      <c r="C28" s="28" t="inlineStr">
        <is>
          <t>mean(won date - date the deal was opened, from stage history) over won deals</t>
        </is>
      </c>
      <c r="D28" s="28" t="inlineStr">
        <is>
          <t>deals</t>
        </is>
      </c>
      <c r="E28" s="28" t="inlineStr">
        <is>
          <t>Period</t>
        </is>
      </c>
      <c r="F28" s="28" t="inlineStr">
        <is>
          <t>Sales</t>
        </is>
      </c>
      <c r="G28" s="28" t="inlineStr">
        <is>
          <t>Sales performance</t>
        </is>
      </c>
      <c r="H28" s="28" t="inlineStr">
        <is>
          <t>-</t>
        </is>
      </c>
      <c r="I28" s="29" t="inlineStr">
        <is>
          <t>Live</t>
        </is>
      </c>
    </row>
    <row r="29" ht="17" customHeight="1">
      <c r="A29" s="28" t="inlineStr">
        <is>
          <t>Stale deals</t>
        </is>
      </c>
      <c r="B29" s="28" t="inlineStr">
        <is>
          <t>Deals going quiet</t>
        </is>
      </c>
      <c r="C29" s="28" t="inlineStr">
        <is>
          <t>open deals with no activity for &gt;= sales.stale_deal_days</t>
        </is>
      </c>
      <c r="D29" s="28" t="inlineStr">
        <is>
          <t>deals.last_activity_on</t>
        </is>
      </c>
      <c r="E29" s="28" t="inlineStr">
        <is>
          <t>Live</t>
        </is>
      </c>
      <c r="F29" s="28" t="inlineStr">
        <is>
          <t>Sales</t>
        </is>
      </c>
      <c r="G29" s="28" t="inlineStr">
        <is>
          <t>Insights, CEO Home, Sales Home</t>
        </is>
      </c>
      <c r="H29" s="28" t="inlineStr">
        <is>
          <t>sales.stale_deal_days 14</t>
        </is>
      </c>
      <c r="I29" s="29" t="inlineStr">
        <is>
          <t>Live</t>
        </is>
      </c>
    </row>
    <row r="30" ht="43" customHeight="1">
      <c r="A30" s="28" t="inlineStr">
        <is>
          <t>Sales achievement % and variable earned</t>
        </is>
      </c>
      <c r="B30" s="28" t="inlineStr">
        <is>
          <t>Monthly target attainment (BR-14..16)</t>
        </is>
      </c>
      <c r="C30" s="28" t="inlineStr">
        <is>
          <t>achieved = value of deals won that month by owner; achievement = achieved / target (default monthly CTC); variable = CTC x variable % paid in full only if achievement &gt;= threshold</t>
        </is>
      </c>
      <c r="D30" s="28" t="inlineStr">
        <is>
          <t>deals, cost_rates</t>
        </is>
      </c>
      <c r="E30" s="28" t="inlineStr">
        <is>
          <t>Month</t>
        </is>
      </c>
      <c r="F30" s="28" t="inlineStr">
        <is>
          <t>Sales / CEO</t>
        </is>
      </c>
      <c r="G30" s="28" t="inlineStr">
        <is>
          <t>Sales Home, Compensation, Payroll</t>
        </is>
      </c>
      <c r="H30" s="28" t="inlineStr">
        <is>
          <t>pay.variable_threshold_pct 100; pay.variable_default_pct 20</t>
        </is>
      </c>
      <c r="I30" s="29" t="inlineStr">
        <is>
          <t>Live</t>
        </is>
      </c>
    </row>
    <row r="31" ht="30" customHeight="1">
      <c r="A31" s="28" t="inlineStr">
        <is>
          <t>Revenue billed / collected</t>
        </is>
      </c>
      <c r="B31" s="28" t="inlineStr">
        <is>
          <t>Revenue recognition (BR-27)</t>
        </is>
      </c>
      <c r="C31" s="28" t="inlineStr">
        <is>
          <t>billed = invoices raised (+ ledger income); collected = payments received</t>
        </is>
      </c>
      <c r="D31" s="28" t="inlineStr">
        <is>
          <t>invoices, payments, ledger</t>
        </is>
      </c>
      <c r="E31" s="28" t="inlineStr">
        <is>
          <t>Month / quarter / FY</t>
        </is>
      </c>
      <c r="F31" s="28" t="inlineStr">
        <is>
          <t>CEO / Finance</t>
        </is>
      </c>
      <c r="G31" s="28" t="inlineStr">
        <is>
          <t>CEO Home, P&amp;L, Clients</t>
        </is>
      </c>
      <c r="H31" s="28" t="inlineStr">
        <is>
          <t>-</t>
        </is>
      </c>
      <c r="I31" s="29" t="inlineStr">
        <is>
          <t>Live</t>
        </is>
      </c>
    </row>
    <row r="32" ht="30" customHeight="1">
      <c r="A32" s="28" t="inlineStr">
        <is>
          <t>Net earnings and net margin</t>
        </is>
      </c>
      <c r="B32" s="28" t="inlineStr">
        <is>
          <t>Profit after costs</t>
        </is>
      </c>
      <c r="C32" s="28" t="inlineStr">
        <is>
          <t>net = billed - cost; margin = net / billed</t>
        </is>
      </c>
      <c r="D32" s="28" t="inlineStr">
        <is>
          <t>invoices, ledger, costed hours</t>
        </is>
      </c>
      <c r="E32" s="28" t="inlineStr">
        <is>
          <t>Month / quarter / FY</t>
        </is>
      </c>
      <c r="F32" s="28" t="inlineStr">
        <is>
          <t>CEO</t>
        </is>
      </c>
      <c r="G32" s="28" t="inlineStr">
        <is>
          <t>CEO Home, P&amp;L</t>
        </is>
      </c>
      <c r="H32" s="28" t="inlineStr">
        <is>
          <t>-</t>
        </is>
      </c>
      <c r="I32" s="29" t="inlineStr">
        <is>
          <t>Live</t>
        </is>
      </c>
    </row>
    <row r="33" ht="17" customHeight="1">
      <c r="A33" s="28" t="inlineStr">
        <is>
          <t>DSO (days sales outstanding)</t>
        </is>
      </c>
      <c r="B33" s="28" t="inlineStr">
        <is>
          <t>How fast clients pay</t>
        </is>
      </c>
      <c r="C33" s="28" t="inlineStr">
        <is>
          <t>outstanding receivables / (billed in last 90 days / 90)</t>
        </is>
      </c>
      <c r="D33" s="28" t="inlineStr">
        <is>
          <t>invoices, payments</t>
        </is>
      </c>
      <c r="E33" s="28" t="inlineStr">
        <is>
          <t>Live</t>
        </is>
      </c>
      <c r="F33" s="28" t="inlineStr">
        <is>
          <t>Finance</t>
        </is>
      </c>
      <c r="G33" s="28" t="inlineStr">
        <is>
          <t>Invoices</t>
        </is>
      </c>
      <c r="H33" s="28" t="inlineStr">
        <is>
          <t>-</t>
        </is>
      </c>
      <c r="I33" s="29" t="inlineStr">
        <is>
          <t>Live</t>
        </is>
      </c>
    </row>
    <row r="34" ht="17" customHeight="1">
      <c r="A34" s="28" t="inlineStr">
        <is>
          <t>Receivables ageing</t>
        </is>
      </c>
      <c r="B34" s="28" t="inlineStr">
        <is>
          <t>Outstanding by age</t>
        </is>
      </c>
      <c r="C34" s="28" t="inlineStr">
        <is>
          <t>outstanding by days past invoice due: 0-30, 31-60, 61-90, 90+</t>
        </is>
      </c>
      <c r="D34" s="28" t="inlineStr">
        <is>
          <t>invoices</t>
        </is>
      </c>
      <c r="E34" s="28" t="inlineStr">
        <is>
          <t>Live</t>
        </is>
      </c>
      <c r="F34" s="28" t="inlineStr">
        <is>
          <t>Finance</t>
        </is>
      </c>
      <c r="G34" s="28" t="inlineStr">
        <is>
          <t>Invoices, client health</t>
        </is>
      </c>
      <c r="H34" s="28" t="inlineStr">
        <is>
          <t>&gt; 90 days = bad-debt risk</t>
        </is>
      </c>
      <c r="I34" s="29" t="inlineStr">
        <is>
          <t>Live</t>
        </is>
      </c>
    </row>
    <row r="35" ht="43" customHeight="1">
      <c r="A35" s="28" t="inlineStr">
        <is>
          <t>Cash runway (months)</t>
        </is>
      </c>
      <c r="B35" s="28" t="inlineStr">
        <is>
          <t>How long cash lasts</t>
        </is>
      </c>
      <c r="C35" s="28" t="inlineStr">
        <is>
          <t>cash balance / net burn, where balance = opening + received - paid; burn = avg cost of last 3 full months; net burn = burn - avg collections; none if net burn &lt;= 0 (cash positive)</t>
        </is>
      </c>
      <c r="D35" s="28" t="inlineStr">
        <is>
          <t>ledger, payments</t>
        </is>
      </c>
      <c r="E35" s="28" t="inlineStr">
        <is>
          <t>Live</t>
        </is>
      </c>
      <c r="F35" s="28" t="inlineStr">
        <is>
          <t>CEO</t>
        </is>
      </c>
      <c r="G35" s="28" t="inlineStr">
        <is>
          <t>CEO Home, P&amp;L</t>
        </is>
      </c>
      <c r="H35" s="28" t="inlineStr">
        <is>
          <t>-</t>
        </is>
      </c>
      <c r="I35" s="29" t="inlineStr">
        <is>
          <t>Live</t>
        </is>
      </c>
    </row>
    <row r="36" ht="17" customHeight="1">
      <c r="A36" s="28" t="inlineStr">
        <is>
          <t>Revenue ahead</t>
        </is>
      </c>
      <c r="B36" s="28" t="inlineStr">
        <is>
          <t>Money in view</t>
        </is>
      </c>
      <c r="C36" s="28" t="inlineStr">
        <is>
          <t>uninvoiced milestone billing on live projects + weighted pipeline</t>
        </is>
      </c>
      <c r="D36" s="28" t="inlineStr">
        <is>
          <t>milestones, deals</t>
        </is>
      </c>
      <c r="E36" s="28" t="inlineStr">
        <is>
          <t>Next 30 / 60 / 90 days</t>
        </is>
      </c>
      <c r="F36" s="28" t="inlineStr">
        <is>
          <t>CEO</t>
        </is>
      </c>
      <c r="G36" s="28" t="inlineStr">
        <is>
          <t>CEO Home</t>
        </is>
      </c>
      <c r="H36" s="28" t="inlineStr">
        <is>
          <t>-</t>
        </is>
      </c>
      <c r="I36" s="29" t="inlineStr">
        <is>
          <t>Live</t>
        </is>
      </c>
    </row>
    <row r="37" ht="30" customHeight="1">
      <c r="A37" s="28" t="inlineStr">
        <is>
          <t>Budget variance</t>
        </is>
      </c>
      <c r="B37" s="28" t="inlineStr">
        <is>
          <t>Off-plan spend or revenue</t>
        </is>
      </c>
      <c r="C37" s="28" t="inlineStr">
        <is>
          <t>expense: YTD budget - YTD actual (negative = over); revenue: YTD actual - YTD budget; % = variance / YTD budget</t>
        </is>
      </c>
      <c r="D37" s="28" t="inlineStr">
        <is>
          <t>budgets, ledger</t>
        </is>
      </c>
      <c r="E37" s="28" t="inlineStr">
        <is>
          <t>YTD / FY</t>
        </is>
      </c>
      <c r="F37" s="28" t="inlineStr">
        <is>
          <t>CEO / Finance</t>
        </is>
      </c>
      <c r="G37" s="28" t="inlineStr">
        <is>
          <t>Budgets, CEO Spend panel</t>
        </is>
      </c>
      <c r="H37" s="28" t="inlineStr">
        <is>
          <t>-</t>
        </is>
      </c>
      <c r="I37" s="29" t="inlineStr">
        <is>
          <t>New in v3</t>
        </is>
      </c>
    </row>
    <row r="38" ht="30" customHeight="1">
      <c r="A38" s="28" t="inlineStr">
        <is>
          <t>Unbudgeted spend</t>
        </is>
      </c>
      <c r="B38" s="28" t="inlineStr">
        <is>
          <t>Additional expenses beyond plan</t>
        </is>
      </c>
      <c r="C38" s="28" t="inlineStr">
        <is>
          <t>sum over category-months of max(0, actual - budget)</t>
        </is>
      </c>
      <c r="D38" s="28" t="inlineStr">
        <is>
          <t>budgets, ledger, claims, bills</t>
        </is>
      </c>
      <c r="E38" s="28" t="inlineStr">
        <is>
          <t>FY</t>
        </is>
      </c>
      <c r="F38" s="28" t="inlineStr">
        <is>
          <t>CEO / Finance</t>
        </is>
      </c>
      <c r="G38" s="28" t="inlineStr">
        <is>
          <t>Budgets, CEO Spend panel</t>
        </is>
      </c>
      <c r="H38" s="28" t="inlineStr">
        <is>
          <t>-</t>
        </is>
      </c>
      <c r="I38" s="29" t="inlineStr">
        <is>
          <t>New in v3</t>
        </is>
      </c>
    </row>
    <row r="39" ht="17" customHeight="1">
      <c r="A39" s="28" t="inlineStr">
        <is>
          <t>Leakage % of billed</t>
        </is>
      </c>
      <c r="B39" s="28" t="inlineStr">
        <is>
          <t>Revenue lost relative to revenue billed</t>
        </is>
      </c>
      <c r="C39" s="28" t="inlineStr">
        <is>
          <t>(total leakage - recovered) / billed in the FY</t>
        </is>
      </c>
      <c r="D39" s="28" t="inlineStr">
        <is>
          <t>lost revenue rows, invoices</t>
        </is>
      </c>
      <c r="E39" s="28" t="inlineStr">
        <is>
          <t>FY</t>
        </is>
      </c>
      <c r="F39" s="28" t="inlineStr">
        <is>
          <t>CEO</t>
        </is>
      </c>
      <c r="G39" s="28" t="inlineStr">
        <is>
          <t>Lost revenue, OKR metric</t>
        </is>
      </c>
      <c r="H39" s="28" t="inlineStr">
        <is>
          <t>-</t>
        </is>
      </c>
      <c r="I39" s="29" t="inlineStr">
        <is>
          <t>New in v3</t>
        </is>
      </c>
    </row>
    <row r="40" ht="30" customHeight="1">
      <c r="A40" s="28" t="inlineStr">
        <is>
          <t>Unbilled hours value</t>
        </is>
      </c>
      <c r="B40" s="28" t="inlineStr">
        <is>
          <t>Effort not converted to revenue</t>
        </is>
      </c>
      <c r="C40" s="28" t="inlineStr">
        <is>
          <t>fixed price: hours over estimate x (contract / estimated hours); T&amp;M: approved hours x rate - invoiced</t>
        </is>
      </c>
      <c r="D40" s="28" t="inlineStr">
        <is>
          <t>hours, tasks, invoices</t>
        </is>
      </c>
      <c r="E40" s="28" t="inlineStr">
        <is>
          <t>Live</t>
        </is>
      </c>
      <c r="F40" s="28" t="inlineStr">
        <is>
          <t>PM / Finance</t>
        </is>
      </c>
      <c r="G40" s="28" t="inlineStr">
        <is>
          <t>Lost revenue</t>
        </is>
      </c>
      <c r="H40" s="28" t="inlineStr">
        <is>
          <t>-</t>
        </is>
      </c>
      <c r="I40" s="29" t="inlineStr">
        <is>
          <t>New in v3</t>
        </is>
      </c>
    </row>
    <row r="41" ht="30" customHeight="1">
      <c r="A41" s="28" t="inlineStr">
        <is>
          <t>Client health</t>
        </is>
      </c>
      <c r="B41" s="28" t="inlineStr">
        <is>
          <t>Relationship / cash risk</t>
        </is>
      </c>
      <c r="C41" s="28" t="inlineStr">
        <is>
          <t>At risk: invoice &gt; 60 days overdue or project NPA / off track; Watch: any overdue or project at risk / on hold; else Good</t>
        </is>
      </c>
      <c r="D41" s="28" t="inlineStr">
        <is>
          <t>invoices, projects</t>
        </is>
      </c>
      <c r="E41" s="28" t="inlineStr">
        <is>
          <t>Live</t>
        </is>
      </c>
      <c r="F41" s="28" t="inlineStr">
        <is>
          <t>Sales (account owner)</t>
        </is>
      </c>
      <c r="G41" s="28" t="inlineStr">
        <is>
          <t>Clients &amp; contracts</t>
        </is>
      </c>
      <c r="H41" s="28" t="inlineStr">
        <is>
          <t>-</t>
        </is>
      </c>
      <c r="I41" s="29" t="inlineStr">
        <is>
          <t>New in v3</t>
        </is>
      </c>
    </row>
    <row r="42" ht="17" customHeight="1">
      <c r="A42" s="28" t="inlineStr">
        <is>
          <t>Contract renewals due</t>
        </is>
      </c>
      <c r="B42" s="28" t="inlineStr">
        <is>
          <t>Recurring revenue at stake</t>
        </is>
      </c>
      <c r="C42" s="28" t="inlineStr">
        <is>
          <t>count and value of contracts within 60 days of renewal / end</t>
        </is>
      </c>
      <c r="D42" s="28" t="inlineStr">
        <is>
          <t>contracts</t>
        </is>
      </c>
      <c r="E42" s="28" t="inlineStr">
        <is>
          <t>Next 60 days</t>
        </is>
      </c>
      <c r="F42" s="28" t="inlineStr">
        <is>
          <t>Sales</t>
        </is>
      </c>
      <c r="G42" s="28" t="inlineStr">
        <is>
          <t>Clients &amp; contracts</t>
        </is>
      </c>
      <c r="H42" s="28" t="inlineStr">
        <is>
          <t>Window 60 days</t>
        </is>
      </c>
      <c r="I42" s="29" t="inlineStr">
        <is>
          <t>New in v3</t>
        </is>
      </c>
    </row>
    <row r="43" ht="30" customHeight="1">
      <c r="A43" s="28" t="inlineStr">
        <is>
          <t>Leave balance</t>
        </is>
      </c>
      <c r="B43" s="28" t="inlineStr">
        <is>
          <t>Remaining entitlement</t>
        </is>
      </c>
      <c r="C43" s="28" t="inlineStr">
        <is>
          <t>accrued (upfront or monthly pro-rata from joining in FY) + carry-forward - taken - pending</t>
        </is>
      </c>
      <c r="D43" s="28" t="inlineStr">
        <is>
          <t>leave_policies, leave</t>
        </is>
      </c>
      <c r="E43" s="28" t="inlineStr">
        <is>
          <t>FY</t>
        </is>
      </c>
      <c r="F43" s="28" t="inlineStr">
        <is>
          <t>HR</t>
        </is>
      </c>
      <c r="G43" s="28" t="inlineStr">
        <is>
          <t>Leave page</t>
        </is>
      </c>
      <c r="H43" s="28" t="inlineStr">
        <is>
          <t>Policy per type</t>
        </is>
      </c>
      <c r="I43" s="29" t="inlineStr">
        <is>
          <t>New in v3</t>
        </is>
      </c>
    </row>
    <row r="44" ht="17" customHeight="1">
      <c r="A44" s="28" t="inlineStr">
        <is>
          <t>Attrition %</t>
        </is>
      </c>
      <c r="B44" s="28" t="inlineStr">
        <is>
          <t>People leaving</t>
        </is>
      </c>
      <c r="C44" s="28" t="inlineStr">
        <is>
          <t>exits in the quarter / headcount</t>
        </is>
      </c>
      <c r="D44" s="28" t="inlineStr">
        <is>
          <t>lifecycle checklists, users</t>
        </is>
      </c>
      <c r="E44" s="28" t="inlineStr">
        <is>
          <t>Quarter</t>
        </is>
      </c>
      <c r="F44" s="28" t="inlineStr">
        <is>
          <t>HR</t>
        </is>
      </c>
      <c r="G44" s="28" t="inlineStr">
        <is>
          <t>HR dashboard data, CEO People panel</t>
        </is>
      </c>
      <c r="H44" s="28" t="inlineStr">
        <is>
          <t>-</t>
        </is>
      </c>
      <c r="I44" s="29" t="inlineStr">
        <is>
          <t>New in v3</t>
        </is>
      </c>
    </row>
    <row r="45" ht="30" customHeight="1">
      <c r="A45" s="28" t="inlineStr">
        <is>
          <t>Payroll deduction</t>
        </is>
      </c>
      <c r="B45" s="28" t="inlineStr">
        <is>
          <t>Pay withheld for unapproved / LWP days (BR-12)</t>
        </is>
      </c>
      <c r="C45" s="28" t="inlineStr">
        <is>
          <t>base / working days in month x (unapproved days + LWP days); half day = 0.5</t>
        </is>
      </c>
      <c r="D45" s="28" t="inlineStr">
        <is>
          <t>timesheet_weeks, leave, cost_rates</t>
        </is>
      </c>
      <c r="E45" s="28" t="inlineStr">
        <is>
          <t>Month</t>
        </is>
      </c>
      <c r="F45" s="28" t="inlineStr">
        <is>
          <t>CEO / HR</t>
        </is>
      </c>
      <c r="G45" s="28" t="inlineStr">
        <is>
          <t>Payroll</t>
        </is>
      </c>
      <c r="H45" s="28" t="inlineStr">
        <is>
          <t>pay.deduct_unapproved_days</t>
        </is>
      </c>
      <c r="I45" s="29" t="inlineStr">
        <is>
          <t>Live</t>
        </is>
      </c>
    </row>
    <row r="46" ht="17" customHeight="1">
      <c r="A46" s="28" t="inlineStr">
        <is>
          <t>Ops on time %</t>
        </is>
      </c>
      <c r="B46" s="28" t="inlineStr">
        <is>
          <t>Compliance duty discipline</t>
        </is>
      </c>
      <c r="C46" s="28" t="inlineStr">
        <is>
          <t>items done in the week / (done + missed) per owner</t>
        </is>
      </c>
      <c r="D46" s="28" t="inlineStr">
        <is>
          <t>ops_items</t>
        </is>
      </c>
      <c r="E46" s="28" t="inlineStr">
        <is>
          <t>Week</t>
        </is>
      </c>
      <c r="F46" s="28" t="inlineStr">
        <is>
          <t>HR &amp; ops</t>
        </is>
      </c>
      <c r="G46" s="28" t="inlineStr">
        <is>
          <t>Scorecard, HR Home</t>
        </is>
      </c>
      <c r="H46" s="28" t="inlineStr">
        <is>
          <t>-</t>
        </is>
      </c>
      <c r="I46" s="29" t="inlineStr">
        <is>
          <t>Live</t>
        </is>
      </c>
    </row>
    <row r="47" ht="17" customHeight="1">
      <c r="A47" s="28" t="inlineStr">
        <is>
          <t>Must-read acknowledgement</t>
        </is>
      </c>
      <c r="B47" s="28" t="inlineStr">
        <is>
          <t>Document compliance</t>
        </is>
      </c>
      <c r="C47" s="28" t="inlineStr">
        <is>
          <t>acknowledged readers of the current version / required readers</t>
        </is>
      </c>
      <c r="D47" s="28" t="inlineStr">
        <is>
          <t>document_acks</t>
        </is>
      </c>
      <c r="E47" s="28" t="inlineStr">
        <is>
          <t>Per document</t>
        </is>
      </c>
      <c r="F47" s="28" t="inlineStr">
        <is>
          <t>PM / HR</t>
        </is>
      </c>
      <c r="G47" s="28" t="inlineStr">
        <is>
          <t>Documents</t>
        </is>
      </c>
      <c r="H47" s="28" t="inlineStr">
        <is>
          <t>-</t>
        </is>
      </c>
      <c r="I47" s="29" t="inlineStr">
        <is>
          <t>New in v3</t>
        </is>
      </c>
    </row>
    <row r="48" ht="43" customHeight="1">
      <c r="A48" s="28" t="inlineStr">
        <is>
          <t>OKR key result progress</t>
        </is>
      </c>
      <c r="B48" s="28" t="inlineStr">
        <is>
          <t>Goal attainment</t>
        </is>
      </c>
      <c r="C48" s="28" t="inlineStr">
        <is>
          <t>(current - start) / (target - start); auto metrics read live data (revenue, deals won, on-time %, compliance, margin, headcount, leakage - lower is better)</t>
        </is>
      </c>
      <c r="D48" s="28" t="inlineStr">
        <is>
          <t>key_results + live data</t>
        </is>
      </c>
      <c r="E48" s="28" t="inlineStr">
        <is>
          <t>Period</t>
        </is>
      </c>
      <c r="F48" s="28" t="inlineStr">
        <is>
          <t>CEO / owners</t>
        </is>
      </c>
      <c r="G48" s="28" t="inlineStr">
        <is>
          <t>Goals &amp; OKRs</t>
        </is>
      </c>
      <c r="H48" s="28" t="inlineStr">
        <is>
          <t>Max 6 KRs per objective</t>
        </is>
      </c>
      <c r="I48" s="29" t="inlineStr">
        <is>
          <t>New in v3</t>
        </is>
      </c>
    </row>
    <row r="49" ht="30" customHeight="1">
      <c r="A49" s="28" t="inlineStr">
        <is>
          <t>Changes waiting (maker-checker)</t>
        </is>
      </c>
      <c r="B49" s="28" t="inlineStr">
        <is>
          <t>Sensitive changes not yet decided</t>
        </is>
      </c>
      <c r="C49" s="28" t="inlineStr">
        <is>
          <t>count of change_sets with status pending; overdue = waiting working days &gt; maker_checker.sla_days</t>
        </is>
      </c>
      <c r="D49" s="28" t="inlineStr">
        <is>
          <t>change_sets</t>
        </is>
      </c>
      <c r="E49" s="28" t="inlineStr">
        <is>
          <t>Live</t>
        </is>
      </c>
      <c r="F49" s="28" t="inlineStr">
        <is>
          <t>CEO / Administrator</t>
        </is>
      </c>
      <c r="G49" s="28" t="inlineStr">
        <is>
          <t>Changes (To check, My changes), notifications</t>
        </is>
      </c>
      <c r="H49" s="28" t="inlineStr">
        <is>
          <t>maker_checker.sla_days 2</t>
        </is>
      </c>
      <c r="I49" s="29" t="inlineStr">
        <is>
          <t>New in v4</t>
        </is>
      </c>
    </row>
    <row r="50" ht="43" customHeight="1">
      <c r="A50" s="28" t="inlineStr">
        <is>
          <t>Setup completion</t>
        </is>
      </c>
      <c r="B50" s="28" t="inlineStr">
        <is>
          <t>How far a workspace is through setup</t>
        </is>
      </c>
      <c r="C50" s="28" t="inlineStr">
        <is>
          <t>steps done / 7 (org, places, structure, roles, controls, people, emails)</t>
        </is>
      </c>
      <c r="D50" s="28" t="inlineStr">
        <is>
          <t>master data, roles, change_sets, workflows, templates, outbox</t>
        </is>
      </c>
      <c r="E50" s="28" t="inlineStr">
        <is>
          <t>Live</t>
        </is>
      </c>
      <c r="F50" s="28" t="inlineStr">
        <is>
          <t>Administrator</t>
        </is>
      </c>
      <c r="G50" s="28" t="inlineStr">
        <is>
          <t>Setup checklist (/setup)</t>
        </is>
      </c>
      <c r="H50" s="28" t="inlineStr">
        <is>
          <t>All 7 done</t>
        </is>
      </c>
      <c r="I50" s="29" t="inlineStr">
        <is>
          <t>New in v4</t>
        </is>
      </c>
    </row>
  </sheetData>
  <autoFilter ref="A1:I50"/>
  <conditionalFormatting sqref="I2:I50">
    <cfRule type="expression" priority="1" dxfId="0">
      <formula>$I2="Live"</formula>
    </cfRule>
    <cfRule type="expression" priority="2" dxfId="1">
      <formula>$I2="Extended"</formula>
    </cfRule>
    <cfRule type="expression" priority="3" dxfId="2">
      <formula>$I2="New in v3"</formula>
    </cfRule>
    <cfRule type="expression" priority="4" dxfId="3">
      <formula>$I2="New in v4"</formula>
    </cfRule>
    <cfRule type="expression" priority="5" dxfId="4">
      <formula>$I2="Planned"</formula>
    </cfRule>
  </conditionalFormatting>
  <printOptions gridLines="0"/>
  <pageMargins left="0.4" right="0.4" top="1" bottom="1" header="0.5" footer="0.5"/>
  <pageSetup orientation="landscape" paperSize="9" fitToHeight="0" fitToWidth="1"/>
  <headerFooter>
    <oddHeader/>
    <oddFooter>&amp;C&amp;8SeereonOS Business Process Catalogue v4 - page &amp;P of &amp;N</oddFooter>
    <evenHeader/>
    <evenFooter/>
    <firstHeader/>
    <firstFooter/>
  </headerFooter>
</worksheet>
</file>

<file path=xl/worksheets/sheet10.xml><?xml version="1.0" encoding="utf-8"?>
<worksheet xmlns="http://schemas.openxmlformats.org/spreadsheetml/2006/main">
  <sheetPr>
    <tabColor rgb="000C6B4E"/>
    <outlinePr summaryBelow="1" summaryRight="1"/>
    <pageSetUpPr fitToPage="1"/>
  </sheetPr>
  <dimension ref="A1:J1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 customWidth="1" min="1" max="1"/>
    <col width="7" customWidth="1" min="2" max="2"/>
    <col width="26" customWidth="1" min="3" max="3"/>
    <col width="30" customWidth="1" min="4" max="4"/>
    <col width="46" customWidth="1" min="5" max="5"/>
    <col width="36" customWidth="1" min="6" max="6"/>
    <col width="44" customWidth="1" min="7" max="7"/>
    <col width="46" customWidth="1" min="8" max="8"/>
    <col width="11" customWidth="1" min="9" max="9"/>
    <col width="32" customWidth="1" min="10" max="10"/>
  </cols>
  <sheetData>
    <row r="1" ht="30" customHeight="1">
      <c r="A1" s="27" t="inlineStr">
        <is>
          <t>#</t>
        </is>
      </c>
      <c r="B1" s="27" t="inlineStr">
        <is>
          <t>Release</t>
        </is>
      </c>
      <c r="C1" s="25" t="inlineStr">
        <is>
          <t>Requested flow</t>
        </is>
      </c>
      <c r="D1" s="25" t="inlineStr">
        <is>
          <t>Status before</t>
        </is>
      </c>
      <c r="E1" s="25" t="inlineStr">
        <is>
          <t>What was built</t>
        </is>
      </c>
      <c r="F1" s="25" t="inlineStr">
        <is>
          <t>Where it appears (screens / dashboards)</t>
        </is>
      </c>
      <c r="G1" s="25" t="inlineStr">
        <is>
          <t>Rules and validations</t>
        </is>
      </c>
      <c r="H1" s="25" t="inlineStr">
        <is>
          <t>How to demo (login and steps)</t>
        </is>
      </c>
      <c r="I1" s="27" t="inlineStr">
        <is>
          <t>Status</t>
        </is>
      </c>
      <c r="J1" s="25" t="inlineStr">
        <is>
          <t>Remaining gaps</t>
        </is>
      </c>
    </row>
    <row r="2" ht="82" customHeight="1">
      <c r="A2" s="29" t="n">
        <v>1</v>
      </c>
      <c r="B2" s="29" t="inlineStr">
        <is>
          <t>v3</t>
        </is>
      </c>
      <c r="C2" s="28" t="inlineStr">
        <is>
          <t>Managers assign tasks to employees</t>
        </is>
      </c>
      <c r="D2" s="28" t="inlineStr">
        <is>
          <t>Only Admin and PMs could create tasks, and only inside project WBS. Line managers outside projects (Sales, HR) had no way to assign work.</t>
        </is>
      </c>
      <c r="E2" s="28" t="inlineStr">
        <is>
          <t>Team tasks &gt; Assign: any manager assigns a task to people in their reporting line, or anyone on a project they manage, under a client project or the built-in "General &amp; admin" project (GEN). Captures priority, estimate, start, due, reviewer (default = assigner).</t>
        </is>
      </c>
      <c r="F2" s="28" t="inlineStr">
        <is>
          <t>Team tasks (/team-tasks?tab=assign, Team tab); employee's My tasks and Home (Today / This week); notification bell.</t>
        </is>
      </c>
      <c r="G2" s="28" t="inlineStr">
        <is>
          <t>Owner active; title 3-200; project Active/Initiated or GEN; 403 if the person is not in your line or project; due date today or later and not before start; NON_WORKING_DAY warning; estimate 0.5-200 h; reviewer active and not the owner (TASK_SELF_REVIEW). NTF-14 to the owner.</t>
        </is>
      </c>
      <c r="H2" s="28" t="inlineStr">
        <is>
          <t>Log in as subhankar@seereon.co.in (PM) / Seereon@123 &gt; Team tasks &gt; Assign &gt; pick Hritesh, project or General &amp; admin, title, due date, estimate &gt; Assign. Then log in as hritesh@seereon.co.in: the task is in My tasks and the bell shows "Task assigned to you".</t>
        </is>
      </c>
      <c r="I2" s="29" t="inlineStr">
        <is>
          <t>Delivered</t>
        </is>
      </c>
      <c r="J2" s="28" t="inlineStr">
        <is>
          <t>None open.</t>
        </is>
      </c>
    </row>
    <row r="3" ht="82" customHeight="1">
      <c r="A3" s="29" t="n">
        <v>2</v>
      </c>
      <c r="B3" s="29" t="inlineStr">
        <is>
          <t>v3</t>
        </is>
      </c>
      <c r="C3" s="28" t="inlineStr">
        <is>
          <t>Manager approval of tasks, with validations and reasons</t>
        </is>
      </c>
      <c r="D3" s="28" t="inlineStr">
        <is>
          <t>Employees could move their own task straight to Done; no review step, no quality score, no reason trail.</t>
        </is>
      </c>
      <c r="E3" s="28" t="inlineStr">
        <is>
          <t>Review flow: Submit for review (note + optional proof link) &gt; reviewer Approves with a 1-5 quality rating, or Sends back with a reason (optional new due date). Rounds and decisions are kept per task. Direct Done is blocked (USE_REVIEW_FLOW). Due-date changes need a reason (DUE_REASON_REQUIRED).</t>
        </is>
      </c>
      <c r="F3" s="28" t="inlineStr">
        <is>
          <t>Approvals inbox (task_review), Team tasks &gt; Review queue, task drawer review history; Team tab shows sent-back count and last reason.</t>
        </is>
      </c>
      <c r="G3" s="28" t="inlineStr">
        <is>
          <t>Reviewer resolution: task reviewer &gt; project PM &gt; assigner / owner's manager; never self (TASK_SELF_REVIEW) except top admin. Submit note min 5; proof https only; approve rating 1-5; send-back reason min 10; reschedule reason min 10; inbox SLA approval.sla_working_days (default 2). NTF-04 / 05 / 06.</t>
        </is>
      </c>
      <c r="H3" s="28" t="inlineStr">
        <is>
          <t>As hritesh@: open a task &gt; Submit for review with a note. As subhankar@: Approvals inbox &gt; the task &gt; Approve with 4 stars (or Send back with a reason). As hritesh@: see the NTF-05 / NTF-06 notification and the review history in the task.</t>
        </is>
      </c>
      <c r="I3" s="29" t="inlineStr">
        <is>
          <t>Delivered</t>
        </is>
      </c>
      <c r="J3" s="28" t="inlineStr">
        <is>
          <t>None open. (General tasks without a stored reviewer route to the assigner; inbox SLA follows approval.sla_working_days.)</t>
        </is>
      </c>
    </row>
    <row r="4" ht="147" customHeight="1">
      <c r="A4" s="29" t="n">
        <v>3</v>
      </c>
      <c r="B4" s="29" t="inlineStr">
        <is>
          <t>v3</t>
        </is>
      </c>
      <c r="C4" s="28" t="inlineStr">
        <is>
          <t>Completion on time / early / late reflected on Admin, HR and CEO dashboards</t>
        </is>
      </c>
      <c r="D4" s="28" t="inlineStr">
        <is>
          <t>Dashboards showed a simple "tasks on time" share (done_on &lt;= due_on, calendar days) on the CEO delivery tile only.</t>
        </is>
      </c>
      <c r="E4" s="28" t="inlineStr">
        <is>
          <t>Calendar-aware timeliness stamped on approval: early / on time / late with working-day variance, based on the submission date. Shared calculation (performance.ts) feeds: Task delivery panel (CEO and HR &amp; operations = company, PM = team, Employee = me, last 90 days: on-time / early / late, slip, first-pass, delay reasons), CEO People panel (on-time %), Team tasks &gt; Performance (by person / project / manager), My performance, appraisal system score, OKR auto metric, report builder / Ask AI (tasks and task_reviews datasets).</t>
        </is>
      </c>
      <c r="F4" s="28" t="inlineStr">
        <is>
          <t>CEO / Admin Home (Task delivery + People panel); HR &amp; operations Home (Task delivery, company); PM Home; Employee Home (My delivery); Team tasks &gt; Performance (company scope for Admin and HR &amp; operations); My performance /performance/:userId; Appraisals.</t>
        </is>
      </c>
      <c r="G4" s="28" t="inlineStr">
        <is>
          <t>Working days per BR-01; on-time % = (early + on time) / completed; avg variance; first-pass %; quality; delay reasons.</t>
        </is>
      </c>
      <c r="H4" s="28" t="inlineStr">
        <is>
          <t>As santosh@ (CEO): Home &gt; Task delivery (company) and People panel. As priya@ (HR &amp; ops): Home &gt; Task delivery (company), then Team tasks &gt; Performance (group by person or manager). As hritesh@: Home &gt; My delivery.</t>
        </is>
      </c>
      <c r="I4" s="29" t="inlineStr">
        <is>
          <t>Delivered</t>
        </is>
      </c>
      <c r="J4" s="28" t="inlineStr">
        <is>
          <t>None open.</t>
        </is>
      </c>
    </row>
    <row r="5" ht="82" customHeight="1">
      <c r="A5" s="29" t="n">
        <v>4</v>
      </c>
      <c r="B5" s="29" t="inlineStr">
        <is>
          <t>v3</t>
        </is>
      </c>
      <c r="C5" s="28" t="inlineStr">
        <is>
          <t>Employee delay reasons</t>
        </is>
      </c>
      <c r="D5" s="28" t="inlineStr">
        <is>
          <t>No delay reason existed; late tasks carried no explanation.</t>
        </is>
      </c>
      <c r="E5" s="28" t="inlineStr">
        <is>
          <t>When a task is submitted after its due date, the owner must pick a reason (scope changed, waiting on another task, client delay, effort underestimated, leave/absence, re-prioritised, technical issue, resource shortage, other) and explain it. Reasons are stored on the review round and the task and aggregated.</t>
        </is>
      </c>
      <c r="F5" s="28" t="inlineStr">
        <is>
          <t>Task drawer (submit dialog), Approvals inbox (shown to the reviewer; warns if missing on older items), Team tasks (reason per task; top reasons in Performance), My performance.</t>
        </is>
      </c>
      <c r="G5" s="28" t="inlineStr">
        <is>
          <t>DELAY_REASON_REQUIRED: code from the list + explanation min 15 characters ("what happened and what you did about it").</t>
        </is>
      </c>
      <c r="H5" s="28" t="inlineStr">
        <is>
          <t>As hritesh@: open an overdue task &gt; Submit for review: the dialog requires a delay reason. As subhankar@: the inbox item shows the reason; Team tasks &gt; Performance lists top delay reasons.</t>
        </is>
      </c>
      <c r="I5" s="29" t="inlineStr">
        <is>
          <t>Delivered</t>
        </is>
      </c>
      <c r="J5" s="28" t="inlineStr">
        <is>
          <t>None open. Delay reasons are also reportable in the report builder and Ask AI (tasks, task_reviews).</t>
        </is>
      </c>
    </row>
    <row r="6" ht="95" customHeight="1">
      <c r="A6" s="29" t="n">
        <v>5</v>
      </c>
      <c r="B6" s="29" t="inlineStr">
        <is>
          <t>v3</t>
        </is>
      </c>
      <c r="C6" s="28" t="inlineStr">
        <is>
          <t>PM uploads project documents that employees can access</t>
        </is>
      </c>
      <c r="D6" s="28" t="inlineStr">
        <is>
          <t>No document management; documents lived in email / drives.</t>
        </is>
      </c>
      <c r="E6" s="28" t="inlineStr">
        <is>
          <t>Documents module: PM (own projects) or Admin uploads files (max 10 MB) or links with category, visibility (project team / managers only / company), tags, versions with change notes, archive/restore, must-read with acknowledgement tracking. Company library managed by HR &amp; ops.</t>
        </is>
      </c>
      <c r="F6" s="28" t="inlineStr">
        <is>
          <t>Project &gt; Documents tab (/projects/:id/documents); Documents library (/documents); Approvals inbox ("Read: ..." for must-read); acknowledgement counts for owners.</t>
        </is>
      </c>
      <c r="G6" s="28" t="inlineStr">
        <is>
          <t>Title 3-120; category and visibility required; file OR https link; allowed types PDF, DOCX, XLSX, PPTX, PNG, JPG, CSV, TXT, MD; only Admin or the project PM change project documents; members (task owner, backup, allocated) see "project" documents, others get 404; version note min 5; NTF-14 to required readers of must-read documents.</t>
        </is>
      </c>
      <c r="H6" s="28" t="inlineStr">
        <is>
          <t>As subhankar@: open a project &gt; Documents &gt; Upload, tick Must read. As hritesh@ (a member of that project): Documents shows it and the Approvals inbox has "Read: ..."; open and Acknowledge. As subhankar@: see acknowledged / total.</t>
        </is>
      </c>
      <c r="I6" s="29" t="inlineStr">
        <is>
          <t>Delivered</t>
        </is>
      </c>
      <c r="J6" s="28" t="inlineStr">
        <is>
          <t>Non-must-read uploads do not notify the team; no full-text search inside files yet.</t>
        </is>
      </c>
    </row>
    <row r="7" ht="69" customHeight="1">
      <c r="A7" s="29" t="n">
        <v>6</v>
      </c>
      <c r="B7" s="29" t="inlineStr">
        <is>
          <t>v4</t>
        </is>
      </c>
      <c r="C7" s="28" t="inlineStr">
        <is>
          <t>Maker-checker process</t>
        </is>
      </c>
      <c r="D7" s="28" t="inlineStr">
        <is>
          <t>Every change applied by the person who made it; payroll finalisation was self-approved by the Admin.</t>
        </is>
      </c>
      <c r="E7" s="28" t="inlineStr">
        <is>
          <t>Guarded writes become change sets with before / after; a second person approves (applied) or rejects with a reason; maker can withdraw. 13 change types in Access, Money and Configuration groups; configurable per workspace with an SLA.</t>
        </is>
      </c>
      <c r="F7" s="28" t="inlineStr">
        <is>
          <t>Changes (/changes: To check, My changes, History); Setup &gt; Maker-checker; "waiting for approval" banners on records; notifications; Audit trail.</t>
        </is>
      </c>
      <c r="G7" s="28" t="inlineStr">
        <is>
          <t>Maker &lt;&gt; checker; checker needs Check changes + the change's permission; one pending change per record; STALE -&gt; failed; reject reason &gt;= 10; NO_CHECKER refusal.</t>
        </is>
      </c>
      <c r="H7" s="28" t="inlineStr">
        <is>
          <t>As debasish@ (Administrator): Setup &gt; Roles &gt; HR Executive &gt; tick "Pay expense claims" &gt; Save: "Sent for approval". As santosh@ (CEO): Changes &gt; To check &gt; Approve. As debasish@: My changes shows Approved.</t>
        </is>
      </c>
      <c r="I7" s="29" t="inlineStr">
        <is>
          <t>Delivered</t>
        </is>
      </c>
      <c r="J7" s="28" t="inlineStr">
        <is>
          <t>Company settings appear as a change type but save directly.</t>
        </is>
      </c>
    </row>
    <row r="8" ht="43" customHeight="1">
      <c r="A8" s="29" t="n">
        <v>7</v>
      </c>
      <c r="B8" s="29" t="inlineStr">
        <is>
          <t>v4</t>
        </is>
      </c>
      <c r="C8" s="28" t="inlineStr">
        <is>
          <t>Granular role-permission matrix (roles as data)</t>
        </is>
      </c>
      <c r="D8" s="28" t="inlineStr">
        <is>
          <t>Five hard-coded roles (Admin, PM, Sales, HR &amp; ops, Employee) plus two grants.</t>
        </is>
      </c>
      <c r="E8" s="28" t="inlineStr">
        <is>
          <t>72 permissions in 9 modules; roles are tenant data with a persona; matrix editor, duplicate, compare, create custom roles.</t>
        </is>
      </c>
      <c r="F8" s="28" t="inlineStr">
        <is>
          <t>Setup &gt; Roles &amp; permissions (/setup/roles, /setup/roles/:key, Compare tab); Roles &amp; permissions sheet in this workbook.</t>
        </is>
      </c>
      <c r="G8" s="28" t="inlineStr">
        <is>
          <t>Dependent permissions auto-added; ROLE_LOCKED; ROLE_SYSTEM; ROLE_IN_USE; LOCKOUT; maker-checked.</t>
        </is>
      </c>
      <c r="H8" s="28" t="inlineStr">
        <is>
          <t>As debasish@: Setup &gt; Roles &amp; permissions &gt; open Project Manager &gt; see the matrix; Compare roles tab.</t>
        </is>
      </c>
      <c r="I8" s="29" t="inlineStr">
        <is>
          <t>Delivered</t>
        </is>
      </c>
      <c r="J8" s="28" t="inlineStr">
        <is>
          <t>-</t>
        </is>
      </c>
    </row>
    <row r="9" ht="56" customHeight="1">
      <c r="A9" s="29" t="n">
        <v>8</v>
      </c>
      <c r="B9" s="29" t="inlineStr">
        <is>
          <t>v4</t>
        </is>
      </c>
      <c r="C9" s="28" t="inlineStr">
        <is>
          <t>Roles drive which screens people see (one login)</t>
        </is>
      </c>
      <c r="D9" s="28" t="inlineStr">
        <is>
          <t>Menus and data decided by the hard-coded role.</t>
        </is>
      </c>
      <c r="E9" s="28" t="inlineStr">
        <is>
          <t>One sign-in; navigation, buttons and server checks all use effective permissions; persona only picks the home dashboard; data scope by *_view_all permissions.</t>
        </is>
      </c>
      <c r="F9" s="28" t="inlineStr">
        <is>
          <t>Every screen; View as (read-only preview of any role).</t>
        </is>
      </c>
      <c r="G9" s="28" t="inlineStr">
        <is>
          <t>FORBIDDEN on actions without permission; VIEW_AS_READ_ONLY.</t>
        </is>
      </c>
      <c r="H9" s="28" t="inlineStr">
        <is>
          <t>Sign in as hritesh@ (Employee) and as priya@ (HR Manager): compare the menus. As santosh@: View as &gt; Sales Executive.</t>
        </is>
      </c>
      <c r="I9" s="29" t="inlineStr">
        <is>
          <t>Delivered</t>
        </is>
      </c>
      <c r="J9" s="28" t="inlineStr">
        <is>
          <t>-</t>
        </is>
      </c>
    </row>
    <row r="10" ht="56" customHeight="1">
      <c r="A10" s="29" t="n">
        <v>9</v>
      </c>
      <c r="B10" s="29" t="inlineStr">
        <is>
          <t>v4</t>
        </is>
      </c>
      <c r="C10" s="28" t="inlineStr">
        <is>
          <t>Admin-configurable master data</t>
        </is>
      </c>
      <c r="D10" s="28" t="inlineStr">
        <is>
          <t>Company settings and holidays only; departments were fixed values.</t>
        </is>
      </c>
      <c r="E10" s="28" t="inlineStr">
        <is>
          <t>Organisation profile, locations, departments, designations, grades &amp; CTC bands, cost centres, shifts &amp; assignment, email templates &amp; sent log.</t>
        </is>
      </c>
      <c r="F10" s="28" t="inlineStr">
        <is>
          <t>Setup (/setup/org ... /setup/emails); used by Create employee and approval workflows (department head).</t>
        </is>
      </c>
      <c r="G10" s="28" t="inlineStr">
        <is>
          <t>Format checks (GSTIN / PAN / CIN / TAN / IFSC / pincode), DUPLICATE, IN_USE, HEAD_OFFICE_REQUIRED, DEFAULT_SHIFT_REQUIRED, DEPARTMENT_CYCLE, GRADE_BAND, SHIFT_BREAK, SHIFT_MIN_HOURS.</t>
        </is>
      </c>
      <c r="H10" s="28" t="inlineStr">
        <is>
          <t>As debasish@: Setup &gt; Departments &gt; add one; Setup &gt; Shifts &gt; assign people.</t>
        </is>
      </c>
      <c r="I10" s="29" t="inlineStr">
        <is>
          <t>Delivered</t>
        </is>
      </c>
      <c r="J10" s="28" t="inlineStr">
        <is>
          <t>Holiday calendars are tenant-wide (a location names its calendar, but one holiday table applies).</t>
        </is>
      </c>
    </row>
    <row r="11" ht="56" customHeight="1">
      <c r="A11" s="29" t="n">
        <v>10</v>
      </c>
      <c r="B11" s="29" t="inlineStr">
        <is>
          <t>v4</t>
        </is>
      </c>
      <c r="C11" s="28" t="inlineStr">
        <is>
          <t>Admin flow: sign in &gt; master data &gt; create employee &gt; welcome email &gt; credentials &gt; employee portal</t>
        </is>
      </c>
      <c r="D11" s="28" t="inlineStr">
        <is>
          <t>Admin invited people by link; invitee set their own password; no master data step.</t>
        </is>
      </c>
      <c r="E11" s="28" t="inlineStr">
        <is>
          <t>Setup checklist (7 steps); Create employee with role and reporting manager; temporary password; welcome email in the outbox; forced password change on first sign-in; employee lands on their portal.</t>
        </is>
      </c>
      <c r="F11" s="28" t="inlineStr">
        <is>
          <t>/setup, /people/new, /setup/emails?tab=sent, /login, /welcome/password, /home. See the Setup &amp; onboarding flow sheet.</t>
        </is>
      </c>
      <c r="G11" s="28" t="inlineStr">
        <is>
          <t>See Setup &amp; onboarding flow sheet; PASSWORD_CHANGE_REQUIRED; REQUIRED_PLACEHOLDER on the welcome template.</t>
        </is>
      </c>
      <c r="H11" s="28" t="inlineStr">
        <is>
          <t>As debasish@: /people/new &gt; create "Ritu Das", Employee, reports to Subhankar &gt; the success screen shows the email. Sign in as ritu@ with the temporary password &gt; set a password &gt; Employee home.</t>
        </is>
      </c>
      <c r="I11" s="29" t="inlineStr">
        <is>
          <t>Delivered</t>
        </is>
      </c>
      <c r="J11" s="28" t="inlineStr">
        <is>
          <t>Email delivery is simulated (outbox). Recruitment "Hire" still sends an invitation instead of using Create employee.</t>
        </is>
      </c>
    </row>
    <row r="12" ht="43" customHeight="1">
      <c r="A12" s="29" t="n">
        <v>11</v>
      </c>
      <c r="B12" s="29" t="inlineStr">
        <is>
          <t>v4</t>
        </is>
      </c>
      <c r="C12" s="28" t="inlineStr">
        <is>
          <t>Default roles incl. CTO, HR Manager and HR Executive</t>
        </is>
      </c>
      <c r="D12" s="28" t="inlineStr">
        <is>
          <t>No CTO or HR split.</t>
        </is>
      </c>
      <c r="E12" s="28" t="inlineStr">
        <is>
          <t>Administrator, CEO, CTO, Project Manager, HR Manager, HR Executive, Sales Manager, Sales Executive, Employee; provisioned for every workspace.</t>
        </is>
      </c>
      <c r="F12" s="28" t="inlineStr">
        <is>
          <t>Setup &gt; Roles; Roles &amp; permissions sheet.</t>
        </is>
      </c>
      <c r="G12" s="28" t="inlineStr">
        <is>
          <t>Built-in roles editable, not deletable.</t>
        </is>
      </c>
      <c r="H12" s="28" t="inlineStr">
        <is>
          <t>As debasish@: Setup &gt; Roles shows the nine roles with member counts.</t>
        </is>
      </c>
      <c r="I12" s="29" t="inlineStr">
        <is>
          <t>Delivered</t>
        </is>
      </c>
      <c r="J12" s="28" t="inlineStr">
        <is>
          <t>No demo user holds CTO or HR Executive yet; assign one to demo them.</t>
        </is>
      </c>
    </row>
    <row r="13" ht="43" customHeight="1">
      <c r="A13" s="29" t="n">
        <v>12</v>
      </c>
      <c r="B13" s="29" t="inlineStr">
        <is>
          <t>v4</t>
        </is>
      </c>
      <c r="C13" s="28" t="inlineStr">
        <is>
          <t>Extra permissions on top of roles</t>
        </is>
      </c>
      <c r="D13" s="28" t="inlineStr">
        <is>
          <t>Only two grants (margins, salaries).</t>
        </is>
      </c>
      <c r="E13" s="28" t="inlineStr">
        <is>
          <t>Per-person extra and revoked permissions; effective = role + extra - revoked; shown on People and Role members.</t>
        </is>
      </c>
      <c r="F13" s="28" t="inlineStr">
        <is>
          <t>People &gt; person &gt; Access; Role detail &gt; Members (+extra / -removed).</t>
        </is>
      </c>
      <c r="G13" s="28" t="inlineStr">
        <is>
          <t>PERMISSION_ESCALATION; LOCKOUT; maker-checked (user access).</t>
        </is>
      </c>
      <c r="H13" s="28" t="inlineStr">
        <is>
          <t>As debasish@: People &gt; Subhankar: Project Manager + margins.view, documents.view_all.</t>
        </is>
      </c>
      <c r="I13" s="29" t="inlineStr">
        <is>
          <t>Delivered</t>
        </is>
      </c>
      <c r="J13" s="28" t="inlineStr">
        <is>
          <t>-</t>
        </is>
      </c>
    </row>
    <row r="14" ht="56" customHeight="1">
      <c r="A14" s="29" t="n">
        <v>13</v>
      </c>
      <c r="B14" s="29" t="inlineStr">
        <is>
          <t>v4</t>
        </is>
      </c>
      <c r="C14" s="28" t="inlineStr">
        <is>
          <t>Configurable approval workflows</t>
        </is>
      </c>
      <c r="D14" s="28" t="inlineStr">
        <is>
          <t>Approver rules fixed in code per process.</t>
        </is>
      </c>
      <c r="E14" s="28" t="inlineStr">
        <is>
          <t>Leave, expense, purchase order, vendor bill, timesheet and task review workflows with steps, amount thresholds, SLA, escalation; defaults reproduce v3; test panel.</t>
        </is>
      </c>
      <c r="F14" s="28" t="inlineStr">
        <is>
          <t>Setup &gt; Approval workflows; inbox "Step n of m"; Approval workflows sheet.</t>
        </is>
      </c>
      <c r="G14" s="28" t="inlineStr">
        <is>
          <t>See Approval workflows sheet (WF_* codes).</t>
        </is>
      </c>
      <c r="H14" s="28" t="inlineStr">
        <is>
          <t>As debasish@: Setup &gt; Approval workflows &gt; Expense claims &gt; Test this workflow with Hritesh, Rs 30,000.</t>
        </is>
      </c>
      <c r="I14" s="29" t="inlineStr">
        <is>
          <t>Delivered</t>
        </is>
      </c>
      <c r="J14" s="28" t="inlineStr">
        <is>
          <t>Escalation runs when the inbox is read (no background scheduler).</t>
        </is>
      </c>
    </row>
  </sheetData>
  <autoFilter ref="A1:J14"/>
  <conditionalFormatting sqref="I2:I14">
    <cfRule type="expression" priority="1" dxfId="0">
      <formula>$I2="Delivered"</formula>
    </cfRule>
  </conditionalFormatting>
  <printOptions gridLines="0"/>
  <pageMargins left="0.4" right="0.4" top="1" bottom="1" header="0.5" footer="0.5"/>
  <pageSetup orientation="landscape" paperSize="9" fitToHeight="0" fitToWidth="1"/>
  <headerFooter>
    <oddHeader/>
    <oddFooter>&amp;C&amp;8SeereonOS Business Process Catalogue v4 -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Seereon Consulting &amp; IT Services</dc:creator>
  <dc:title xmlns:dc="http://purl.org/dc/elements/1.1/">SeereonOS Business Process Catalogue v4</dc:title>
  <dc:subject xmlns:dc="http://purl.org/dc/elements/1.1/">Business processes by role, permissions, maker-checker, approval workflows, KPIs and gaps</dc:subject>
  <dcterms:created xmlns:dcterms="http://purl.org/dc/terms/" xmlns:xsi="http://www.w3.org/2001/XMLSchema-instance" xsi:type="dcterms:W3CDTF">2026-10-01T14:21:35Z</dcterms:created>
  <dcterms:modified xmlns:dcterms="http://purl.org/dc/terms/" xmlns:xsi="http://www.w3.org/2001/XMLSchema-instance" xsi:type="dcterms:W3CDTF">2026-10-01T14:21:36Z</dcterms:modified>
  <cp:lastModifiedBy>Seereon Consulting &amp; IT Services</cp:lastModifiedBy>
  <cp:keywords>SeereonOS; process catalogue; RACI; KPI; permissions; maker-checker</cp:keywords>
</cp:coreProperties>
</file>