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ine-by-line check" sheetId="2" state="visible" r:id="rId2"/>
    <sheet xmlns:r="http://schemas.openxmlformats.org/officeDocument/2006/relationships" name="Guide vs build" sheetId="3" state="visible" r:id="rId3"/>
    <sheet xmlns:r="http://schemas.openxmlformats.org/officeDocument/2006/relationships" name="Build feature list" sheetId="4" state="visible" r:id="rId4"/>
    <sheet xmlns:r="http://schemas.openxmlformats.org/officeDocument/2006/relationships" name="Additional features" sheetId="5" state="visible" r:id="rId5"/>
    <sheet xmlns:r="http://schemas.openxmlformats.org/officeDocument/2006/relationships" name="Guide screenshots map" sheetId="6" state="visible" r:id="rId6"/>
  </sheets>
  <definedNames>
    <definedName name="_xlnm.Print_Titles" localSheetId="0">'Summary'!$1:$3</definedName>
    <definedName name="_xlnm._FilterDatabase" localSheetId="1" hidden="1">'Line-by-line check'!$A$4:$K$267</definedName>
    <definedName name="_xlnm.Print_Titles" localSheetId="1">'Line-by-line check'!$4:$4</definedName>
    <definedName name="_xlnm._FilterDatabase" localSheetId="2" hidden="1">'Guide vs build'!$A$4:$J$122</definedName>
    <definedName name="_xlnm.Print_Titles" localSheetId="2">'Guide vs build'!$4:$4</definedName>
    <definedName name="_xlnm._FilterDatabase" localSheetId="3" hidden="1">'Build feature list'!$A$4:$H$271</definedName>
    <definedName name="_xlnm.Print_Titles" localSheetId="3">'Build feature list'!$4:$4</definedName>
    <definedName name="_xlnm._FilterDatabase" localSheetId="4" hidden="1">'Additional features'!$A$4:$H$153</definedName>
    <definedName name="_xlnm.Print_Titles" localSheetId="4">'Additional features'!$4:$4</definedName>
    <definedName name="_xlnm._FilterDatabase" localSheetId="5" hidden="1">'Guide screenshots map'!$A$4:$F$40</definedName>
    <definedName name="_xlnm.Print_Titles" localSheetId="5">'Guide screenshots map'!$4:$4</definedName>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color rgb="000C6B4E"/>
      <sz val="14"/>
    </font>
    <font>
      <name val="Arial"/>
      <i val="1"/>
      <color rgb="00595959"/>
      <sz val="10"/>
    </font>
    <font>
      <name val="Arial"/>
      <b val="1"/>
      <color rgb="00FFFFFF"/>
      <sz val="10"/>
    </font>
    <font>
      <name val="Arial"/>
      <sz val="10"/>
    </font>
    <font>
      <name val="Arial"/>
      <b val="1"/>
      <color rgb="000C6B4E"/>
      <sz val="10"/>
    </font>
    <font>
      <name val="Arial"/>
      <b val="1"/>
      <color rgb="000C6B4E"/>
      <sz val="16"/>
    </font>
    <font>
      <name val="Arial"/>
      <b val="1"/>
      <sz val="10"/>
    </font>
    <font>
      <name val="Arial"/>
      <b val="1"/>
      <color rgb="000C6B4E"/>
      <sz val="12"/>
    </font>
    <font>
      <name val="Arial"/>
      <i val="1"/>
      <color rgb="00595959"/>
      <sz val="9"/>
    </font>
  </fonts>
  <fills count="5">
    <fill>
      <patternFill/>
    </fill>
    <fill>
      <patternFill patternType="gray125"/>
    </fill>
    <fill>
      <patternFill patternType="solid">
        <fgColor rgb="000C6B4E"/>
      </patternFill>
    </fill>
    <fill>
      <patternFill patternType="solid">
        <fgColor rgb="00FFF9E6"/>
      </patternFill>
    </fill>
    <fill>
      <patternFill patternType="solid">
        <fgColor rgb="00F7EDD0"/>
      </patternFill>
    </fill>
  </fills>
  <borders count="7">
    <border>
      <left/>
      <right/>
      <top/>
      <bottom/>
      <diagonal/>
    </border>
    <border>
      <bottom style="medium">
        <color rgb="00DAB34F"/>
      </bottom>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35">
    <xf numFmtId="0" fontId="0" fillId="0" borderId="0" pivotButton="0" quotePrefix="0" xfId="0"/>
    <xf numFmtId="0" fontId="6" fillId="0" borderId="0" pivotButton="0" quotePrefix="0" xfId="0"/>
    <xf numFmtId="0" fontId="4" fillId="0" borderId="0" pivotButton="0" quotePrefix="0" xfId="0"/>
    <xf numFmtId="0" fontId="2" fillId="0" borderId="0" pivotButton="0" quotePrefix="0" xfId="0"/>
    <xf numFmtId="0" fontId="7" fillId="0" borderId="1" pivotButton="0" quotePrefix="0" xfId="0"/>
    <xf numFmtId="0" fontId="4" fillId="0" borderId="1" pivotButton="0" quotePrefix="0" xfId="0"/>
    <xf numFmtId="0" fontId="8" fillId="0" borderId="1" pivotButton="0" quotePrefix="0" xfId="0"/>
    <xf numFmtId="0" fontId="4" fillId="0" borderId="0" applyAlignment="1" pivotButton="0" quotePrefix="0" xfId="0">
      <alignment vertical="top" wrapText="1"/>
    </xf>
    <xf numFmtId="0" fontId="7" fillId="4" borderId="2" pivotButton="0" quotePrefix="0" xfId="0"/>
    <xf numFmtId="0" fontId="5" fillId="4" borderId="2" applyAlignment="1" pivotButton="0" quotePrefix="0" xfId="0">
      <alignment horizontal="right"/>
    </xf>
    <xf numFmtId="0" fontId="7" fillId="0" borderId="2" pivotButton="0" quotePrefix="0" xfId="0"/>
    <xf numFmtId="0" fontId="5" fillId="0" borderId="2" applyAlignment="1" pivotButton="0" quotePrefix="0" xfId="0">
      <alignment horizontal="right"/>
    </xf>
    <xf numFmtId="164" fontId="5" fillId="0" borderId="2" applyAlignment="1" pivotButton="0" quotePrefix="0" xfId="0">
      <alignment horizontal="right"/>
    </xf>
    <xf numFmtId="0" fontId="3" fillId="2" borderId="2" applyAlignment="1" pivotButton="0" quotePrefix="0" xfId="0">
      <alignment wrapText="1"/>
    </xf>
    <xf numFmtId="0" fontId="4" fillId="0" borderId="2" pivotButton="0" quotePrefix="0" xfId="0"/>
    <xf numFmtId="9" fontId="4" fillId="0" borderId="2" pivotButton="0" quotePrefix="0" xfId="0"/>
    <xf numFmtId="9" fontId="7" fillId="4" borderId="2" pivotButton="0" quotePrefix="0" xfId="0"/>
    <xf numFmtId="0" fontId="5" fillId="0" borderId="2" pivotButton="0" quotePrefix="0" xfId="0"/>
    <xf numFmtId="0" fontId="3" fillId="2" borderId="2" pivotButton="0" quotePrefix="0" xfId="0"/>
    <xf numFmtId="0" fontId="4" fillId="0" borderId="5" pivotButton="0" quotePrefix="0" xfId="0"/>
    <xf numFmtId="0" fontId="4" fillId="0" borderId="6" pivotButton="0" quotePrefix="0" xfId="0"/>
    <xf numFmtId="0" fontId="7" fillId="0" borderId="2" applyAlignment="1" pivotButton="0" quotePrefix="0" xfId="0">
      <alignment vertical="top" wrapText="1"/>
    </xf>
    <xf numFmtId="0" fontId="4" fillId="0" borderId="2" applyAlignment="1" pivotButton="0" quotePrefix="0" xfId="0">
      <alignment vertical="top" wrapText="1"/>
    </xf>
    <xf numFmtId="0" fontId="9" fillId="0" borderId="0" applyAlignment="1" pivotButton="0" quotePrefix="0" xfId="0">
      <alignment vertical="top" wrapText="1"/>
    </xf>
    <xf numFmtId="0" fontId="1" fillId="0" borderId="0" pivotButton="0" quotePrefix="0" xfId="0"/>
    <xf numFmtId="0" fontId="2" fillId="0" borderId="1" pivotButton="0" quotePrefix="0" xfId="0"/>
    <xf numFmtId="0" fontId="0" fillId="0" borderId="1" pivotButton="0" quotePrefix="0" xfId="0"/>
    <xf numFmtId="0" fontId="3" fillId="2" borderId="2" applyAlignment="1" pivotButton="0" quotePrefix="0" xfId="0">
      <alignment horizontal="left" vertical="center" wrapText="1"/>
    </xf>
    <xf numFmtId="0" fontId="4" fillId="0" borderId="2" applyAlignment="1" pivotButton="0" quotePrefix="0" xfId="0">
      <alignment horizontal="center" vertical="top" wrapText="1"/>
    </xf>
    <xf numFmtId="0" fontId="4" fillId="3" borderId="2" applyAlignment="1" pivotButton="0" quotePrefix="0" xfId="0">
      <alignment horizontal="center" vertical="top" wrapText="1"/>
    </xf>
    <xf numFmtId="0" fontId="4" fillId="3" borderId="2" applyAlignment="1" pivotButton="0" quotePrefix="0" xfId="0">
      <alignment vertical="top" wrapText="1"/>
    </xf>
    <xf numFmtId="0" fontId="5" fillId="4" borderId="2" applyAlignment="1" pivotButton="0" quotePrefix="0" xfId="0">
      <alignment horizontal="center" vertical="top" wrapText="1"/>
    </xf>
    <xf numFmtId="0" fontId="5" fillId="4" borderId="2" applyAlignment="1" pivotButton="0" quotePrefix="0" xfId="0">
      <alignment vertical="top" wrapText="1"/>
    </xf>
    <xf numFmtId="0" fontId="5" fillId="3" borderId="2" applyAlignment="1" pivotButton="0" quotePrefix="0" xfId="0">
      <alignment horizontal="center" vertical="top" wrapText="1"/>
    </xf>
    <xf numFmtId="0" fontId="5" fillId="3" borderId="2" applyAlignment="1" pivotButton="0" quotePrefix="0" xfId="0">
      <alignment vertical="top" wrapText="1"/>
    </xf>
  </cellXfs>
  <cellStyles count="1">
    <cellStyle name="Normal" xfId="0" builtinId="0" hidden="0"/>
  </cellStyles>
  <dxfs count="6">
    <dxf>
      <font>
        <name val="Arial"/>
        <b val="1"/>
        <color rgb="00006100"/>
      </font>
      <fill>
        <patternFill patternType="solid">
          <fgColor rgb="00C6EFCE"/>
          <bgColor rgb="00C6EFCE"/>
        </patternFill>
      </fill>
    </dxf>
    <dxf>
      <font>
        <name val="Arial"/>
        <b val="1"/>
        <color rgb="009C5700"/>
      </font>
      <fill>
        <patternFill patternType="solid">
          <fgColor rgb="00FFEB9C"/>
          <bgColor rgb="00FFEB9C"/>
        </patternFill>
      </fill>
    </dxf>
    <dxf>
      <font>
        <name val="Arial"/>
        <b val="1"/>
        <color rgb="009C0006"/>
      </font>
      <fill>
        <patternFill patternType="solid">
          <fgColor rgb="00FFC7CE"/>
          <bgColor rgb="00FFC7CE"/>
        </patternFill>
      </fill>
    </dxf>
    <dxf>
      <font>
        <name val="Arial"/>
        <b val="1"/>
        <color rgb="001F4E79"/>
      </font>
      <fill>
        <patternFill patternType="solid">
          <fgColor rgb="00DDEBF7"/>
          <bgColor rgb="00DDEBF7"/>
        </patternFill>
      </fill>
    </dxf>
    <dxf>
      <font>
        <name val="Arial"/>
        <b val="1"/>
        <color rgb="007F6000"/>
      </font>
      <fill>
        <patternFill patternType="solid">
          <fgColor rgb="00F7EDD0"/>
          <bgColor rgb="00F7EDD0"/>
        </patternFill>
      </fill>
    </dxf>
    <dxf>
      <fill>
        <patternFill patternType="solid">
          <fgColor rgb="00F7EDD0"/>
          <bgColor rgb="00F7ED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C6B4E"/>
    <outlinePr summaryBelow="1" summaryRight="1"/>
    <pageSetUpPr fitToPage="1"/>
  </sheetPr>
  <dimension ref="A1:F102"/>
  <sheetViews>
    <sheetView workbookViewId="0">
      <pane ySplit="3" topLeftCell="A4" activePane="bottomLeft" state="frozen"/>
      <selection pane="bottomLeft"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s>
  <sheetData>
    <row r="1">
      <c r="A1" s="1" t="inlineStr">
        <is>
          <t>SeereonOS — Feature Guide cross-reference</t>
        </is>
      </c>
      <c r="B1" s="2" t="n"/>
      <c r="C1" s="2" t="n"/>
      <c r="D1" s="2" t="n"/>
      <c r="E1" s="2" t="n"/>
      <c r="F1" s="2" t="n"/>
    </row>
    <row r="2">
      <c r="A2" s="3" t="inlineStr">
        <is>
          <t>Seereon Delivery Board: Feature Guide (Santosh Nayak, 28 Sep 2026) checked against the SeereonOS v6 build</t>
        </is>
      </c>
      <c r="B2" s="2" t="n"/>
      <c r="C2" s="2" t="n"/>
      <c r="D2" s="2" t="n"/>
      <c r="E2" s="2" t="n"/>
      <c r="F2" s="2" t="n"/>
    </row>
    <row r="3">
      <c r="A3" s="4" t="inlineStr">
        <is>
          <t>Date</t>
        </is>
      </c>
      <c r="B3" s="5" t="inlineStr">
        <is>
          <t>2 Oct 2026</t>
        </is>
      </c>
      <c r="C3" s="5" t="n"/>
      <c r="D3" s="5" t="n"/>
      <c r="E3" s="5" t="n"/>
      <c r="F3" s="5" t="n"/>
    </row>
    <row r="4">
      <c r="A4" s="2" t="n"/>
      <c r="B4" s="2" t="n"/>
      <c r="C4" s="2" t="n"/>
      <c r="D4" s="2" t="n"/>
      <c r="E4" s="2" t="n"/>
      <c r="F4" s="2" t="n"/>
    </row>
    <row r="5">
      <c r="A5" s="6" t="inlineStr">
        <is>
          <t>How to read this workbook</t>
        </is>
      </c>
      <c r="B5" s="5" t="n"/>
      <c r="C5" s="5" t="n"/>
      <c r="D5" s="5" t="n"/>
      <c r="E5" s="5" t="n"/>
      <c r="F5" s="5" t="n"/>
    </row>
    <row r="6" ht="28" customHeight="1">
      <c r="A6" s="7" t="inlineStr">
        <is>
          <t>Line-by-line check — every sentence, bullet and table row of the guide, verbatim and in order, with where you see it in the build and a Result (OK / OK — improved / Intentional difference / Different — open).</t>
        </is>
      </c>
      <c r="B6" s="2" t="n"/>
      <c r="C6" s="2" t="n"/>
      <c r="D6" s="2" t="n"/>
      <c r="E6" s="2" t="n"/>
      <c r="F6" s="2" t="n"/>
    </row>
    <row r="7" ht="28" customHeight="1">
      <c r="A7" s="7" t="inlineStr">
        <is>
          <t>Guide vs build — one row per Feature Guide item (118). 'In build?' shows Present / Intentional difference / Partial / Missing; 'Where in the build' gives the screen and route; 'Notes' flags improvements and intentional changes.</t>
        </is>
      </c>
      <c r="B7" s="2" t="n"/>
      <c r="C7" s="2" t="n"/>
      <c r="D7" s="2" t="n"/>
      <c r="E7" s="2" t="n"/>
      <c r="F7" s="2" t="n"/>
    </row>
    <row r="8" ht="28" customHeight="1">
      <c r="A8" s="7" t="inlineStr">
        <is>
          <t>Your columns — 'Checked by Santosh' (drop-down Yes / No / Query) and 'Comments' on 'Line-by-line check' and 'Guide vs build' are the only cells to fill in. Example: Yes · 'Checked on phone, fine'.</t>
        </is>
      </c>
      <c r="B8" s="2" t="n"/>
      <c r="C8" s="2" t="n"/>
      <c r="D8" s="2" t="n"/>
      <c r="E8" s="2" t="n"/>
      <c r="F8" s="2" t="n"/>
    </row>
    <row r="9" ht="28" customHeight="1">
      <c r="A9" s="7" t="inlineStr">
        <is>
          <t>Build feature list — every live feature of SeereonOS: guide features (one per G-ID) plus everything built in addition, with who can use it by default.</t>
        </is>
      </c>
      <c r="B9" s="2" t="n"/>
      <c r="C9" s="2" t="n"/>
      <c r="D9" s="2" t="n"/>
      <c r="E9" s="2" t="n"/>
      <c r="F9" s="2" t="n"/>
    </row>
    <row r="10" ht="28" customHeight="1">
      <c r="A10" s="7" t="inlineStr">
        <is>
          <t>Additional features — only the extras, each with one line on why it helps.</t>
        </is>
      </c>
      <c r="B10" s="2" t="n"/>
      <c r="C10" s="2" t="n"/>
      <c r="D10" s="2" t="n"/>
      <c r="E10" s="2" t="n"/>
      <c r="F10" s="2" t="n"/>
    </row>
    <row r="11" ht="28" customHeight="1">
      <c r="A11" s="7" t="inlineStr">
        <is>
          <t>Guide screenshots map — each of the 36 guide screenshots (000–035) mapped to the equivalent build screen.</t>
        </is>
      </c>
      <c r="B11" s="2" t="n"/>
      <c r="C11" s="2" t="n"/>
      <c r="D11" s="2" t="n"/>
      <c r="E11" s="2" t="n"/>
      <c r="F11" s="2" t="n"/>
    </row>
    <row r="12" ht="28" customHeight="1">
      <c r="A12" s="7" t="inlineStr">
        <is>
          <t>All counts below are live formulas: change a status on 'Guide vs build' and they update.</t>
        </is>
      </c>
      <c r="B12" s="2" t="n"/>
      <c r="C12" s="2" t="n"/>
      <c r="D12" s="2" t="n"/>
      <c r="E12" s="2" t="n"/>
      <c r="F12" s="2" t="n"/>
    </row>
    <row r="13">
      <c r="A13" s="2" t="n"/>
      <c r="B13" s="2" t="n"/>
      <c r="C13" s="2" t="n"/>
      <c r="D13" s="2" t="n"/>
      <c r="E13" s="2" t="n"/>
      <c r="F13" s="2" t="n"/>
    </row>
    <row r="14">
      <c r="A14" s="6" t="inlineStr">
        <is>
          <t>Line-by-line check (every guide sentence)</t>
        </is>
      </c>
      <c r="B14" s="5" t="n"/>
      <c r="C14" s="5" t="n"/>
      <c r="D14" s="5" t="n"/>
      <c r="E14" s="5" t="n"/>
      <c r="F14" s="5" t="n"/>
    </row>
    <row r="15">
      <c r="A15" s="8" t="inlineStr">
        <is>
          <t>Guide lines checked (sentences, bullets, table rows)</t>
        </is>
      </c>
      <c r="B15" s="9">
        <f>COUNTA('Line-by-line check'!$E$5:$E$267)</f>
        <v/>
      </c>
      <c r="C15" s="2" t="n"/>
      <c r="D15" s="2" t="n"/>
      <c r="E15" s="2" t="n"/>
      <c r="F15" s="2" t="n"/>
    </row>
    <row r="16">
      <c r="A16" s="10" t="inlineStr">
        <is>
          <t>OK</t>
        </is>
      </c>
      <c r="B16" s="11">
        <f>COUNTIF('Line-by-line check'!$H$5:$H$267,"OK")</f>
        <v/>
      </c>
      <c r="C16" s="2" t="n"/>
      <c r="D16" s="2" t="n"/>
      <c r="E16" s="2" t="n"/>
      <c r="F16" s="2" t="n"/>
    </row>
    <row r="17">
      <c r="A17" s="10" t="inlineStr">
        <is>
          <t>OK — improved</t>
        </is>
      </c>
      <c r="B17" s="11">
        <f>COUNTIF('Line-by-line check'!$H$5:$H$267,"OK — improved")</f>
        <v/>
      </c>
      <c r="C17" s="2" t="n"/>
      <c r="D17" s="2" t="n"/>
      <c r="E17" s="2" t="n"/>
      <c r="F17" s="2" t="n"/>
    </row>
    <row r="18">
      <c r="A18" s="10" t="inlineStr">
        <is>
          <t>Intentional difference</t>
        </is>
      </c>
      <c r="B18" s="11">
        <f>COUNTIF('Line-by-line check'!$H$5:$H$267,"Intentional difference")</f>
        <v/>
      </c>
      <c r="C18" s="2" t="n"/>
      <c r="D18" s="2" t="n"/>
      <c r="E18" s="2" t="n"/>
      <c r="F18" s="2" t="n"/>
    </row>
    <row r="19">
      <c r="A19" s="10" t="inlineStr">
        <is>
          <t>Different — open</t>
        </is>
      </c>
      <c r="B19" s="11">
        <f>COUNTIF('Line-by-line check'!$H$5:$H$267,"Different — open")</f>
        <v/>
      </c>
      <c r="C19" s="2" t="n"/>
      <c r="D19" s="2" t="n"/>
      <c r="E19" s="2" t="n"/>
      <c r="F19" s="2" t="n"/>
    </row>
    <row r="20">
      <c r="A20" s="10" t="inlineStr">
        <is>
          <t>% matching or better (OK + improved)</t>
        </is>
      </c>
      <c r="B20" s="12">
        <f>IF(B15=0,0,(B16+B17)/B15)</f>
        <v/>
      </c>
      <c r="C20" s="2" t="n"/>
      <c r="D20" s="2" t="n"/>
      <c r="E20" s="2" t="n"/>
      <c r="F20" s="2" t="n"/>
    </row>
    <row r="21">
      <c r="A21" s="10" t="inlineStr">
        <is>
          <t>Checked by Santosh so far (Yes)</t>
        </is>
      </c>
      <c r="B21" s="11">
        <f>COUNTIF('Line-by-line check'!$J$5:$J$267,"Yes")</f>
        <v/>
      </c>
      <c r="C21" s="2" t="n"/>
      <c r="D21" s="2" t="n"/>
      <c r="E21" s="2" t="n"/>
      <c r="F21" s="2" t="n"/>
    </row>
    <row r="22">
      <c r="A22" s="10" t="inlineStr">
        <is>
          <t>Open queries</t>
        </is>
      </c>
      <c r="B22" s="11">
        <f>COUNTIF('Line-by-line check'!$J$5:$J$267,"Query")</f>
        <v/>
      </c>
      <c r="C22" s="2" t="n"/>
      <c r="D22" s="2" t="n"/>
      <c r="E22" s="2" t="n"/>
      <c r="F22" s="2" t="n"/>
    </row>
    <row r="23">
      <c r="A23" s="2" t="n"/>
      <c r="B23" s="2" t="n"/>
      <c r="C23" s="2" t="n"/>
      <c r="D23" s="2" t="n"/>
      <c r="E23" s="2" t="n"/>
      <c r="F23" s="2" t="n"/>
    </row>
    <row r="24">
      <c r="A24" s="6" t="inlineStr">
        <is>
          <t>Guide coverage</t>
        </is>
      </c>
      <c r="B24" s="5" t="n"/>
      <c r="C24" s="5" t="n"/>
      <c r="D24" s="5" t="n"/>
      <c r="E24" s="5" t="n"/>
      <c r="F24" s="5" t="n"/>
    </row>
    <row r="25">
      <c r="A25" s="8" t="inlineStr">
        <is>
          <t>Guide features (total)</t>
        </is>
      </c>
      <c r="B25" s="9">
        <f>COUNTA('Guide vs build'!$B$5:$B$122)</f>
        <v/>
      </c>
      <c r="C25" s="2" t="n"/>
      <c r="D25" s="2" t="n"/>
      <c r="E25" s="2" t="n"/>
      <c r="F25" s="2" t="n"/>
    </row>
    <row r="26">
      <c r="A26" s="10" t="inlineStr">
        <is>
          <t>Present</t>
        </is>
      </c>
      <c r="B26" s="11">
        <f>COUNTIF('Guide vs build'!$E$5:$E$122,"Present")</f>
        <v/>
      </c>
      <c r="C26" s="2" t="n"/>
      <c r="D26" s="2" t="n"/>
      <c r="E26" s="2" t="n"/>
      <c r="F26" s="2" t="n"/>
    </row>
    <row r="27">
      <c r="A27" s="10" t="inlineStr">
        <is>
          <t>Intentional difference</t>
        </is>
      </c>
      <c r="B27" s="11">
        <f>COUNTIF('Guide vs build'!$E$5:$E$122,"Intentional difference")</f>
        <v/>
      </c>
      <c r="C27" s="2" t="n"/>
      <c r="D27" s="2" t="n"/>
      <c r="E27" s="2" t="n"/>
      <c r="F27" s="2" t="n"/>
    </row>
    <row r="28">
      <c r="A28" s="10" t="inlineStr">
        <is>
          <t>Partial</t>
        </is>
      </c>
      <c r="B28" s="11">
        <f>COUNTIF('Guide vs build'!$E$5:$E$122,"Partial")</f>
        <v/>
      </c>
      <c r="C28" s="2" t="n"/>
      <c r="D28" s="2" t="n"/>
      <c r="E28" s="2" t="n"/>
      <c r="F28" s="2" t="n"/>
    </row>
    <row r="29">
      <c r="A29" s="10" t="inlineStr">
        <is>
          <t>Missing</t>
        </is>
      </c>
      <c r="B29" s="11">
        <f>COUNTIF('Guide vs build'!$E$5:$E$122,"Missing")</f>
        <v/>
      </c>
      <c r="C29" s="2" t="n"/>
      <c r="D29" s="2" t="n"/>
      <c r="E29" s="2" t="n"/>
      <c r="F29" s="2" t="n"/>
    </row>
    <row r="30">
      <c r="A30" s="10" t="inlineStr">
        <is>
          <t>% covered (Present + intentional ÷ total)</t>
        </is>
      </c>
      <c r="B30" s="12">
        <f>IF(B25=0,0,(B26+B27)/B25)</f>
        <v/>
      </c>
      <c r="C30" s="2" t="n"/>
      <c r="D30" s="2" t="n"/>
      <c r="E30" s="2" t="n"/>
      <c r="F30" s="2" t="n"/>
    </row>
    <row r="31">
      <c r="A31" s="10" t="inlineStr">
        <is>
          <t>Checked by Santosh so far (Yes)</t>
        </is>
      </c>
      <c r="B31" s="11">
        <f>COUNTIF('Guide vs build'!$I$5:$I$122,"Yes")</f>
        <v/>
      </c>
      <c r="C31" s="2" t="n"/>
      <c r="D31" s="2" t="n"/>
      <c r="E31" s="2" t="n"/>
      <c r="F31" s="2" t="n"/>
    </row>
    <row r="32">
      <c r="A32" s="10" t="inlineStr">
        <is>
          <t>Open queries</t>
        </is>
      </c>
      <c r="B32" s="11">
        <f>COUNTIF('Guide vs build'!$I$5:$I$122,"Query")</f>
        <v/>
      </c>
      <c r="C32" s="2" t="n"/>
      <c r="D32" s="2" t="n"/>
      <c r="E32" s="2" t="n"/>
      <c r="F32" s="2" t="n"/>
    </row>
    <row r="33">
      <c r="A33" s="2" t="n"/>
      <c r="B33" s="2" t="n"/>
      <c r="C33" s="2" t="n"/>
      <c r="D33" s="2" t="n"/>
      <c r="E33" s="2" t="n"/>
      <c r="F33" s="2" t="n"/>
    </row>
    <row r="34">
      <c r="A34" s="6" t="inlineStr">
        <is>
          <t>Coverage by guide section</t>
        </is>
      </c>
      <c r="B34" s="5" t="n"/>
      <c r="C34" s="5" t="n"/>
      <c r="D34" s="5" t="n"/>
      <c r="E34" s="5" t="n"/>
      <c r="F34" s="5" t="n"/>
    </row>
    <row r="35">
      <c r="A35" s="13" t="inlineStr">
        <is>
          <t>Guide section</t>
        </is>
      </c>
      <c r="B35" s="13" t="inlineStr">
        <is>
          <t>Features</t>
        </is>
      </c>
      <c r="C35" s="13" t="inlineStr">
        <is>
          <t>Present / intentional</t>
        </is>
      </c>
      <c r="D35" s="13" t="inlineStr">
        <is>
          <t>Partial</t>
        </is>
      </c>
      <c r="E35" s="13" t="inlineStr">
        <is>
          <t>Missing</t>
        </is>
      </c>
      <c r="F35" s="13" t="inlineStr">
        <is>
          <t>% covered</t>
        </is>
      </c>
    </row>
    <row r="36">
      <c r="A36" s="14" t="inlineStr">
        <is>
          <t>1. Roles and views</t>
        </is>
      </c>
      <c r="B36" s="14">
        <f>COUNTIF('Guide vs build'!$A$5:$A$122,$A36)</f>
        <v/>
      </c>
      <c r="C36" s="14">
        <f>COUNTIFS('Guide vs build'!$A$5:$A$122,$A36,'Guide vs build'!$E$5:$E$122,"Present")+COUNTIFS('Guide vs build'!$A$5:$A$122,$A36,'Guide vs build'!$E$5:$E$122,"Intentional difference")</f>
        <v/>
      </c>
      <c r="D36" s="14">
        <f>COUNTIFS('Guide vs build'!$A$5:$A$122,$A36,'Guide vs build'!$E$5:$E$122,"Partial")</f>
        <v/>
      </c>
      <c r="E36" s="14">
        <f>COUNTIFS('Guide vs build'!$A$5:$A$122,$A36,'Guide vs build'!$E$5:$E$122,"Missing")</f>
        <v/>
      </c>
      <c r="F36" s="15">
        <f>IF(B36=0,0,C36/B36)</f>
        <v/>
      </c>
    </row>
    <row r="37">
      <c r="A37" s="14" t="inlineStr">
        <is>
          <t>2. CEO dashboard: revenue first</t>
        </is>
      </c>
      <c r="B37" s="14">
        <f>COUNTIF('Guide vs build'!$A$5:$A$122,$A37)</f>
        <v/>
      </c>
      <c r="C37" s="14">
        <f>COUNTIFS('Guide vs build'!$A$5:$A$122,$A37,'Guide vs build'!$E$5:$E$122,"Present")+COUNTIFS('Guide vs build'!$A$5:$A$122,$A37,'Guide vs build'!$E$5:$E$122,"Intentional difference")</f>
        <v/>
      </c>
      <c r="D37" s="14">
        <f>COUNTIFS('Guide vs build'!$A$5:$A$122,$A37,'Guide vs build'!$E$5:$E$122,"Partial")</f>
        <v/>
      </c>
      <c r="E37" s="14">
        <f>COUNTIFS('Guide vs build'!$A$5:$A$122,$A37,'Guide vs build'!$E$5:$E$122,"Missing")</f>
        <v/>
      </c>
      <c r="F37" s="15">
        <f>IF(B37=0,0,C37/B37)</f>
        <v/>
      </c>
    </row>
    <row r="38">
      <c r="A38" s="14" t="inlineStr">
        <is>
          <t>3. Projects: list, status, type</t>
        </is>
      </c>
      <c r="B38" s="14">
        <f>COUNTIF('Guide vs build'!$A$5:$A$122,$A38)</f>
        <v/>
      </c>
      <c r="C38" s="14">
        <f>COUNTIFS('Guide vs build'!$A$5:$A$122,$A38,'Guide vs build'!$E$5:$E$122,"Present")+COUNTIFS('Guide vs build'!$A$5:$A$122,$A38,'Guide vs build'!$E$5:$E$122,"Intentional difference")</f>
        <v/>
      </c>
      <c r="D38" s="14">
        <f>COUNTIFS('Guide vs build'!$A$5:$A$122,$A38,'Guide vs build'!$E$5:$E$122,"Partial")</f>
        <v/>
      </c>
      <c r="E38" s="14">
        <f>COUNTIFS('Guide vs build'!$A$5:$A$122,$A38,'Guide vs build'!$E$5:$E$122,"Missing")</f>
        <v/>
      </c>
      <c r="F38" s="15">
        <f>IF(B38=0,0,C38/B38)</f>
        <v/>
      </c>
    </row>
    <row r="39">
      <c r="A39" s="14" t="inlineStr">
        <is>
          <t>4. Project page: milestones, tasks and WBS</t>
        </is>
      </c>
      <c r="B39" s="14">
        <f>COUNTIF('Guide vs build'!$A$5:$A$122,$A39)</f>
        <v/>
      </c>
      <c r="C39" s="14">
        <f>COUNTIFS('Guide vs build'!$A$5:$A$122,$A39,'Guide vs build'!$E$5:$E$122,"Present")+COUNTIFS('Guide vs build'!$A$5:$A$122,$A39,'Guide vs build'!$E$5:$E$122,"Intentional difference")</f>
        <v/>
      </c>
      <c r="D39" s="14">
        <f>COUNTIFS('Guide vs build'!$A$5:$A$122,$A39,'Guide vs build'!$E$5:$E$122,"Partial")</f>
        <v/>
      </c>
      <c r="E39" s="14">
        <f>COUNTIFS('Guide vs build'!$A$5:$A$122,$A39,'Guide vs build'!$E$5:$E$122,"Missing")</f>
        <v/>
      </c>
      <c r="F39" s="15">
        <f>IF(B39=0,0,C39/B39)</f>
        <v/>
      </c>
    </row>
    <row r="40">
      <c r="A40" s="14" t="inlineStr">
        <is>
          <t>5. Schedule, critical path and change requests</t>
        </is>
      </c>
      <c r="B40" s="14">
        <f>COUNTIF('Guide vs build'!$A$5:$A$122,$A40)</f>
        <v/>
      </c>
      <c r="C40" s="14">
        <f>COUNTIFS('Guide vs build'!$A$5:$A$122,$A40,'Guide vs build'!$E$5:$E$122,"Present")+COUNTIFS('Guide vs build'!$A$5:$A$122,$A40,'Guide vs build'!$E$5:$E$122,"Intentional difference")</f>
        <v/>
      </c>
      <c r="D40" s="14">
        <f>COUNTIFS('Guide vs build'!$A$5:$A$122,$A40,'Guide vs build'!$E$5:$E$122,"Partial")</f>
        <v/>
      </c>
      <c r="E40" s="14">
        <f>COUNTIFS('Guide vs build'!$A$5:$A$122,$A40,'Guide vs build'!$E$5:$E$122,"Missing")</f>
        <v/>
      </c>
      <c r="F40" s="15">
        <f>IF(B40=0,0,C40/B40)</f>
        <v/>
      </c>
    </row>
    <row r="41">
      <c r="A41" s="14" t="inlineStr">
        <is>
          <t>6. Costing, allocation and margins</t>
        </is>
      </c>
      <c r="B41" s="14">
        <f>COUNTIF('Guide vs build'!$A$5:$A$122,$A41)</f>
        <v/>
      </c>
      <c r="C41" s="14">
        <f>COUNTIFS('Guide vs build'!$A$5:$A$122,$A41,'Guide vs build'!$E$5:$E$122,"Present")+COUNTIFS('Guide vs build'!$A$5:$A$122,$A41,'Guide vs build'!$E$5:$E$122,"Intentional difference")</f>
        <v/>
      </c>
      <c r="D41" s="14">
        <f>COUNTIFS('Guide vs build'!$A$5:$A$122,$A41,'Guide vs build'!$E$5:$E$122,"Partial")</f>
        <v/>
      </c>
      <c r="E41" s="14">
        <f>COUNTIFS('Guide vs build'!$A$5:$A$122,$A41,'Guide vs build'!$E$5:$E$122,"Missing")</f>
        <v/>
      </c>
      <c r="F41" s="15">
        <f>IF(B41=0,0,C41/B41)</f>
        <v/>
      </c>
    </row>
    <row r="42">
      <c r="A42" s="14" t="inlineStr">
        <is>
          <t>7. Tasks: owners, dependencies, backup and threads</t>
        </is>
      </c>
      <c r="B42" s="14">
        <f>COUNTIF('Guide vs build'!$A$5:$A$122,$A42)</f>
        <v/>
      </c>
      <c r="C42" s="14">
        <f>COUNTIFS('Guide vs build'!$A$5:$A$122,$A42,'Guide vs build'!$E$5:$E$122,"Present")+COUNTIFS('Guide vs build'!$A$5:$A$122,$A42,'Guide vs build'!$E$5:$E$122,"Intentional difference")</f>
        <v/>
      </c>
      <c r="D42" s="14">
        <f>COUNTIFS('Guide vs build'!$A$5:$A$122,$A42,'Guide vs build'!$E$5:$E$122,"Partial")</f>
        <v/>
      </c>
      <c r="E42" s="14">
        <f>COUNTIFS('Guide vs build'!$A$5:$A$122,$A42,'Guide vs build'!$E$5:$E$122,"Missing")</f>
        <v/>
      </c>
      <c r="F42" s="15">
        <f>IF(B42=0,0,C42/B42)</f>
        <v/>
      </c>
    </row>
    <row r="43">
      <c r="A43" s="14" t="inlineStr">
        <is>
          <t>8. Timesheet and daily update</t>
        </is>
      </c>
      <c r="B43" s="14">
        <f>COUNTIF('Guide vs build'!$A$5:$A$122,$A43)</f>
        <v/>
      </c>
      <c r="C43" s="14">
        <f>COUNTIFS('Guide vs build'!$A$5:$A$122,$A43,'Guide vs build'!$E$5:$E$122,"Present")+COUNTIFS('Guide vs build'!$A$5:$A$122,$A43,'Guide vs build'!$E$5:$E$122,"Intentional difference")</f>
        <v/>
      </c>
      <c r="D43" s="14">
        <f>COUNTIFS('Guide vs build'!$A$5:$A$122,$A43,'Guide vs build'!$E$5:$E$122,"Partial")</f>
        <v/>
      </c>
      <c r="E43" s="14">
        <f>COUNTIFS('Guide vs build'!$A$5:$A$122,$A43,'Guide vs build'!$E$5:$E$122,"Missing")</f>
        <v/>
      </c>
      <c r="F43" s="15">
        <f>IF(B43=0,0,C43/B43)</f>
        <v/>
      </c>
    </row>
    <row r="44">
      <c r="A44" s="14" t="inlineStr">
        <is>
          <t>9. Approvals and the manager's approval KPI</t>
        </is>
      </c>
      <c r="B44" s="14">
        <f>COUNTIF('Guide vs build'!$A$5:$A$122,$A44)</f>
        <v/>
      </c>
      <c r="C44" s="14">
        <f>COUNTIFS('Guide vs build'!$A$5:$A$122,$A44,'Guide vs build'!$E$5:$E$122,"Present")+COUNTIFS('Guide vs build'!$A$5:$A$122,$A44,'Guide vs build'!$E$5:$E$122,"Intentional difference")</f>
        <v/>
      </c>
      <c r="D44" s="14">
        <f>COUNTIFS('Guide vs build'!$A$5:$A$122,$A44,'Guide vs build'!$E$5:$E$122,"Partial")</f>
        <v/>
      </c>
      <c r="E44" s="14">
        <f>COUNTIFS('Guide vs build'!$A$5:$A$122,$A44,'Guide vs build'!$E$5:$E$122,"Missing")</f>
        <v/>
      </c>
      <c r="F44" s="15">
        <f>IF(B44=0,0,C44/B44)</f>
        <v/>
      </c>
    </row>
    <row r="45">
      <c r="A45" s="14" t="inlineStr">
        <is>
          <t>10. Payroll: pay for approved days</t>
        </is>
      </c>
      <c r="B45" s="14">
        <f>COUNTIF('Guide vs build'!$A$5:$A$122,$A45)</f>
        <v/>
      </c>
      <c r="C45" s="14">
        <f>COUNTIFS('Guide vs build'!$A$5:$A$122,$A45,'Guide vs build'!$E$5:$E$122,"Present")+COUNTIFS('Guide vs build'!$A$5:$A$122,$A45,'Guide vs build'!$E$5:$E$122,"Intentional difference")</f>
        <v/>
      </c>
      <c r="D45" s="14">
        <f>COUNTIFS('Guide vs build'!$A$5:$A$122,$A45,'Guide vs build'!$E$5:$E$122,"Partial")</f>
        <v/>
      </c>
      <c r="E45" s="14">
        <f>COUNTIFS('Guide vs build'!$A$5:$A$122,$A45,'Guide vs build'!$E$5:$E$122,"Missing")</f>
        <v/>
      </c>
      <c r="F45" s="15">
        <f>IF(B45=0,0,C45/B45)</f>
        <v/>
      </c>
    </row>
    <row r="46">
      <c r="A46" s="14" t="inlineStr">
        <is>
          <t>11. Sales: leads, pipeline and the activity trail</t>
        </is>
      </c>
      <c r="B46" s="14">
        <f>COUNTIF('Guide vs build'!$A$5:$A$122,$A46)</f>
        <v/>
      </c>
      <c r="C46" s="14">
        <f>COUNTIFS('Guide vs build'!$A$5:$A$122,$A46,'Guide vs build'!$E$5:$E$122,"Present")+COUNTIFS('Guide vs build'!$A$5:$A$122,$A46,'Guide vs build'!$E$5:$E$122,"Intentional difference")</f>
        <v/>
      </c>
      <c r="D46" s="14">
        <f>COUNTIFS('Guide vs build'!$A$5:$A$122,$A46,'Guide vs build'!$E$5:$E$122,"Partial")</f>
        <v/>
      </c>
      <c r="E46" s="14">
        <f>COUNTIFS('Guide vs build'!$A$5:$A$122,$A46,'Guide vs build'!$E$5:$E$122,"Missing")</f>
        <v/>
      </c>
      <c r="F46" s="15">
        <f>IF(B46=0,0,C46/B46)</f>
        <v/>
      </c>
    </row>
    <row r="47">
      <c r="A47" s="14" t="inlineStr">
        <is>
          <t>12. Sales cost, performance and pay</t>
        </is>
      </c>
      <c r="B47" s="14">
        <f>COUNTIF('Guide vs build'!$A$5:$A$122,$A47)</f>
        <v/>
      </c>
      <c r="C47" s="14">
        <f>COUNTIFS('Guide vs build'!$A$5:$A$122,$A47,'Guide vs build'!$E$5:$E$122,"Present")+COUNTIFS('Guide vs build'!$A$5:$A$122,$A47,'Guide vs build'!$E$5:$E$122,"Intentional difference")</f>
        <v/>
      </c>
      <c r="D47" s="14">
        <f>COUNTIFS('Guide vs build'!$A$5:$A$122,$A47,'Guide vs build'!$E$5:$E$122,"Partial")</f>
        <v/>
      </c>
      <c r="E47" s="14">
        <f>COUNTIFS('Guide vs build'!$A$5:$A$122,$A47,'Guide vs build'!$E$5:$E$122,"Missing")</f>
        <v/>
      </c>
      <c r="F47" s="15">
        <f>IF(B47=0,0,C47/B47)</f>
        <v/>
      </c>
    </row>
    <row r="48">
      <c r="A48" s="14" t="inlineStr">
        <is>
          <t>13. Finance: P&amp;L and ledger</t>
        </is>
      </c>
      <c r="B48" s="14">
        <f>COUNTIF('Guide vs build'!$A$5:$A$122,$A48)</f>
        <v/>
      </c>
      <c r="C48" s="14">
        <f>COUNTIFS('Guide vs build'!$A$5:$A$122,$A48,'Guide vs build'!$E$5:$E$122,"Present")+COUNTIFS('Guide vs build'!$A$5:$A$122,$A48,'Guide vs build'!$E$5:$E$122,"Intentional difference")</f>
        <v/>
      </c>
      <c r="D48" s="14">
        <f>COUNTIFS('Guide vs build'!$A$5:$A$122,$A48,'Guide vs build'!$E$5:$E$122,"Partial")</f>
        <v/>
      </c>
      <c r="E48" s="14">
        <f>COUNTIFS('Guide vs build'!$A$5:$A$122,$A48,'Guide vs build'!$E$5:$E$122,"Missing")</f>
        <v/>
      </c>
      <c r="F48" s="15">
        <f>IF(B48=0,0,C48/B48)</f>
        <v/>
      </c>
    </row>
    <row r="49">
      <c r="A49" s="14" t="inlineStr">
        <is>
          <t>14. Project manager and operations dashboards</t>
        </is>
      </c>
      <c r="B49" s="14">
        <f>COUNTIF('Guide vs build'!$A$5:$A$122,$A49)</f>
        <v/>
      </c>
      <c r="C49" s="14">
        <f>COUNTIFS('Guide vs build'!$A$5:$A$122,$A49,'Guide vs build'!$E$5:$E$122,"Present")+COUNTIFS('Guide vs build'!$A$5:$A$122,$A49,'Guide vs build'!$E$5:$E$122,"Intentional difference")</f>
        <v/>
      </c>
      <c r="D49" s="14">
        <f>COUNTIFS('Guide vs build'!$A$5:$A$122,$A49,'Guide vs build'!$E$5:$E$122,"Partial")</f>
        <v/>
      </c>
      <c r="E49" s="14">
        <f>COUNTIFS('Guide vs build'!$A$5:$A$122,$A49,'Guide vs build'!$E$5:$E$122,"Missing")</f>
        <v/>
      </c>
      <c r="F49" s="15">
        <f>IF(B49=0,0,C49/B49)</f>
        <v/>
      </c>
    </row>
    <row r="50">
      <c r="A50" s="14" t="inlineStr">
        <is>
          <t>15. Insights, weekly scorecard and client view</t>
        </is>
      </c>
      <c r="B50" s="14">
        <f>COUNTIF('Guide vs build'!$A$5:$A$122,$A50)</f>
        <v/>
      </c>
      <c r="C50" s="14">
        <f>COUNTIFS('Guide vs build'!$A$5:$A$122,$A50,'Guide vs build'!$E$5:$E$122,"Present")+COUNTIFS('Guide vs build'!$A$5:$A$122,$A50,'Guide vs build'!$E$5:$E$122,"Intentional difference")</f>
        <v/>
      </c>
      <c r="D50" s="14">
        <f>COUNTIFS('Guide vs build'!$A$5:$A$122,$A50,'Guide vs build'!$E$5:$E$122,"Partial")</f>
        <v/>
      </c>
      <c r="E50" s="14">
        <f>COUNTIFS('Guide vs build'!$A$5:$A$122,$A50,'Guide vs build'!$E$5:$E$122,"Missing")</f>
        <v/>
      </c>
      <c r="F50" s="15">
        <f>IF(B50=0,0,C50/B50)</f>
        <v/>
      </c>
    </row>
    <row r="51">
      <c r="A51" s="14" t="inlineStr">
        <is>
          <t>16. Team and settings</t>
        </is>
      </c>
      <c r="B51" s="14">
        <f>COUNTIF('Guide vs build'!$A$5:$A$122,$A51)</f>
        <v/>
      </c>
      <c r="C51" s="14">
        <f>COUNTIFS('Guide vs build'!$A$5:$A$122,$A51,'Guide vs build'!$E$5:$E$122,"Present")+COUNTIFS('Guide vs build'!$A$5:$A$122,$A51,'Guide vs build'!$E$5:$E$122,"Intentional difference")</f>
        <v/>
      </c>
      <c r="D51" s="14">
        <f>COUNTIFS('Guide vs build'!$A$5:$A$122,$A51,'Guide vs build'!$E$5:$E$122,"Partial")</f>
        <v/>
      </c>
      <c r="E51" s="14">
        <f>COUNTIFS('Guide vs build'!$A$5:$A$122,$A51,'Guide vs build'!$E$5:$E$122,"Missing")</f>
        <v/>
      </c>
      <c r="F51" s="15">
        <f>IF(B51=0,0,C51/B51)</f>
        <v/>
      </c>
    </row>
    <row r="52">
      <c r="A52" s="14" t="inlineStr">
        <is>
          <t>17. Rules and KPI definitions</t>
        </is>
      </c>
      <c r="B52" s="14">
        <f>COUNTIF('Guide vs build'!$A$5:$A$122,$A52)</f>
        <v/>
      </c>
      <c r="C52" s="14">
        <f>COUNTIFS('Guide vs build'!$A$5:$A$122,$A52,'Guide vs build'!$E$5:$E$122,"Present")+COUNTIFS('Guide vs build'!$A$5:$A$122,$A52,'Guide vs build'!$E$5:$E$122,"Intentional difference")</f>
        <v/>
      </c>
      <c r="D52" s="14">
        <f>COUNTIFS('Guide vs build'!$A$5:$A$122,$A52,'Guide vs build'!$E$5:$E$122,"Partial")</f>
        <v/>
      </c>
      <c r="E52" s="14">
        <f>COUNTIFS('Guide vs build'!$A$5:$A$122,$A52,'Guide vs build'!$E$5:$E$122,"Missing")</f>
        <v/>
      </c>
      <c r="F52" s="15">
        <f>IF(B52=0,0,C52/B52)</f>
        <v/>
      </c>
    </row>
    <row r="53">
      <c r="A53" s="8" t="inlineStr">
        <is>
          <t>Total</t>
        </is>
      </c>
      <c r="B53" s="8">
        <f>SUM(B36:B52)</f>
        <v/>
      </c>
      <c r="C53" s="8">
        <f>SUM(C36:C52)</f>
        <v/>
      </c>
      <c r="D53" s="8">
        <f>SUM(D36:D52)</f>
        <v/>
      </c>
      <c r="E53" s="8">
        <f>SUM(E36:E52)</f>
        <v/>
      </c>
      <c r="F53" s="16">
        <f>IF(B53=0,0,C53/B53)</f>
        <v/>
      </c>
    </row>
    <row r="54">
      <c r="A54" s="2" t="n"/>
      <c r="B54" s="2" t="n"/>
      <c r="C54" s="2" t="n"/>
      <c r="D54" s="2" t="n"/>
      <c r="E54" s="2" t="n"/>
      <c r="F54" s="2" t="n"/>
    </row>
    <row r="55">
      <c r="A55" s="6" t="inlineStr">
        <is>
          <t>Build features</t>
        </is>
      </c>
      <c r="B55" s="5" t="n"/>
      <c r="C55" s="5" t="n"/>
      <c r="D55" s="5" t="n"/>
      <c r="E55" s="5" t="n"/>
      <c r="F55" s="5" t="n"/>
    </row>
    <row r="56">
      <c r="A56" s="10" t="inlineStr">
        <is>
          <t>Build features (total, all live)</t>
        </is>
      </c>
      <c r="B56" s="17">
        <f>COUNTA('Build feature list'!$C$5:$C$271)</f>
        <v/>
      </c>
      <c r="C56" s="2" t="n"/>
      <c r="D56" s="2" t="n"/>
      <c r="E56" s="2" t="n"/>
      <c r="F56" s="2" t="n"/>
    </row>
    <row r="57">
      <c r="A57" s="10" t="inlineStr">
        <is>
          <t>From the Feature Guide</t>
        </is>
      </c>
      <c r="B57" s="17">
        <f>COUNTIF('Build feature list'!$F$5:$F$271,"Feature Guide*")</f>
        <v/>
      </c>
      <c r="C57" s="2" t="n"/>
      <c r="D57" s="2" t="n"/>
      <c r="E57" s="2" t="n"/>
      <c r="F57" s="2" t="n"/>
    </row>
    <row r="58">
      <c r="A58" s="10" t="inlineStr">
        <is>
          <t>Additional to the guide</t>
        </is>
      </c>
      <c r="B58" s="17">
        <f>COUNTIF('Build feature list'!$F$5:$F$271,"Additional*")</f>
        <v/>
      </c>
      <c r="C58" s="2" t="n"/>
      <c r="D58" s="2" t="n"/>
      <c r="E58" s="2" t="n"/>
      <c r="F58" s="2" t="n"/>
    </row>
    <row r="59">
      <c r="A59" s="14" t="inlineStr">
        <is>
          <t xml:space="preserve">  of which v1 base</t>
        </is>
      </c>
      <c r="B59" s="17">
        <f>COUNTIF('Build feature list'!$F$5:$F$271,"Additional (v1 base)")</f>
        <v/>
      </c>
      <c r="C59" s="2" t="n"/>
      <c r="D59" s="2" t="n"/>
      <c r="E59" s="2" t="n"/>
      <c r="F59" s="2" t="n"/>
    </row>
    <row r="60">
      <c r="A60" s="14" t="inlineStr">
        <is>
          <t xml:space="preserve">  of which v3 business processes</t>
        </is>
      </c>
      <c r="B60" s="17">
        <f>COUNTIF('Build feature list'!$F$5:$F$271,"Additional (v3 business processes)")</f>
        <v/>
      </c>
      <c r="C60" s="2" t="n"/>
      <c r="D60" s="2" t="n"/>
      <c r="E60" s="2" t="n"/>
      <c r="F60" s="2" t="n"/>
    </row>
    <row r="61">
      <c r="A61" s="14" t="inlineStr">
        <is>
          <t xml:space="preserve">  of which v4 access &amp; controls</t>
        </is>
      </c>
      <c r="B61" s="17">
        <f>COUNTIF('Build feature list'!$F$5:$F$271,"Additional (v4 access &amp; controls)")</f>
        <v/>
      </c>
      <c r="C61" s="2" t="n"/>
      <c r="D61" s="2" t="n"/>
      <c r="E61" s="2" t="n"/>
      <c r="F61" s="2" t="n"/>
    </row>
    <row r="62">
      <c r="A62" s="14" t="inlineStr">
        <is>
          <t xml:space="preserve">  of which v5 parity extras</t>
        </is>
      </c>
      <c r="B62" s="17">
        <f>COUNTIF('Build feature list'!$F$5:$F$271,"Additional (v5 parity extras)")</f>
        <v/>
      </c>
      <c r="C62" s="2" t="n"/>
      <c r="D62" s="2" t="n"/>
      <c r="E62" s="2" t="n"/>
      <c r="F62" s="2" t="n"/>
    </row>
    <row r="63">
      <c r="A63" s="14" t="inlineStr">
        <is>
          <t xml:space="preserve">  of which v7 workflows, documents &amp; invoicing</t>
        </is>
      </c>
      <c r="B63" s="17">
        <f>COUNTIF('Build feature list'!$F$5:$F$271,"Additional (v7 workflows, documents &amp; invoicing)")</f>
        <v/>
      </c>
      <c r="C63" s="2" t="n"/>
      <c r="D63" s="2" t="n"/>
      <c r="E63" s="2" t="n"/>
      <c r="F63" s="2" t="n"/>
    </row>
    <row r="64">
      <c r="A64" s="2" t="n"/>
      <c r="B64" s="2" t="n"/>
      <c r="C64" s="2" t="n"/>
      <c r="D64" s="2" t="n"/>
      <c r="E64" s="2" t="n"/>
      <c r="F64" s="2" t="n"/>
    </row>
    <row r="65">
      <c r="A65" s="6" t="inlineStr">
        <is>
          <t>Features by area</t>
        </is>
      </c>
      <c r="B65" s="5" t="n"/>
      <c r="C65" s="5" t="n"/>
      <c r="D65" s="5" t="n"/>
      <c r="E65" s="5" t="n"/>
      <c r="F65" s="5" t="n"/>
    </row>
    <row r="66">
      <c r="A66" s="18" t="inlineStr">
        <is>
          <t>Area</t>
        </is>
      </c>
      <c r="B66" s="18" t="inlineStr">
        <is>
          <t>All features</t>
        </is>
      </c>
      <c r="C66" s="18" t="inlineStr">
        <is>
          <t>From guide</t>
        </is>
      </c>
      <c r="D66" s="18" t="inlineStr">
        <is>
          <t>Additional</t>
        </is>
      </c>
      <c r="E66" s="2" t="n"/>
      <c r="F66" s="2" t="n"/>
    </row>
    <row r="67">
      <c r="A67" s="14" t="inlineStr">
        <is>
          <t>Dashboards</t>
        </is>
      </c>
      <c r="B67" s="14">
        <f>COUNTIF('Build feature list'!$B$5:$B$271,$A67)</f>
        <v/>
      </c>
      <c r="C67" s="14">
        <f>COUNTIFS('Build feature list'!$B$5:$B$271,$A67,'Build feature list'!$F$5:$F$271,"Feature Guide*")</f>
        <v/>
      </c>
      <c r="D67" s="14">
        <f>COUNTIFS('Build feature list'!$B$5:$B$271,$A67,'Build feature list'!$F$5:$F$271,"Additional*")</f>
        <v/>
      </c>
      <c r="E67" s="2" t="n"/>
      <c r="F67" s="2" t="n"/>
    </row>
    <row r="68">
      <c r="A68" s="14" t="inlineStr">
        <is>
          <t>Projects &amp; delivery</t>
        </is>
      </c>
      <c r="B68" s="14">
        <f>COUNTIF('Build feature list'!$B$5:$B$271,$A68)</f>
        <v/>
      </c>
      <c r="C68" s="14">
        <f>COUNTIFS('Build feature list'!$B$5:$B$271,$A68,'Build feature list'!$F$5:$F$271,"Feature Guide*")</f>
        <v/>
      </c>
      <c r="D68" s="14">
        <f>COUNTIFS('Build feature list'!$B$5:$B$271,$A68,'Build feature list'!$F$5:$F$271,"Additional*")</f>
        <v/>
      </c>
      <c r="E68" s="2" t="n"/>
      <c r="F68" s="2" t="n"/>
    </row>
    <row r="69">
      <c r="A69" s="14" t="inlineStr">
        <is>
          <t>Tasks</t>
        </is>
      </c>
      <c r="B69" s="14">
        <f>COUNTIF('Build feature list'!$B$5:$B$271,$A69)</f>
        <v/>
      </c>
      <c r="C69" s="14">
        <f>COUNTIFS('Build feature list'!$B$5:$B$271,$A69,'Build feature list'!$F$5:$F$271,"Feature Guide*")</f>
        <v/>
      </c>
      <c r="D69" s="14">
        <f>COUNTIFS('Build feature list'!$B$5:$B$271,$A69,'Build feature list'!$F$5:$F$271,"Additional*")</f>
        <v/>
      </c>
      <c r="E69" s="2" t="n"/>
      <c r="F69" s="2" t="n"/>
    </row>
    <row r="70">
      <c r="A70" s="14" t="inlineStr">
        <is>
          <t>Time &amp; attendance</t>
        </is>
      </c>
      <c r="B70" s="14">
        <f>COUNTIF('Build feature list'!$B$5:$B$271,$A70)</f>
        <v/>
      </c>
      <c r="C70" s="14">
        <f>COUNTIFS('Build feature list'!$B$5:$B$271,$A70,'Build feature list'!$F$5:$F$271,"Feature Guide*")</f>
        <v/>
      </c>
      <c r="D70" s="14">
        <f>COUNTIFS('Build feature list'!$B$5:$B$271,$A70,'Build feature list'!$F$5:$F$271,"Additional*")</f>
        <v/>
      </c>
      <c r="E70" s="2" t="n"/>
      <c r="F70" s="2" t="n"/>
    </row>
    <row r="71">
      <c r="A71" s="14" t="inlineStr">
        <is>
          <t>Approvals &amp; governance</t>
        </is>
      </c>
      <c r="B71" s="14">
        <f>COUNTIF('Build feature list'!$B$5:$B$271,$A71)</f>
        <v/>
      </c>
      <c r="C71" s="14">
        <f>COUNTIFS('Build feature list'!$B$5:$B$271,$A71,'Build feature list'!$F$5:$F$271,"Feature Guide*")</f>
        <v/>
      </c>
      <c r="D71" s="14">
        <f>COUNTIFS('Build feature list'!$B$5:$B$271,$A71,'Build feature list'!$F$5:$F$271,"Additional*")</f>
        <v/>
      </c>
      <c r="E71" s="2" t="n"/>
      <c r="F71" s="2" t="n"/>
    </row>
    <row r="72">
      <c r="A72" s="14" t="inlineStr">
        <is>
          <t>Payroll</t>
        </is>
      </c>
      <c r="B72" s="14">
        <f>COUNTIF('Build feature list'!$B$5:$B$271,$A72)</f>
        <v/>
      </c>
      <c r="C72" s="14">
        <f>COUNTIFS('Build feature list'!$B$5:$B$271,$A72,'Build feature list'!$F$5:$F$271,"Feature Guide*")</f>
        <v/>
      </c>
      <c r="D72" s="14">
        <f>COUNTIFS('Build feature list'!$B$5:$B$271,$A72,'Build feature list'!$F$5:$F$271,"Additional*")</f>
        <v/>
      </c>
      <c r="E72" s="2" t="n"/>
      <c r="F72" s="2" t="n"/>
    </row>
    <row r="73">
      <c r="A73" s="14" t="inlineStr">
        <is>
          <t>Sales</t>
        </is>
      </c>
      <c r="B73" s="14">
        <f>COUNTIF('Build feature list'!$B$5:$B$271,$A73)</f>
        <v/>
      </c>
      <c r="C73" s="14">
        <f>COUNTIFS('Build feature list'!$B$5:$B$271,$A73,'Build feature list'!$F$5:$F$271,"Feature Guide*")</f>
        <v/>
      </c>
      <c r="D73" s="14">
        <f>COUNTIFS('Build feature list'!$B$5:$B$271,$A73,'Build feature list'!$F$5:$F$271,"Additional*")</f>
        <v/>
      </c>
      <c r="E73" s="2" t="n"/>
      <c r="F73" s="2" t="n"/>
    </row>
    <row r="74">
      <c r="A74" s="14" t="inlineStr">
        <is>
          <t>Clients &amp; contracts</t>
        </is>
      </c>
      <c r="B74" s="14">
        <f>COUNTIF('Build feature list'!$B$5:$B$271,$A74)</f>
        <v/>
      </c>
      <c r="C74" s="14">
        <f>COUNTIFS('Build feature list'!$B$5:$B$271,$A74,'Build feature list'!$F$5:$F$271,"Feature Guide*")</f>
        <v/>
      </c>
      <c r="D74" s="14">
        <f>COUNTIFS('Build feature list'!$B$5:$B$271,$A74,'Build feature list'!$F$5:$F$271,"Additional*")</f>
        <v/>
      </c>
      <c r="E74" s="2" t="n"/>
      <c r="F74" s="2" t="n"/>
    </row>
    <row r="75">
      <c r="A75" s="14" t="inlineStr">
        <is>
          <t>Finance</t>
        </is>
      </c>
      <c r="B75" s="14">
        <f>COUNTIF('Build feature list'!$B$5:$B$271,$A75)</f>
        <v/>
      </c>
      <c r="C75" s="14">
        <f>COUNTIFS('Build feature list'!$B$5:$B$271,$A75,'Build feature list'!$F$5:$F$271,"Feature Guide*")</f>
        <v/>
      </c>
      <c r="D75" s="14">
        <f>COUNTIFS('Build feature list'!$B$5:$B$271,$A75,'Build feature list'!$F$5:$F$271,"Additional*")</f>
        <v/>
      </c>
      <c r="E75" s="2" t="n"/>
      <c r="F75" s="2" t="n"/>
    </row>
    <row r="76">
      <c r="A76" s="14" t="inlineStr">
        <is>
          <t>Spend &amp; procurement</t>
        </is>
      </c>
      <c r="B76" s="14">
        <f>COUNTIF('Build feature list'!$B$5:$B$271,$A76)</f>
        <v/>
      </c>
      <c r="C76" s="14">
        <f>COUNTIFS('Build feature list'!$B$5:$B$271,$A76,'Build feature list'!$F$5:$F$271,"Feature Guide*")</f>
        <v/>
      </c>
      <c r="D76" s="14">
        <f>COUNTIFS('Build feature list'!$B$5:$B$271,$A76,'Build feature list'!$F$5:$F$271,"Additional*")</f>
        <v/>
      </c>
      <c r="E76" s="2" t="n"/>
      <c r="F76" s="2" t="n"/>
    </row>
    <row r="77">
      <c r="A77" s="14" t="inlineStr">
        <is>
          <t>Revenue assurance</t>
        </is>
      </c>
      <c r="B77" s="14">
        <f>COUNTIF('Build feature list'!$B$5:$B$271,$A77)</f>
        <v/>
      </c>
      <c r="C77" s="14">
        <f>COUNTIFS('Build feature list'!$B$5:$B$271,$A77,'Build feature list'!$F$5:$F$271,"Feature Guide*")</f>
        <v/>
      </c>
      <c r="D77" s="14">
        <f>COUNTIFS('Build feature list'!$B$5:$B$271,$A77,'Build feature list'!$F$5:$F$271,"Additional*")</f>
        <v/>
      </c>
      <c r="E77" s="2" t="n"/>
      <c r="F77" s="2" t="n"/>
    </row>
    <row r="78">
      <c r="A78" s="14" t="inlineStr">
        <is>
          <t>People &amp; HR</t>
        </is>
      </c>
      <c r="B78" s="14">
        <f>COUNTIF('Build feature list'!$B$5:$B$271,$A78)</f>
        <v/>
      </c>
      <c r="C78" s="14">
        <f>COUNTIFS('Build feature list'!$B$5:$B$271,$A78,'Build feature list'!$F$5:$F$271,"Feature Guide*")</f>
        <v/>
      </c>
      <c r="D78" s="14">
        <f>COUNTIFS('Build feature list'!$B$5:$B$271,$A78,'Build feature list'!$F$5:$F$271,"Additional*")</f>
        <v/>
      </c>
      <c r="E78" s="2" t="n"/>
      <c r="F78" s="2" t="n"/>
    </row>
    <row r="79">
      <c r="A79" s="14" t="inlineStr">
        <is>
          <t>Documents</t>
        </is>
      </c>
      <c r="B79" s="14">
        <f>COUNTIF('Build feature list'!$B$5:$B$271,$A79)</f>
        <v/>
      </c>
      <c r="C79" s="14">
        <f>COUNTIFS('Build feature list'!$B$5:$B$271,$A79,'Build feature list'!$F$5:$F$271,"Feature Guide*")</f>
        <v/>
      </c>
      <c r="D79" s="14">
        <f>COUNTIFS('Build feature list'!$B$5:$B$271,$A79,'Build feature list'!$F$5:$F$271,"Additional*")</f>
        <v/>
      </c>
      <c r="E79" s="2" t="n"/>
      <c r="F79" s="2" t="n"/>
    </row>
    <row r="80">
      <c r="A80" s="14" t="inlineStr">
        <is>
          <t>Operations</t>
        </is>
      </c>
      <c r="B80" s="14">
        <f>COUNTIF('Build feature list'!$B$5:$B$271,$A80)</f>
        <v/>
      </c>
      <c r="C80" s="14">
        <f>COUNTIFS('Build feature list'!$B$5:$B$271,$A80,'Build feature list'!$F$5:$F$271,"Feature Guide*")</f>
        <v/>
      </c>
      <c r="D80" s="14">
        <f>COUNTIFS('Build feature list'!$B$5:$B$271,$A80,'Build feature list'!$F$5:$F$271,"Additional*")</f>
        <v/>
      </c>
      <c r="E80" s="2" t="n"/>
      <c r="F80" s="2" t="n"/>
    </row>
    <row r="81">
      <c r="A81" s="14" t="inlineStr">
        <is>
          <t>Insights, reports &amp; AI</t>
        </is>
      </c>
      <c r="B81" s="14">
        <f>COUNTIF('Build feature list'!$B$5:$B$271,$A81)</f>
        <v/>
      </c>
      <c r="C81" s="14">
        <f>COUNTIFS('Build feature list'!$B$5:$B$271,$A81,'Build feature list'!$F$5:$F$271,"Feature Guide*")</f>
        <v/>
      </c>
      <c r="D81" s="14">
        <f>COUNTIFS('Build feature list'!$B$5:$B$271,$A81,'Build feature list'!$F$5:$F$271,"Additional*")</f>
        <v/>
      </c>
      <c r="E81" s="2" t="n"/>
      <c r="F81" s="2" t="n"/>
    </row>
    <row r="82">
      <c r="A82" s="14" t="inlineStr">
        <is>
          <t>Rules &amp; KPIs</t>
        </is>
      </c>
      <c r="B82" s="14">
        <f>COUNTIF('Build feature list'!$B$5:$B$271,$A82)</f>
        <v/>
      </c>
      <c r="C82" s="14">
        <f>COUNTIFS('Build feature list'!$B$5:$B$271,$A82,'Build feature list'!$F$5:$F$271,"Feature Guide*")</f>
        <v/>
      </c>
      <c r="D82" s="14">
        <f>COUNTIFS('Build feature list'!$B$5:$B$271,$A82,'Build feature list'!$F$5:$F$271,"Additional*")</f>
        <v/>
      </c>
      <c r="E82" s="2" t="n"/>
      <c r="F82" s="2" t="n"/>
    </row>
    <row r="83">
      <c r="A83" s="14" t="inlineStr">
        <is>
          <t>Roles &amp; controls</t>
        </is>
      </c>
      <c r="B83" s="14">
        <f>COUNTIF('Build feature list'!$B$5:$B$271,$A83)</f>
        <v/>
      </c>
      <c r="C83" s="14">
        <f>COUNTIFS('Build feature list'!$B$5:$B$271,$A83,'Build feature list'!$F$5:$F$271,"Feature Guide*")</f>
        <v/>
      </c>
      <c r="D83" s="14">
        <f>COUNTIFS('Build feature list'!$B$5:$B$271,$A83,'Build feature list'!$F$5:$F$271,"Additional*")</f>
        <v/>
      </c>
      <c r="E83" s="2" t="n"/>
      <c r="F83" s="2" t="n"/>
    </row>
    <row r="84">
      <c r="A84" s="14" t="inlineStr">
        <is>
          <t>Organisation setup</t>
        </is>
      </c>
      <c r="B84" s="14">
        <f>COUNTIF('Build feature list'!$B$5:$B$271,$A84)</f>
        <v/>
      </c>
      <c r="C84" s="14">
        <f>COUNTIFS('Build feature list'!$B$5:$B$271,$A84,'Build feature list'!$F$5:$F$271,"Feature Guide*")</f>
        <v/>
      </c>
      <c r="D84" s="14">
        <f>COUNTIFS('Build feature list'!$B$5:$B$271,$A84,'Build feature list'!$F$5:$F$271,"Additional*")</f>
        <v/>
      </c>
      <c r="E84" s="2" t="n"/>
      <c r="F84" s="2" t="n"/>
    </row>
    <row r="85">
      <c r="A85" s="14" t="inlineStr">
        <is>
          <t>Settings &amp; appearance</t>
        </is>
      </c>
      <c r="B85" s="14">
        <f>COUNTIF('Build feature list'!$B$5:$B$271,$A85)</f>
        <v/>
      </c>
      <c r="C85" s="14">
        <f>COUNTIFS('Build feature list'!$B$5:$B$271,$A85,'Build feature list'!$F$5:$F$271,"Feature Guide*")</f>
        <v/>
      </c>
      <c r="D85" s="14">
        <f>COUNTIFS('Build feature list'!$B$5:$B$271,$A85,'Build feature list'!$F$5:$F$271,"Additional*")</f>
        <v/>
      </c>
      <c r="E85" s="2" t="n"/>
      <c r="F85" s="2" t="n"/>
    </row>
    <row r="86">
      <c r="A86" s="14" t="inlineStr">
        <is>
          <t>Workspace &amp; access</t>
        </is>
      </c>
      <c r="B86" s="14">
        <f>COUNTIF('Build feature list'!$B$5:$B$271,$A86)</f>
        <v/>
      </c>
      <c r="C86" s="14">
        <f>COUNTIFS('Build feature list'!$B$5:$B$271,$A86,'Build feature list'!$F$5:$F$271,"Feature Guide*")</f>
        <v/>
      </c>
      <c r="D86" s="14">
        <f>COUNTIFS('Build feature list'!$B$5:$B$271,$A86,'Build feature list'!$F$5:$F$271,"Additional*")</f>
        <v/>
      </c>
      <c r="E86" s="2" t="n"/>
      <c r="F86" s="2" t="n"/>
    </row>
    <row r="87">
      <c r="A87" s="14" t="inlineStr">
        <is>
          <t>Platform &amp; UX</t>
        </is>
      </c>
      <c r="B87" s="14">
        <f>COUNTIF('Build feature list'!$B$5:$B$271,$A87)</f>
        <v/>
      </c>
      <c r="C87" s="14">
        <f>COUNTIFS('Build feature list'!$B$5:$B$271,$A87,'Build feature list'!$F$5:$F$271,"Feature Guide*")</f>
        <v/>
      </c>
      <c r="D87" s="14">
        <f>COUNTIFS('Build feature list'!$B$5:$B$271,$A87,'Build feature list'!$F$5:$F$271,"Additional*")</f>
        <v/>
      </c>
      <c r="E87" s="2" t="n"/>
      <c r="F87" s="2" t="n"/>
    </row>
    <row r="88">
      <c r="A88" s="8" t="inlineStr">
        <is>
          <t>Total</t>
        </is>
      </c>
      <c r="B88" s="8">
        <f>SUM(B67:B87)</f>
        <v/>
      </c>
      <c r="C88" s="8">
        <f>SUM(C67:C87)</f>
        <v/>
      </c>
      <c r="D88" s="8">
        <f>SUM(D67:D87)</f>
        <v/>
      </c>
      <c r="E88" s="2" t="n"/>
      <c r="F88" s="2" t="n"/>
    </row>
    <row r="89">
      <c r="A89" s="2" t="n"/>
      <c r="B89" s="2" t="n"/>
      <c r="C89" s="2" t="n"/>
      <c r="D89" s="2" t="n"/>
      <c r="E89" s="2" t="n"/>
      <c r="F89" s="2" t="n"/>
    </row>
    <row r="90">
      <c r="A90" s="6" t="inlineStr">
        <is>
          <t>Intentional differences vs the guide</t>
        </is>
      </c>
      <c r="B90" s="5" t="n"/>
      <c r="C90" s="5" t="n"/>
      <c r="D90" s="5" t="n"/>
      <c r="E90" s="5" t="n"/>
      <c r="F90" s="5" t="n"/>
    </row>
    <row r="91">
      <c r="A91" s="18" t="inlineStr">
        <is>
          <t>Difference</t>
        </is>
      </c>
      <c r="B91" s="18" t="inlineStr">
        <is>
          <t>What it means</t>
        </is>
      </c>
      <c r="C91" s="19" t="n"/>
      <c r="D91" s="19" t="n"/>
      <c r="E91" s="19" t="n"/>
      <c r="F91" s="20" t="n"/>
    </row>
    <row r="92" ht="28" customHeight="1">
      <c r="A92" s="21" t="inlineStr">
        <is>
          <t>View as offers the 9 configurable roles</t>
        </is>
      </c>
      <c r="B92" s="22" t="inlineStr">
        <is>
          <t>The guide had 5 fixed roles; View as now lists Administrator, CEO, CTO, Project Manager, HR Manager, HR Executive, Sales Manager, Sales Executive and Employee. It stays read-only (G1.03).</t>
        </is>
      </c>
      <c r="C92" s="19" t="n"/>
      <c r="D92" s="19" t="n"/>
      <c r="E92" s="19" t="n"/>
      <c r="F92" s="20" t="n"/>
    </row>
    <row r="93" ht="28" customHeight="1">
      <c r="A93" s="21" t="inlineStr">
        <is>
          <t>HR Manager role can prepare payroll and see the ledger</t>
        </is>
      </c>
      <c r="B93" s="22" t="inlineStr">
        <is>
          <t>The guide said payroll is CEO only. The HR Manager prepares; the CEO finalises through maker-checker (G1.05, G10.01).</t>
        </is>
      </c>
      <c r="C93" s="19" t="n"/>
      <c r="D93" s="19" t="n"/>
      <c r="E93" s="19" t="n"/>
      <c r="F93" s="20" t="n"/>
    </row>
    <row r="94" ht="28" customHeight="1">
      <c r="A94" s="21" t="inlineStr">
        <is>
          <t>Task Remove with hours logged becomes Cancel</t>
        </is>
      </c>
      <c r="B94" s="22" t="inlineStr">
        <is>
          <t>Tasks with time booked are cancelled, not deleted, so actual hours and cost stay in margins and payroll (G5.03).</t>
        </is>
      </c>
      <c r="C94" s="19" t="n"/>
      <c r="D94" s="19" t="n"/>
      <c r="E94" s="19" t="n"/>
      <c r="F94" s="20" t="n"/>
    </row>
    <row r="95" ht="28" customHeight="1">
      <c r="A95" s="21" t="inlineStr">
        <is>
          <t>One-project delegations hand over task follow-ups only</t>
        </is>
      </c>
      <c r="B95" s="22" t="inlineStr">
        <is>
          <t>Timesheet approvals move only with an all-projects delegation (G9.05, G16.05).</t>
        </is>
      </c>
      <c r="C95" s="19" t="n"/>
      <c r="D95" s="19" t="n"/>
      <c r="E95" s="19" t="n"/>
      <c r="F95" s="20" t="n"/>
    </row>
    <row r="96" ht="28" customHeight="1">
      <c r="A96" s="21" t="inlineStr">
        <is>
          <t>Deduct-unapproved-days is a company setting</t>
        </is>
      </c>
      <c r="B96" s="22" t="inlineStr">
        <is>
          <t>Off by default for new tenants, as the guide says; switched on for Seereon (G10.08).</t>
        </is>
      </c>
      <c r="C96" s="19" t="n"/>
      <c r="D96" s="19" t="n"/>
      <c r="E96" s="19" t="n"/>
      <c r="F96" s="20" t="n"/>
    </row>
    <row r="97" ht="28" customHeight="1">
      <c r="A97" s="21" t="inlineStr">
        <is>
          <t>Sunday column shown only if it is a working day</t>
        </is>
      </c>
      <c r="B97" s="22" t="inlineStr">
        <is>
          <t>Mon–Sat as in the guide; Sunday appears only when the company calendar makes it a working day (G8.01).</t>
        </is>
      </c>
      <c r="C97" s="19" t="n"/>
      <c r="D97" s="19" t="n"/>
      <c r="E97" s="19" t="n"/>
      <c r="F97" s="20" t="n"/>
    </row>
    <row r="98" ht="28" customHeight="1">
      <c r="A98" s="21" t="inlineStr">
        <is>
          <t>Weekly score adds Timesheet and Early warning</t>
        </is>
      </c>
      <c r="B98" s="22" t="inlineStr">
        <is>
          <t>Alongside the guide's on-time delivery, effort accuracy, daily updates and Friday demo (+ approval KPI for managers) (G15.05).</t>
        </is>
      </c>
      <c r="C98" s="19" t="n"/>
      <c r="D98" s="19" t="n"/>
      <c r="E98" s="19" t="n"/>
      <c r="F98" s="20" t="n"/>
    </row>
    <row r="99" ht="28" customHeight="1">
      <c r="A99" s="21" t="inlineStr">
        <is>
          <t>Cost loading removed</t>
        </is>
      </c>
      <c r="B99" s="22" t="inlineStr">
        <is>
          <t>The guide text defines cost per hour = CTC ÷ (working days in the month × minimum hours) with no loading; loading appeared only in prototype screenshots, so it was removed to follow the text (G13.04, G3.11, G6.02).</t>
        </is>
      </c>
      <c r="C99" s="19" t="n"/>
      <c r="D99" s="19" t="n"/>
      <c r="E99" s="19" t="n"/>
      <c r="F99" s="20" t="n"/>
    </row>
    <row r="100" ht="28" customHeight="1">
      <c r="A100" s="21" t="inlineStr">
        <is>
          <t>'All milestones' allocation option removed</t>
        </is>
      </c>
      <c r="B100" s="22" t="inlineStr">
        <is>
          <t>Follows the guide's 'all four are required': every allocation row names one milestone (G6.01).</t>
        </is>
      </c>
      <c r="C100" s="19" t="n"/>
      <c r="D100" s="19" t="n"/>
      <c r="E100" s="19" t="n"/>
      <c r="F100" s="20" t="n"/>
    </row>
    <row r="101">
      <c r="A101" s="2" t="n"/>
      <c r="B101" s="2" t="n"/>
      <c r="C101" s="2" t="n"/>
      <c r="D101" s="2" t="n"/>
      <c r="E101" s="2" t="n"/>
      <c r="F101" s="2" t="n"/>
    </row>
    <row r="102" ht="26" customHeight="1">
      <c r="A102" s="23" t="inlineStr">
        <is>
          <t>Sources: guide text (docs/Seereon-Delivery-Board-Feature-Guide.pdf); checklist docs/feature-guide-checklist.md; verified v5 mapping; v6 line-by-line checks (§6 costing, §7 tasks, §8–9 timesheet/approvals), v6 audit of §1–5 and §10–17 and the v6 fix reports (money/insights/rules, settings/payroll/leave, projects/sales), spot-checked in code; src/app/nav.ts, src/app/routes.tsx, src/domain/permissionCatalog.ts, README.md, CONVENTIONS.md; docs/SeereonOS-Business-Process-Catalogue.xlsx.</t>
        </is>
      </c>
      <c r="B102" s="2" t="n"/>
      <c r="C102" s="2" t="n"/>
      <c r="D102" s="2" t="n"/>
      <c r="E102" s="2" t="n"/>
      <c r="F102" s="2" t="n"/>
    </row>
  </sheetData>
  <mergeCells count="18">
    <mergeCell ref="B97:F97"/>
    <mergeCell ref="A11:F11"/>
    <mergeCell ref="A10:F10"/>
    <mergeCell ref="B91:F91"/>
    <mergeCell ref="B100:F100"/>
    <mergeCell ref="B95:F95"/>
    <mergeCell ref="A102:F102"/>
    <mergeCell ref="A9:F9"/>
    <mergeCell ref="A8:F8"/>
    <mergeCell ref="B98:F98"/>
    <mergeCell ref="A6:F6"/>
    <mergeCell ref="B94:F94"/>
    <mergeCell ref="A12:F12"/>
    <mergeCell ref="B99:F99"/>
    <mergeCell ref="B93:F93"/>
    <mergeCell ref="B96:F96"/>
    <mergeCell ref="A7:F7"/>
    <mergeCell ref="B92:F92"/>
  </mergeCells>
  <conditionalFormatting sqref="F36:F53">
    <cfRule type="cellIs" priority="1" operator="equal" dxfId="0">
      <formula>1</formula>
    </cfRule>
    <cfRule type="cellIs" priority="2" operator="lessThan" dxfId="1">
      <formula>1</formula>
    </cfRule>
  </conditionalFormatting>
  <conditionalFormatting sqref="E36:E53">
    <cfRule type="cellIs" priority="3" operator="greaterThan" dxfId="2">
      <formula>0</formula>
    </cfRule>
  </conditionalFormatting>
  <pageMargins left="0.75" right="0.75" top="1" bottom="1" header="0.5" footer="0.5"/>
  <pageSetup orientation="landscape" paperSize="9" fitToHeight="0" fitToWidth="1"/>
  <headerFooter>
    <oddHeader>&amp;CSeereonOS — Feature Guide cross-reference</oddHeader>
    <oddFooter>&amp;RPage &amp;P of &amp;N</oddFooter>
    <evenHeader/>
    <evenFooter/>
    <firstHeader/>
    <firstFooter/>
  </headerFooter>
</worksheet>
</file>

<file path=xl/worksheets/sheet2.xml><?xml version="1.0" encoding="utf-8"?>
<worksheet xmlns="http://schemas.openxmlformats.org/spreadsheetml/2006/main">
  <sheetPr>
    <tabColor rgb="000C6B4E"/>
    <outlinePr summaryBelow="1" summaryRight="1"/>
    <pageSetUpPr fitToPage="1"/>
  </sheetPr>
  <dimension ref="A1:K267"/>
  <sheetViews>
    <sheetView zoomScale="100" workbookViewId="0">
      <pane xSplit="5" ySplit="4" topLeftCell="F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6" customWidth="1" min="3" max="3"/>
    <col width="12" customWidth="1" min="4" max="4"/>
    <col width="56" customWidth="1" min="5" max="5"/>
    <col width="11" customWidth="1" min="6" max="6"/>
    <col width="52" customWidth="1" min="7" max="7"/>
    <col width="15" customWidth="1" min="8" max="8"/>
    <col width="40" customWidth="1" min="9" max="9"/>
    <col width="13" customWidth="1" min="10" max="10"/>
    <col width="28" customWidth="1" min="11" max="11"/>
  </cols>
  <sheetData>
    <row r="1">
      <c r="A1" s="24" t="inlineStr">
        <is>
          <t>Feature Guide — line-by-line check</t>
        </is>
      </c>
    </row>
    <row r="2">
      <c r="A2" s="25" t="inlineStr">
        <is>
          <t>Every sentence, bullet and table row of the Feature Guide (28 Sep 2026), in order, against SeereonOS v6 (2 Oct 2026). Fill in 'Checked by Santosh' (Yes / No / Query) and 'Comments'.</t>
        </is>
      </c>
      <c r="B2" s="26" t="n"/>
      <c r="C2" s="26" t="n"/>
      <c r="D2" s="26" t="n"/>
      <c r="E2" s="26" t="n"/>
      <c r="F2" s="26" t="n"/>
      <c r="G2" s="26" t="n"/>
      <c r="H2" s="26" t="n"/>
      <c r="I2" s="26" t="n"/>
      <c r="J2" s="26" t="n"/>
      <c r="K2" s="26" t="n"/>
    </row>
    <row r="4">
      <c r="A4" s="27" t="inlineStr">
        <is>
          <t>#</t>
        </is>
      </c>
      <c r="B4" s="27" t="inlineStr">
        <is>
          <t>Guide section</t>
        </is>
      </c>
      <c r="C4" s="27" t="inlineStr">
        <is>
          <t>Page</t>
        </is>
      </c>
      <c r="D4" s="27" t="inlineStr">
        <is>
          <t>Type</t>
        </is>
      </c>
      <c r="E4" s="27" t="inlineStr">
        <is>
          <t>Guide text (verbatim)</t>
        </is>
      </c>
      <c r="F4" s="27" t="inlineStr">
        <is>
          <t>G-ID(s)</t>
        </is>
      </c>
      <c r="G4" s="27" t="inlineStr">
        <is>
          <t>Where you see it in the build (menu › screen › section / column / button)</t>
        </is>
      </c>
      <c r="H4" s="27" t="inlineStr">
        <is>
          <t>Result</t>
        </is>
      </c>
      <c r="I4" s="27" t="inlineStr">
        <is>
          <t>Notes</t>
        </is>
      </c>
      <c r="J4" s="27" t="inlineStr">
        <is>
          <t>Checked by Santosh</t>
        </is>
      </c>
      <c r="K4" s="27" t="inlineStr">
        <is>
          <t>Comments</t>
        </is>
      </c>
    </row>
    <row r="5">
      <c r="A5" s="28" t="n">
        <v>1</v>
      </c>
      <c r="B5" s="22" t="inlineStr">
        <is>
          <t>Introduction</t>
        </is>
      </c>
      <c r="C5" s="28" t="n">
        <v>1</v>
      </c>
      <c r="D5" s="22" t="inlineStr">
        <is>
          <t>Title</t>
        </is>
      </c>
      <c r="E5" s="22" t="inlineStr">
        <is>
          <t>Seereon Delivery Board: Feature Guide</t>
        </is>
      </c>
      <c r="F5" s="28" t="inlineStr">
        <is>
          <t>—</t>
        </is>
      </c>
      <c r="G5" s="22" t="inlineStr">
        <is>
          <t>Product is now SeereonOS; the guide's screens live in the left menu (Dashboard … Rules)</t>
        </is>
      </c>
      <c r="H5" s="28" t="inlineStr">
        <is>
          <t>OK — improved</t>
        </is>
      </c>
      <c r="I5" s="22" t="inlineStr">
        <is>
          <t>Renamed from Seereon Delivery Board to SeereonOS.</t>
        </is>
      </c>
      <c r="J5" s="29" t="n"/>
      <c r="K5" s="30" t="n"/>
    </row>
    <row r="6">
      <c r="A6" s="28" t="n">
        <v>2</v>
      </c>
      <c r="B6" s="22" t="inlineStr">
        <is>
          <t>Introduction</t>
        </is>
      </c>
      <c r="C6" s="28" t="n">
        <v>1</v>
      </c>
      <c r="D6" s="22" t="inlineStr">
        <is>
          <t>Title</t>
        </is>
      </c>
      <c r="E6" s="22" t="inlineStr">
        <is>
          <t>Santosh Nayak · 28 Sep 2026</t>
        </is>
      </c>
      <c r="F6" s="28" t="inlineStr">
        <is>
          <t>—</t>
        </is>
      </c>
      <c r="G6" s="22" t="inlineStr">
        <is>
          <t>—</t>
        </is>
      </c>
      <c r="H6" s="28" t="inlineStr">
        <is>
          <t>OK</t>
        </is>
      </c>
      <c r="I6" s="22" t="inlineStr">
        <is>
          <t>Guide author and date (reference only).</t>
        </is>
      </c>
      <c r="J6" s="29" t="n"/>
      <c r="K6" s="30" t="n"/>
    </row>
    <row r="7">
      <c r="A7" s="28" t="n">
        <v>3</v>
      </c>
      <c r="B7" s="22" t="inlineStr">
        <is>
          <t>Introduction</t>
        </is>
      </c>
      <c r="C7" s="28" t="n">
        <v>1</v>
      </c>
      <c r="D7" s="22" t="inlineStr">
        <is>
          <t>Sentence</t>
        </is>
      </c>
      <c r="E7" s="22" t="inlineStr">
        <is>
          <t>This guide explains every feature of the board in plain words, one screen at a time, for the whole team: developers, the project manager, sales and new joiners.</t>
        </is>
      </c>
      <c r="F7" s="28" t="inlineStr">
        <is>
          <t>—</t>
        </is>
      </c>
      <c r="G7" s="22" t="inlineStr">
        <is>
          <t>Whole app</t>
        </is>
      </c>
      <c r="H7" s="28" t="inlineStr">
        <is>
          <t>OK</t>
        </is>
      </c>
      <c r="I7" s="22" t="inlineStr">
        <is>
          <t>Intro sentence; no feature.</t>
        </is>
      </c>
      <c r="J7" s="29" t="n"/>
      <c r="K7" s="30" t="n"/>
    </row>
    <row r="8">
      <c r="A8" s="28" t="n">
        <v>4</v>
      </c>
      <c r="B8" s="22" t="inlineStr">
        <is>
          <t>Introduction</t>
        </is>
      </c>
      <c r="C8" s="28" t="n">
        <v>1</v>
      </c>
      <c r="D8" s="22" t="inlineStr">
        <is>
          <t>Sentence</t>
        </is>
      </c>
      <c r="E8" s="22" t="inlineStr">
        <is>
          <t>The screenshots come from the working prototype with dummy data.</t>
        </is>
      </c>
      <c r="F8" s="28" t="inlineStr">
        <is>
          <t>—</t>
        </is>
      </c>
      <c r="G8" s="22" t="inlineStr">
        <is>
          <t>Demo data in the build mirrors the prototype (Seereon tenant: EduReon, SeerHR, same people)</t>
        </is>
      </c>
      <c r="H8" s="28" t="inlineStr">
        <is>
          <t>OK</t>
        </is>
      </c>
      <c r="I8" s="22" t="inlineStr"/>
      <c r="J8" s="29" t="n"/>
      <c r="K8" s="30" t="n"/>
    </row>
    <row r="9">
      <c r="A9" s="28" t="n">
        <v>5</v>
      </c>
      <c r="B9" s="22" t="inlineStr">
        <is>
          <t>Introduction</t>
        </is>
      </c>
      <c r="C9" s="28" t="n">
        <v>1</v>
      </c>
      <c r="D9" s="22" t="inlineStr">
        <is>
          <t>Sentence</t>
        </is>
      </c>
      <c r="E9" s="22" t="inlineStr">
        <is>
          <t>The SaaS build keeps the same screens and rules; the Technical Design has the build detail.</t>
        </is>
      </c>
      <c r="F9" s="28" t="inlineStr">
        <is>
          <t>—</t>
        </is>
      </c>
      <c r="G9" s="22" t="inlineStr">
        <is>
          <t>Same screens and rules; build detail in specs/ (Technical Design)</t>
        </is>
      </c>
      <c r="H9" s="28" t="inlineStr">
        <is>
          <t>OK</t>
        </is>
      </c>
      <c r="I9" s="22" t="inlineStr"/>
      <c r="J9" s="29" t="n"/>
      <c r="K9" s="30" t="n"/>
    </row>
    <row r="10">
      <c r="A10" s="31" t="n">
        <v>6</v>
      </c>
      <c r="B10" s="32" t="inlineStr">
        <is>
          <t>1. Roles and views</t>
        </is>
      </c>
      <c r="C10" s="31" t="n">
        <v>1</v>
      </c>
      <c r="D10" s="32" t="inlineStr">
        <is>
          <t>Heading</t>
        </is>
      </c>
      <c r="E10" s="32" t="inlineStr">
        <is>
          <t>1. Roles and views</t>
        </is>
      </c>
      <c r="F10" s="31" t="inlineStr">
        <is>
          <t>G1.01–G1.06</t>
        </is>
      </c>
      <c r="G10" s="32" t="inlineStr">
        <is>
          <t>Top bar + left menu + Dashboard (/home)</t>
        </is>
      </c>
      <c r="H10" s="31" t="inlineStr">
        <is>
          <t>OK</t>
        </is>
      </c>
      <c r="I10" s="32" t="inlineStr"/>
      <c r="J10" s="33" t="n"/>
      <c r="K10" s="34" t="n"/>
    </row>
    <row r="11">
      <c r="A11" s="28" t="n">
        <v>7</v>
      </c>
      <c r="B11" s="22" t="inlineStr">
        <is>
          <t>1. Roles and views</t>
        </is>
      </c>
      <c r="C11" s="28" t="n">
        <v>1</v>
      </c>
      <c r="D11" s="22" t="inlineStr">
        <is>
          <t>Sentence</t>
        </is>
      </c>
      <c r="E11" s="22" t="inlineStr">
        <is>
          <t>Everyone uses the same board, but each person sees only what their role needs.</t>
        </is>
      </c>
      <c r="F11" s="28" t="inlineStr">
        <is>
          <t>G1.02, G1.05</t>
        </is>
      </c>
      <c r="G11" s="22" t="inlineStr">
        <is>
          <t>One login; menu, buttons and data follow the person's permissions</t>
        </is>
      </c>
      <c r="H11" s="28" t="inlineStr">
        <is>
          <t>OK</t>
        </is>
      </c>
      <c r="I11" s="22" t="inlineStr"/>
      <c r="J11" s="29" t="n"/>
      <c r="K11" s="30" t="n"/>
    </row>
    <row r="12">
      <c r="A12" s="28" t="n">
        <v>8</v>
      </c>
      <c r="B12" s="22" t="inlineStr">
        <is>
          <t>1. Roles and views</t>
        </is>
      </c>
      <c r="C12" s="28" t="n">
        <v>1</v>
      </c>
      <c r="D12" s="22" t="inlineStr">
        <is>
          <t>Sentence</t>
        </is>
      </c>
      <c r="E12" s="22" t="inlineStr">
        <is>
          <t>There are five roles: CEO (admin), project manager, sales, operations and employee.</t>
        </is>
      </c>
      <c r="F12" s="28" t="inlineStr">
        <is>
          <t>G1.02, G1.05</t>
        </is>
      </c>
      <c r="G12" s="22" t="inlineStr">
        <is>
          <t>Admin › Organisation setup › Roles &amp; permissions (/setup/roles): 9 default roles</t>
        </is>
      </c>
      <c r="H12" s="28" t="inlineStr">
        <is>
          <t>Intentional difference</t>
        </is>
      </c>
      <c r="I12" s="22" t="inlineStr">
        <is>
          <t>The five guide roles are kept as the five dashboard views; access comes from 9 configurable roles (Administrator, CEO, CTO, Project Manager, HR Manager, HR Executive, Sales Manager, Sales Executive, Employee).</t>
        </is>
      </c>
      <c r="J12" s="29" t="n"/>
      <c r="K12" s="30" t="n"/>
    </row>
    <row r="13">
      <c r="A13" s="28" t="n">
        <v>9</v>
      </c>
      <c r="B13" s="22" t="inlineStr">
        <is>
          <t>1. Roles and views</t>
        </is>
      </c>
      <c r="C13" s="28" t="n">
        <v>1</v>
      </c>
      <c r="D13" s="22" t="inlineStr">
        <is>
          <t>Screenshot caption</t>
        </is>
      </c>
      <c r="E13" s="22" t="inlineStr">
        <is>
          <t>Header with the week switcher, tabs, View as control and the five dashboard views</t>
        </is>
      </c>
      <c r="F13" s="28" t="inlineStr">
        <is>
          <t>G1.01–G1.04</t>
        </is>
      </c>
      <c r="G13" s="22" t="inlineStr">
        <is>
          <t>Top bar (week switcher, View as) + left menu + Dashboard view switch</t>
        </is>
      </c>
      <c r="H13" s="28" t="inlineStr">
        <is>
          <t>OK</t>
        </is>
      </c>
      <c r="I13" s="22" t="inlineStr">
        <is>
          <t>Screenshot 000.</t>
        </is>
      </c>
      <c r="J13" s="29" t="n"/>
      <c r="K13" s="30" t="n"/>
    </row>
    <row r="14">
      <c r="A14" s="28" t="n">
        <v>10</v>
      </c>
      <c r="B14" s="22" t="inlineStr">
        <is>
          <t>1. Roles and views</t>
        </is>
      </c>
      <c r="C14" s="28" t="n">
        <v>1</v>
      </c>
      <c r="D14" s="22" t="inlineStr">
        <is>
          <t>Bullet</t>
        </is>
      </c>
      <c r="E14" s="22" t="inlineStr">
        <is>
          <t>Header: the company name, the week being viewed (use the arrows to move between weeks), and the tabs you are allowed to open.</t>
        </is>
      </c>
      <c r="F14" s="28" t="inlineStr">
        <is>
          <t>G1.01, G1.02</t>
        </is>
      </c>
      <c r="G14" s="22" t="inlineStr">
        <is>
          <t>Top bar: company name, week switcher ‹ › with 'This week'; v7 grouped left menu shows only allowed items: Dashboard, My work › Timesheet &amp; log, Projects &amp; WBS (All projects, Milestones &amp; billing, WBS, Schedule &amp; critical path, Change requests, Resource allocation, Costing &amp; margin, Client view, Import WBS), Tasks (All tasks, Timesheet approvals), Finance (Payroll, Ledger, Profit &amp; loss, Profit margins), Company (Weekly scorecard, Insights, Operations, Rules), Admin › Team &amp; settings</t>
        </is>
      </c>
      <c r="H14" s="28" t="inlineStr">
        <is>
          <t>OK — improved</t>
        </is>
      </c>
      <c r="I14" s="22" t="inlineStr">
        <is>
          <t>v6: menu names now match the guide's tabs. Week switcher also drives Tasks.</t>
        </is>
      </c>
      <c r="J14" s="29" t="n"/>
      <c r="K14" s="30" t="n"/>
    </row>
    <row r="15">
      <c r="A15" s="28" t="n">
        <v>11</v>
      </c>
      <c r="B15" s="22" t="inlineStr">
        <is>
          <t>1. Roles and views</t>
        </is>
      </c>
      <c r="C15" s="28" t="n">
        <v>1</v>
      </c>
      <c r="D15" s="22" t="inlineStr">
        <is>
          <t>Bullet</t>
        </is>
      </c>
      <c r="E15" s="22" t="inlineStr">
        <is>
          <t>View as (admin only): the CEO can switch to any role to check exactly what that person sees.</t>
        </is>
      </c>
      <c r="F15" s="28" t="inlineStr">
        <is>
          <t>G1.03</t>
        </is>
      </c>
      <c r="G15" s="22" t="inlineStr">
        <is>
          <t>Top bar › View as (CEO / Administrator)</t>
        </is>
      </c>
      <c r="H15" s="28" t="inlineStr">
        <is>
          <t>Intentional difference</t>
        </is>
      </c>
      <c r="I15" s="22" t="inlineStr">
        <is>
          <t>View as offers the 9 configurable roles instead of 5 fixed ones.</t>
        </is>
      </c>
      <c r="J15" s="29" t="n"/>
      <c r="K15" s="30" t="n"/>
    </row>
    <row r="16">
      <c r="A16" s="28" t="n">
        <v>12</v>
      </c>
      <c r="B16" s="22" t="inlineStr">
        <is>
          <t>1. Roles and views</t>
        </is>
      </c>
      <c r="C16" s="28" t="n">
        <v>1</v>
      </c>
      <c r="D16" s="22" t="inlineStr">
        <is>
          <t>Bullet (cont.)</t>
        </is>
      </c>
      <c r="E16" s="22" t="inlineStr">
        <is>
          <t>In the SaaS version this mode is read-only, so nothing can be changed by accident.</t>
        </is>
      </c>
      <c r="F16" s="28" t="inlineStr">
        <is>
          <t>G1.03</t>
        </is>
      </c>
      <c r="G16" s="22" t="inlineStr">
        <is>
          <t>Top bar › View as — banner 'Viewing as X — read-only'; every write refused</t>
        </is>
      </c>
      <c r="H16" s="28" t="inlineStr">
        <is>
          <t>OK</t>
        </is>
      </c>
      <c r="I16" s="22" t="inlineStr"/>
      <c r="J16" s="29" t="n"/>
      <c r="K16" s="30" t="n"/>
    </row>
    <row r="17">
      <c r="A17" s="28" t="n">
        <v>13</v>
      </c>
      <c r="B17" s="22" t="inlineStr">
        <is>
          <t>1. Roles and views</t>
        </is>
      </c>
      <c r="C17" s="28" t="n">
        <v>1</v>
      </c>
      <c r="D17" s="22" t="inlineStr">
        <is>
          <t>Bullet</t>
        </is>
      </c>
      <c r="E17" s="22" t="inlineStr">
        <is>
          <t>Dashboard views: CEO, Project manager, Sales, Operations and Employee.</t>
        </is>
      </c>
      <c r="F17" s="28" t="inlineStr">
        <is>
          <t>G1.04</t>
        </is>
      </c>
      <c r="G17" s="22" t="inlineStr">
        <is>
          <t>Dashboard (/home) — switch CEO · Project manager · Sales · Operations · Employee</t>
        </is>
      </c>
      <c r="H17" s="28" t="inlineStr">
        <is>
          <t>OK</t>
        </is>
      </c>
      <c r="I17" s="22" t="inlineStr"/>
      <c r="J17" s="29" t="n"/>
      <c r="K17" s="30" t="n"/>
    </row>
    <row r="18">
      <c r="A18" s="28" t="n">
        <v>14</v>
      </c>
      <c r="B18" s="22" t="inlineStr">
        <is>
          <t>1. Roles and views</t>
        </is>
      </c>
      <c r="C18" s="28" t="n">
        <v>1</v>
      </c>
      <c r="D18" s="22" t="inlineStr">
        <is>
          <t>Bullet (cont.)</t>
        </is>
      </c>
      <c r="E18" s="22" t="inlineStr">
        <is>
          <t>A salesperson lands on Sales; an employee lands on Employee and cannot open the others.</t>
        </is>
      </c>
      <c r="F18" s="28" t="inlineStr">
        <is>
          <t>G1.04</t>
        </is>
      </c>
      <c r="G18" s="22" t="inlineStr">
        <is>
          <t>Dashboard (/home): sales roles land on Sales; Employee lands on Employee with no switch</t>
        </is>
      </c>
      <c r="H18" s="28" t="inlineStr">
        <is>
          <t>OK</t>
        </is>
      </c>
      <c r="I18" s="22" t="inlineStr"/>
      <c r="J18" s="29" t="n"/>
      <c r="K18" s="30" t="n"/>
    </row>
    <row r="19">
      <c r="A19" s="28" t="n">
        <v>15</v>
      </c>
      <c r="B19" s="22" t="inlineStr">
        <is>
          <t>1. Roles and views</t>
        </is>
      </c>
      <c r="C19" s="28" t="n">
        <v>1</v>
      </c>
      <c r="D19" s="22" t="inlineStr">
        <is>
          <t>Table row</t>
        </is>
      </c>
      <c r="E19" s="22" t="inlineStr">
        <is>
          <t>Role table — columns: Role | Lands on | Can change | Cannot see</t>
        </is>
      </c>
      <c r="F19" s="28" t="inlineStr">
        <is>
          <t>G1.05</t>
        </is>
      </c>
      <c r="G19" s="22" t="inlineStr">
        <is>
          <t>Admin › Organisation setup › Roles &amp; permissions (/setup/roles)</t>
        </is>
      </c>
      <c r="H19" s="28" t="inlineStr">
        <is>
          <t>OK</t>
        </is>
      </c>
      <c r="I19" s="22" t="inlineStr">
        <is>
          <t>Table header row.</t>
        </is>
      </c>
      <c r="J19" s="29" t="n"/>
      <c r="K19" s="30" t="n"/>
    </row>
    <row r="20">
      <c r="A20" s="28" t="n">
        <v>16</v>
      </c>
      <c r="B20" s="22" t="inlineStr">
        <is>
          <t>1. Roles and views</t>
        </is>
      </c>
      <c r="C20" s="28" t="n">
        <v>1</v>
      </c>
      <c r="D20" s="22" t="inlineStr">
        <is>
          <t>Table row</t>
        </is>
      </c>
      <c r="E20" s="22" t="inlineStr">
        <is>
          <t>CEO (admin) | CEO dashboard | Everything, including settings, rates and payroll | Nothing hidden</t>
        </is>
      </c>
      <c r="F20" s="28" t="inlineStr">
        <is>
          <t>G1.05</t>
        </is>
      </c>
      <c r="G20" s="22" t="inlineStr">
        <is>
          <t>CEO role: all permissions; lands on Dashboard › CEO</t>
        </is>
      </c>
      <c r="H20" s="28" t="inlineStr">
        <is>
          <t>OK</t>
        </is>
      </c>
      <c r="I20" s="22" t="inlineStr"/>
      <c r="J20" s="29" t="n"/>
      <c r="K20" s="30" t="n"/>
    </row>
    <row r="21">
      <c r="A21" s="28" t="n">
        <v>17</v>
      </c>
      <c r="B21" s="22" t="inlineStr">
        <is>
          <t>1. Roles and views</t>
        </is>
      </c>
      <c r="C21" s="28" t="n">
        <v>1</v>
      </c>
      <c r="D21" s="22" t="inlineStr">
        <is>
          <t>Table row</t>
        </is>
      </c>
      <c r="E21" s="22" t="inlineStr">
        <is>
          <t>Project manager | Project manager view | Own projects, tasks, allocation; approves team timesheets | Salaries, payroll, company finance (margins only if granted)</t>
        </is>
      </c>
      <c r="F21" s="28" t="inlineStr">
        <is>
          <t>G1.05</t>
        </is>
      </c>
      <c r="G21" s="22" t="inlineStr">
        <is>
          <t>Project Manager role: own projects, tasks, allocation, approves team timesheets; no salaries / payroll / finance; margins only with the extra 'See project margins' grant</t>
        </is>
      </c>
      <c r="H21" s="28" t="inlineStr">
        <is>
          <t>OK</t>
        </is>
      </c>
      <c r="I21" s="22" t="inlineStr">
        <is>
          <t>v6: the PM demo user no longer has margins by default.</t>
        </is>
      </c>
      <c r="J21" s="29" t="n"/>
      <c r="K21" s="30" t="n"/>
    </row>
    <row r="22">
      <c r="A22" s="28" t="n">
        <v>18</v>
      </c>
      <c r="B22" s="22" t="inlineStr">
        <is>
          <t>1. Roles and views</t>
        </is>
      </c>
      <c r="C22" s="28" t="n">
        <v>1</v>
      </c>
      <c r="D22" s="22" t="inlineStr">
        <is>
          <t>Table row</t>
        </is>
      </c>
      <c r="E22" s="22" t="inlineStr">
        <is>
          <t>Sales | Sales view | Own leads and deals | Other people’s pay, project costs</t>
        </is>
      </c>
      <c r="F22" s="28" t="inlineStr">
        <is>
          <t>G1.05</t>
        </is>
      </c>
      <c r="G22" s="22" t="inlineStr">
        <is>
          <t>Sales Manager / Sales Executive roles: own deals; Compensation shows own pay only; project costs refused</t>
        </is>
      </c>
      <c r="H22" s="28" t="inlineStr">
        <is>
          <t>OK</t>
        </is>
      </c>
      <c r="I22" s="22" t="inlineStr"/>
      <c r="J22" s="29" t="n"/>
      <c r="K22" s="30" t="n"/>
    </row>
    <row r="23">
      <c r="A23" s="28" t="n">
        <v>19</v>
      </c>
      <c r="B23" s="22" t="inlineStr">
        <is>
          <t>1. Roles and views</t>
        </is>
      </c>
      <c r="C23" s="28" t="n">
        <v>1</v>
      </c>
      <c r="D23" s="22" t="inlineStr">
        <is>
          <t>Table row</t>
        </is>
      </c>
      <c r="E23" s="22" t="inlineStr">
        <is>
          <t>Operations | Operations view | Ops register, openings, leave entries | Salaries unless granted, margins</t>
        </is>
      </c>
      <c r="F23" s="28" t="inlineStr">
        <is>
          <t>G1.05</t>
        </is>
      </c>
      <c r="G23" s="22" t="inlineStr">
        <is>
          <t>HR Manager / HR Executive roles: Operations, Openings, Leave › Record leave; margins refused</t>
        </is>
      </c>
      <c r="H23" s="28" t="inlineStr">
        <is>
          <t>Intentional difference</t>
        </is>
      </c>
      <c r="I23" s="22" t="inlineStr">
        <is>
          <t>HR Manager can also prepare payroll and see the ledger (CEO finalises via maker-checker).</t>
        </is>
      </c>
      <c r="J23" s="29" t="n"/>
      <c r="K23" s="30" t="n"/>
    </row>
    <row r="24">
      <c r="A24" s="28" t="n">
        <v>20</v>
      </c>
      <c r="B24" s="22" t="inlineStr">
        <is>
          <t>1. Roles and views</t>
        </is>
      </c>
      <c r="C24" s="28" t="n">
        <v>1</v>
      </c>
      <c r="D24" s="22" t="inlineStr">
        <is>
          <t>Table row</t>
        </is>
      </c>
      <c r="E24" s="22" t="inlineStr">
        <is>
          <t>Employee | Employee view | Own tasks’ status, own timesheet, comments | Other people’s timesheets, money</t>
        </is>
      </c>
      <c r="F24" s="28" t="inlineStr">
        <is>
          <t>G1.05</t>
        </is>
      </c>
      <c r="G24" s="22" t="inlineStr">
        <is>
          <t>Employee role: own tasks' status, own timesheet, comments; no money, no other timesheets</t>
        </is>
      </c>
      <c r="H24" s="28" t="inlineStr">
        <is>
          <t>OK</t>
        </is>
      </c>
      <c r="I24" s="22" t="inlineStr"/>
      <c r="J24" s="29" t="n"/>
      <c r="K24" s="30" t="n"/>
    </row>
    <row r="25">
      <c r="A25" s="28" t="n">
        <v>21</v>
      </c>
      <c r="B25" s="22" t="inlineStr">
        <is>
          <t>1. Roles and views</t>
        </is>
      </c>
      <c r="C25" s="28" t="n">
        <v>2</v>
      </c>
      <c r="D25" s="22" t="inlineStr">
        <is>
          <t>Screenshot caption</t>
        </is>
      </c>
      <c r="E25" s="22" t="inlineStr">
        <is>
          <t>Employee view: tasks tagged to me, my week at a glance</t>
        </is>
      </c>
      <c r="F25" s="28" t="inlineStr">
        <is>
          <t>G1.06</t>
        </is>
      </c>
      <c r="G25" s="22" t="inlineStr">
        <is>
          <t>Dashboard › Employee (/home)</t>
        </is>
      </c>
      <c r="H25" s="28" t="inlineStr">
        <is>
          <t>OK</t>
        </is>
      </c>
      <c r="I25" s="22" t="inlineStr">
        <is>
          <t>Screenshot 001.</t>
        </is>
      </c>
      <c r="J25" s="29" t="n"/>
      <c r="K25" s="30" t="n"/>
    </row>
    <row r="26">
      <c r="A26" s="28" t="n">
        <v>22</v>
      </c>
      <c r="B26" s="22" t="inlineStr">
        <is>
          <t>1. Roles and views</t>
        </is>
      </c>
      <c r="C26" s="28" t="n">
        <v>2</v>
      </c>
      <c r="D26" s="22" t="inlineStr">
        <is>
          <t>Sentence</t>
        </is>
      </c>
      <c r="E26" s="22" t="inlineStr">
        <is>
          <t>The employee view shows only that person’s world: tasks where they were mentioned or tagged, tasks they are covering for a colleague on leave, and their own delivery numbers for the week.</t>
        </is>
      </c>
      <c r="F26" s="28" t="inlineStr">
        <is>
          <t>G1.06</t>
        </is>
      </c>
      <c r="G26" s="22" t="inlineStr">
        <is>
          <t>Dashboard › Employee: 'Tagged you', 'Covering', week score, on-time, effort ratio, utilisation, overdue, average lateness</t>
        </is>
      </c>
      <c r="H26" s="28" t="inlineStr">
        <is>
          <t>OK</t>
        </is>
      </c>
      <c r="I26" s="22" t="inlineStr">
        <is>
          <t>Seed comments fixed in v6 (Tagged you shows the right EduReon task).</t>
        </is>
      </c>
      <c r="J26" s="29" t="n"/>
      <c r="K26" s="30" t="n"/>
    </row>
    <row r="27">
      <c r="A27" s="31" t="n">
        <v>23</v>
      </c>
      <c r="B27" s="32" t="inlineStr">
        <is>
          <t>2. CEO dashboard: revenue first</t>
        </is>
      </c>
      <c r="C27" s="31" t="n">
        <v>2</v>
      </c>
      <c r="D27" s="32" t="inlineStr">
        <is>
          <t>Heading</t>
        </is>
      </c>
      <c r="E27" s="32" t="inlineStr">
        <is>
          <t>2. CEO dashboard: revenue first</t>
        </is>
      </c>
      <c r="F27" s="31" t="inlineStr">
        <is>
          <t>G2.01–G2.08</t>
        </is>
      </c>
      <c r="G27" s="32" t="inlineStr">
        <is>
          <t>Dashboard › CEO › Overview (/home)</t>
        </is>
      </c>
      <c r="H27" s="31" t="inlineStr">
        <is>
          <t>OK</t>
        </is>
      </c>
      <c r="I27" s="32" t="inlineStr"/>
      <c r="J27" s="33" t="n"/>
      <c r="K27" s="34" t="n"/>
    </row>
    <row r="28">
      <c r="A28" s="28" t="n">
        <v>24</v>
      </c>
      <c r="B28" s="22" t="inlineStr">
        <is>
          <t>2. CEO dashboard: revenue first</t>
        </is>
      </c>
      <c r="C28" s="28" t="n">
        <v>2</v>
      </c>
      <c r="D28" s="22" t="inlineStr">
        <is>
          <t>Sentence</t>
        </is>
      </c>
      <c r="E28" s="22" t="inlineStr">
        <is>
          <t>The CEO lands on revenue, because that is the number that decides everything else.</t>
        </is>
      </c>
      <c r="F28" s="28" t="inlineStr">
        <is>
          <t>G2.01</t>
        </is>
      </c>
      <c r="G28" s="22" t="inlineStr">
        <is>
          <t>CEO lands on Dashboard › CEO › Overview, revenue cards first</t>
        </is>
      </c>
      <c r="H28" s="28" t="inlineStr">
        <is>
          <t>OK</t>
        </is>
      </c>
      <c r="I28" s="22" t="inlineStr"/>
      <c r="J28" s="29" t="n"/>
      <c r="K28" s="30" t="n"/>
    </row>
    <row r="29">
      <c r="A29" s="28" t="n">
        <v>25</v>
      </c>
      <c r="B29" s="22" t="inlineStr">
        <is>
          <t>2. CEO dashboard: revenue first</t>
        </is>
      </c>
      <c r="C29" s="28" t="n">
        <v>2</v>
      </c>
      <c r="D29" s="22" t="inlineStr">
        <is>
          <t>Sentence</t>
        </is>
      </c>
      <c r="E29" s="22" t="inlineStr">
        <is>
          <t>The Overview shows this month, this quarter and this financial year (April to March) side by side.</t>
        </is>
      </c>
      <c r="F29" s="28" t="inlineStr">
        <is>
          <t>G2.02</t>
        </is>
      </c>
      <c r="G29" s="22" t="inlineStr">
        <is>
          <t>Dashboard › CEO › Overview (/home) — 'Revenue and earnings': This month / This quarter / This financial year (Apr–Mar)</t>
        </is>
      </c>
      <c r="H29" s="28" t="inlineStr">
        <is>
          <t>OK</t>
        </is>
      </c>
      <c r="I29" s="22" t="inlineStr"/>
      <c r="J29" s="29" t="n"/>
      <c r="K29" s="30" t="n"/>
    </row>
    <row r="30">
      <c r="A30" s="28" t="n">
        <v>26</v>
      </c>
      <c r="B30" s="22" t="inlineStr">
        <is>
          <t>2. CEO dashboard: revenue first</t>
        </is>
      </c>
      <c r="C30" s="28" t="n">
        <v>3</v>
      </c>
      <c r="D30" s="22" t="inlineStr">
        <is>
          <t>Screenshot caption</t>
        </is>
      </c>
      <c r="E30" s="22" t="inlineStr">
        <is>
          <t>Revenue and earnings: month, quarter and year, with the 12-month chart and revenue ahead</t>
        </is>
      </c>
      <c r="F30" s="28" t="inlineStr">
        <is>
          <t>G2.01–G2.05</t>
        </is>
      </c>
      <c r="G30" s="22" t="inlineStr">
        <is>
          <t>Dashboard › CEO › Overview (/home) — 'Revenue and earnings', 'Monthly revenue, last 12 months', 'Revenue ahead'</t>
        </is>
      </c>
      <c r="H30" s="28" t="inlineStr">
        <is>
          <t>OK</t>
        </is>
      </c>
      <c r="I30" s="22" t="inlineStr">
        <is>
          <t>Screenshot 002.</t>
        </is>
      </c>
      <c r="J30" s="29" t="n"/>
      <c r="K30" s="30" t="n"/>
    </row>
    <row r="31">
      <c r="A31" s="28" t="n">
        <v>27</v>
      </c>
      <c r="B31" s="22" t="inlineStr">
        <is>
          <t>2. CEO dashboard: revenue first</t>
        </is>
      </c>
      <c r="C31" s="28" t="n">
        <v>3</v>
      </c>
      <c r="D31" s="22" t="inlineStr">
        <is>
          <t>Bullet</t>
        </is>
      </c>
      <c r="E31" s="22" t="inlineStr">
        <is>
          <t>Top four numbers: revenue this month, this quarter, this financial year, and net earnings for the year.</t>
        </is>
      </c>
      <c r="F31" s="28" t="inlineStr">
        <is>
          <t>G2.01</t>
        </is>
      </c>
      <c r="G31" s="22" t="inlineStr">
        <is>
          <t>Dashboard › CEO › Overview (/home) — top four tiles: revenue month, quarter, FY, net earnings FY</t>
        </is>
      </c>
      <c r="H31" s="28" t="inlineStr">
        <is>
          <t>OK</t>
        </is>
      </c>
      <c r="I31" s="22" t="inlineStr">
        <is>
          <t>v6: month and quarter count only income up to today.</t>
        </is>
      </c>
      <c r="J31" s="29" t="n"/>
      <c r="K31" s="30" t="n"/>
    </row>
    <row r="32">
      <c r="A32" s="28" t="n">
        <v>28</v>
      </c>
      <c r="B32" s="22" t="inlineStr">
        <is>
          <t>2. CEO dashboard: revenue first</t>
        </is>
      </c>
      <c r="C32" s="28" t="n">
        <v>3</v>
      </c>
      <c r="D32" s="22" t="inlineStr">
        <is>
          <t>Bullet (cont.)</t>
        </is>
      </c>
      <c r="E32" s="22" t="inlineStr">
        <is>
          <t>The arrow shows the change against the previous period.</t>
        </is>
      </c>
      <c r="F32" s="28" t="inlineStr">
        <is>
          <t>G2.01</t>
        </is>
      </c>
      <c r="G32" s="22" t="inlineStr">
        <is>
          <t>Dashboard › CEO › Overview (/home) — change arrow on each tile vs previous period</t>
        </is>
      </c>
      <c r="H32" s="28" t="inlineStr">
        <is>
          <t>OK</t>
        </is>
      </c>
      <c r="I32" s="22" t="inlineStr"/>
      <c r="J32" s="29" t="n"/>
      <c r="K32" s="30" t="n"/>
    </row>
    <row r="33">
      <c r="A33" s="28" t="n">
        <v>29</v>
      </c>
      <c r="B33" s="22" t="inlineStr">
        <is>
          <t>2. CEO dashboard: revenue first</t>
        </is>
      </c>
      <c r="C33" s="28" t="n">
        <v>3</v>
      </c>
      <c r="D33" s="22" t="inlineStr">
        <is>
          <t>Bullet</t>
        </is>
      </c>
      <c r="E33" s="22" t="inlineStr">
        <is>
          <t>Period table: for each period, revenue billed, cash collected, total costs (salaries plus expenses), net earnings, net margin, and the change in revenue.</t>
        </is>
      </c>
      <c r="F33" s="28" t="inlineStr">
        <is>
          <t>G2.02</t>
        </is>
      </c>
      <c r="G33" s="22" t="inlineStr">
        <is>
          <t>Dashboard › CEO › Overview (/home) — period table: Revenue billed, Collected, Costs, Net earnings, Net margin, Revenue change</t>
        </is>
      </c>
      <c r="H33" s="28" t="inlineStr">
        <is>
          <t>OK</t>
        </is>
      </c>
      <c r="I33" s="22" t="inlineStr">
        <is>
          <t>v6: costs use one salary basis, so the dashboard equals the P&amp;L.</t>
        </is>
      </c>
      <c r="J33" s="29" t="n"/>
      <c r="K33" s="30" t="n"/>
    </row>
    <row r="34">
      <c r="A34" s="28" t="n">
        <v>30</v>
      </c>
      <c r="B34" s="22" t="inlineStr">
        <is>
          <t>2. CEO dashboard: revenue first</t>
        </is>
      </c>
      <c r="C34" s="28" t="n">
        <v>3</v>
      </c>
      <c r="D34" s="22" t="inlineStr">
        <is>
          <t>Bullet</t>
        </is>
      </c>
      <c r="E34" s="22" t="inlineStr">
        <is>
          <t>12-month chart: billed and collected side by side, so a gap between invoicing and cash shows at a glance.</t>
        </is>
      </c>
      <c r="F34" s="28" t="inlineStr">
        <is>
          <t>G2.03</t>
        </is>
      </c>
      <c r="G34" s="22" t="inlineStr">
        <is>
          <t>Dashboard › CEO › Overview (/home) — 'Monthly revenue, last 12 months' (billed vs collected, table toggle)</t>
        </is>
      </c>
      <c r="H34" s="28" t="inlineStr">
        <is>
          <t>OK</t>
        </is>
      </c>
      <c r="I34" s="22" t="inlineStr">
        <is>
          <t>No future months.</t>
        </is>
      </c>
      <c r="J34" s="29" t="n"/>
      <c r="K34" s="30" t="n"/>
    </row>
    <row r="35">
      <c r="A35" s="28" t="n">
        <v>31</v>
      </c>
      <c r="B35" s="22" t="inlineStr">
        <is>
          <t>2. CEO dashboard: revenue first</t>
        </is>
      </c>
      <c r="C35" s="28" t="n">
        <v>3</v>
      </c>
      <c r="D35" s="22" t="inlineStr">
        <is>
          <t>Bullet</t>
        </is>
      </c>
      <c r="E35" s="22" t="inlineStr">
        <is>
          <t>Where revenue came from: split by stream (SAP consulting, products, services, subscriptions, AMS).</t>
        </is>
      </c>
      <c r="F35" s="28" t="inlineStr">
        <is>
          <t>G2.04</t>
        </is>
      </c>
      <c r="G35" s="22" t="inlineStr">
        <is>
          <t>Dashboard › CEO › Overview (/home) — 'Where revenue came from, this financial year': SAP consulting, Products, Services, Subscriptions, AMS</t>
        </is>
      </c>
      <c r="H35" s="28" t="inlineStr">
        <is>
          <t>OK</t>
        </is>
      </c>
      <c r="I35" s="22" t="inlineStr">
        <is>
          <t>v6: stream names now match the guide everywhere (dashboard, P&amp;L).</t>
        </is>
      </c>
      <c r="J35" s="29" t="n"/>
      <c r="K35" s="30" t="n"/>
    </row>
    <row r="36">
      <c r="A36" s="28" t="n">
        <v>32</v>
      </c>
      <c r="B36" s="22" t="inlineStr">
        <is>
          <t>2. CEO dashboard: revenue first</t>
        </is>
      </c>
      <c r="C36" s="28" t="n">
        <v>3</v>
      </c>
      <c r="D36" s="22" t="inlineStr">
        <is>
          <t>Bullet</t>
        </is>
      </c>
      <c r="E36" s="22" t="inlineStr">
        <is>
          <t>Revenue ahead: milestones due but not yet invoiced, plus the weighted sales pipeline.</t>
        </is>
      </c>
      <c r="F36" s="28" t="inlineStr">
        <is>
          <t>G2.05</t>
        </is>
      </c>
      <c r="G36" s="22" t="inlineStr">
        <is>
          <t>Dashboard › CEO › Overview (/home) — 'Revenue ahead': milestones billable 30/60/90 days + weighted pipeline</t>
        </is>
      </c>
      <c r="H36" s="28" t="inlineStr">
        <is>
          <t>OK</t>
        </is>
      </c>
      <c r="I36" s="22" t="inlineStr"/>
      <c r="J36" s="29" t="n"/>
      <c r="K36" s="30" t="n"/>
    </row>
    <row r="37">
      <c r="A37" s="28" t="n">
        <v>33</v>
      </c>
      <c r="B37" s="22" t="inlineStr">
        <is>
          <t>2. CEO dashboard: revenue first</t>
        </is>
      </c>
      <c r="C37" s="28" t="n">
        <v>4</v>
      </c>
      <c r="D37" s="22" t="inlineStr">
        <is>
          <t>Screenshot caption</t>
        </is>
      </c>
      <c r="E37" s="22" t="inlineStr">
        <is>
          <t>Delivery and milestone cash: health of all projects and money due in 30 days</t>
        </is>
      </c>
      <c r="F37" s="28" t="inlineStr">
        <is>
          <t>G2.06, G2.07</t>
        </is>
      </c>
      <c r="G37" s="22" t="inlineStr">
        <is>
          <t>Dashboard › CEO › Overview (/home) — 'Delivery' and 'Milestones and cash'</t>
        </is>
      </c>
      <c r="H37" s="28" t="inlineStr">
        <is>
          <t>OK</t>
        </is>
      </c>
      <c r="I37" s="22" t="inlineStr">
        <is>
          <t>Screenshot 003.</t>
        </is>
      </c>
      <c r="J37" s="29" t="n"/>
      <c r="K37" s="30" t="n"/>
    </row>
    <row r="38">
      <c r="A38" s="28" t="n">
        <v>34</v>
      </c>
      <c r="B38" s="22" t="inlineStr">
        <is>
          <t>2. CEO dashboard: revenue first</t>
        </is>
      </c>
      <c r="C38" s="28" t="n">
        <v>4</v>
      </c>
      <c r="D38" s="22" t="inlineStr">
        <is>
          <t>Sentence</t>
        </is>
      </c>
      <c r="E38" s="22" t="inlineStr">
        <is>
          <t>Below revenue, Delivery shows how many milestones were hit on time, the schedule performance index (SPI: above 1.0 means ahead of plan), average lateness and overdue tasks.</t>
        </is>
      </c>
      <c r="F38" s="28" t="inlineStr">
        <is>
          <t>G2.06</t>
        </is>
      </c>
      <c r="G38" s="22" t="inlineStr">
        <is>
          <t>Dashboard › CEO › Overview (/home) — 'Delivery': Milestones hit on time, SPI, Average lateness, Overdue tasks (+ CPI, utilisation, projects in red, forecast to breach, done in 4 weeks, team score)</t>
        </is>
      </c>
      <c r="H38" s="28" t="inlineStr">
        <is>
          <t>OK — improved</t>
        </is>
      </c>
      <c r="I38" s="22" t="inlineStr">
        <is>
          <t>v6: added average lateness and overdue tasks as worded in the guide.</t>
        </is>
      </c>
      <c r="J38" s="29" t="n"/>
      <c r="K38" s="30" t="n"/>
    </row>
    <row r="39">
      <c r="A39" s="28" t="n">
        <v>35</v>
      </c>
      <c r="B39" s="22" t="inlineStr">
        <is>
          <t>2. CEO dashboard: revenue first</t>
        </is>
      </c>
      <c r="C39" s="28" t="n">
        <v>4</v>
      </c>
      <c r="D39" s="22" t="inlineStr">
        <is>
          <t>Sentence</t>
        </is>
      </c>
      <c r="E39" s="22" t="inlineStr">
        <is>
          <t>Milestones and cash lists milestones due in the next 30 days with their billing value, so the CEO sees which delivery dates carry money.</t>
        </is>
      </c>
      <c r="F39" s="28" t="inlineStr">
        <is>
          <t>G2.07</t>
        </is>
      </c>
      <c r="G39" s="22" t="inlineStr">
        <is>
          <t>Dashboard › CEO › Overview (/home) — 'Milestones and cash': due in the next 30 days with deadline, forecast, status, billing</t>
        </is>
      </c>
      <c r="H39" s="28" t="inlineStr">
        <is>
          <t>OK</t>
        </is>
      </c>
      <c r="I39" s="22" t="inlineStr"/>
      <c r="J39" s="29" t="n"/>
      <c r="K39" s="30" t="n"/>
    </row>
    <row r="40">
      <c r="A40" s="31" t="n">
        <v>36</v>
      </c>
      <c r="B40" s="32" t="inlineStr">
        <is>
          <t>3. Projects: list, status, type</t>
        </is>
      </c>
      <c r="C40" s="31" t="n">
        <v>4</v>
      </c>
      <c r="D40" s="32" t="inlineStr">
        <is>
          <t>Heading</t>
        </is>
      </c>
      <c r="E40" s="32" t="inlineStr">
        <is>
          <t>3. Projects: list, status, type</t>
        </is>
      </c>
      <c r="F40" s="31" t="inlineStr">
        <is>
          <t>G3.01–G3.11</t>
        </is>
      </c>
      <c r="G40" s="32" t="inlineStr">
        <is>
          <t>Projects &amp; WBS › All projects (/projects)</t>
        </is>
      </c>
      <c r="H40" s="31" t="inlineStr">
        <is>
          <t>OK</t>
        </is>
      </c>
      <c r="I40" s="32" t="inlineStr">
        <is>
          <t>Menu group 'Projects &amp; WBS' as in the guide (v7: project areas also reachable as submenus).</t>
        </is>
      </c>
      <c r="J40" s="33" t="n"/>
      <c r="K40" s="34" t="n"/>
    </row>
    <row r="41">
      <c r="A41" s="28" t="n">
        <v>37</v>
      </c>
      <c r="B41" s="22" t="inlineStr">
        <is>
          <t>3. Projects: list, status, type</t>
        </is>
      </c>
      <c r="C41" s="28" t="n">
        <v>4</v>
      </c>
      <c r="D41" s="22" t="inlineStr">
        <is>
          <t>Sentence</t>
        </is>
      </c>
      <c r="E41" s="22" t="inlineStr">
        <is>
          <t>The Projects tab opens on a list of all projects.</t>
        </is>
      </c>
      <c r="F41" s="28" t="inlineStr">
        <is>
          <t>G3.01</t>
        </is>
      </c>
      <c r="G41" s="22" t="inlineStr">
        <is>
          <t>Projects &amp; WBS › All projects (/projects) — list of all projects the person may see</t>
        </is>
      </c>
      <c r="H41" s="28" t="inlineStr">
        <is>
          <t>OK</t>
        </is>
      </c>
      <c r="I41" s="22" t="inlineStr"/>
      <c r="J41" s="29" t="n"/>
      <c r="K41" s="30" t="n"/>
    </row>
    <row r="42">
      <c r="A42" s="28" t="n">
        <v>38</v>
      </c>
      <c r="B42" s="22" t="inlineStr">
        <is>
          <t>3. Projects: list, status, type</t>
        </is>
      </c>
      <c r="C42" s="28" t="n">
        <v>4</v>
      </c>
      <c r="D42" s="22" t="inlineStr">
        <is>
          <t>Sentence</t>
        </is>
      </c>
      <c r="E42" s="22" t="inlineStr">
        <is>
          <t>Click a row to open that project; click it again to close it.</t>
        </is>
      </c>
      <c r="F42" s="28" t="inlineStr">
        <is>
          <t>G3.05</t>
        </is>
      </c>
      <c r="G42" s="22" t="inlineStr">
        <is>
          <t>Projects &amp; WBS › All projects (/projects) — click a row to expand it inline; click again to close</t>
        </is>
      </c>
      <c r="H42" s="28" t="inlineStr">
        <is>
          <t>OK</t>
        </is>
      </c>
      <c r="I42" s="22" t="inlineStr"/>
      <c r="J42" s="29" t="n"/>
      <c r="K42" s="30" t="n"/>
    </row>
    <row r="43">
      <c r="A43" s="28" t="n">
        <v>39</v>
      </c>
      <c r="B43" s="22" t="inlineStr">
        <is>
          <t>3. Projects: list, status, type</t>
        </is>
      </c>
      <c r="C43" s="28" t="n">
        <v>4</v>
      </c>
      <c r="D43" s="22" t="inlineStr">
        <is>
          <t>Screenshot caption</t>
        </is>
      </c>
      <c r="E43" s="22" t="inlineStr">
        <is>
          <t>Projects list with a filter chip for each status and the Create project button</t>
        </is>
      </c>
      <c r="F43" s="28" t="inlineStr">
        <is>
          <t>G3.01, G3.07</t>
        </is>
      </c>
      <c r="G43" s="22" t="inlineStr">
        <is>
          <t>Projects &amp; WBS › All projects (/projects) — status chips + '+ Create project'</t>
        </is>
      </c>
      <c r="H43" s="28" t="inlineStr">
        <is>
          <t>OK</t>
        </is>
      </c>
      <c r="I43" s="22" t="inlineStr">
        <is>
          <t>Screenshot 004.</t>
        </is>
      </c>
      <c r="J43" s="29" t="n"/>
      <c r="K43" s="30" t="n"/>
    </row>
    <row r="44">
      <c r="A44" s="28" t="n">
        <v>40</v>
      </c>
      <c r="B44" s="22" t="inlineStr">
        <is>
          <t>3. Projects: list, status, type</t>
        </is>
      </c>
      <c r="C44" s="28" t="n">
        <v>5</v>
      </c>
      <c r="D44" s="22" t="inlineStr">
        <is>
          <t>Bullet</t>
        </is>
      </c>
      <c r="E44" s="22" t="inlineStr">
        <is>
          <t>Status chips: All, Initiated, Active, On hold, NPA, Completed, Closed, each with a count.</t>
        </is>
      </c>
      <c r="F44" s="28" t="inlineStr">
        <is>
          <t>G3.01</t>
        </is>
      </c>
      <c r="G44" s="22" t="inlineStr">
        <is>
          <t>Projects &amp; WBS › All projects (/projects) — chips All / Initiated / Active / On hold / NPA / Completed / Closed with counts</t>
        </is>
      </c>
      <c r="H44" s="28" t="inlineStr">
        <is>
          <t>OK</t>
        </is>
      </c>
      <c r="I44" s="22" t="inlineStr"/>
      <c r="J44" s="29" t="n"/>
      <c r="K44" s="30" t="n"/>
    </row>
    <row r="45">
      <c r="A45" s="28" t="n">
        <v>41</v>
      </c>
      <c r="B45" s="22" t="inlineStr">
        <is>
          <t>3. Projects: list, status, type</t>
        </is>
      </c>
      <c r="C45" s="28" t="n">
        <v>5</v>
      </c>
      <c r="D45" s="22" t="inlineStr">
        <is>
          <t>Bullet (cont.)</t>
        </is>
      </c>
      <c r="E45" s="22" t="inlineStr">
        <is>
          <t>Click one to see only those projects.</t>
        </is>
      </c>
      <c r="F45" s="28" t="inlineStr">
        <is>
          <t>G3.01</t>
        </is>
      </c>
      <c r="G45" s="22" t="inlineStr">
        <is>
          <t>Projects &amp; WBS › All projects (/projects) — clicking a chip filters the list</t>
        </is>
      </c>
      <c r="H45" s="28" t="inlineStr">
        <is>
          <t>OK</t>
        </is>
      </c>
      <c r="I45" s="22" t="inlineStr"/>
      <c r="J45" s="29" t="n"/>
      <c r="K45" s="30" t="n"/>
    </row>
    <row r="46">
      <c r="A46" s="28" t="n">
        <v>42</v>
      </c>
      <c r="B46" s="22" t="inlineStr">
        <is>
          <t>3. Projects: list, status, type</t>
        </is>
      </c>
      <c r="C46" s="28" t="n">
        <v>5</v>
      </c>
      <c r="D46" s="22" t="inlineStr">
        <is>
          <t>Bullet</t>
        </is>
      </c>
      <c r="E46" s="22" t="inlineStr">
        <is>
          <t>Status column: shows health (On track, At risk, Off track) and a dropdown to change the status right from the list.</t>
        </is>
      </c>
      <c r="F46" s="28" t="inlineStr">
        <is>
          <t>G3.02</t>
        </is>
      </c>
      <c r="G46" s="22" t="inlineStr">
        <is>
          <t>Projects &amp; WBS › All projects (/projects) — 'Status' column: health badge + status dropdown</t>
        </is>
      </c>
      <c r="H46" s="28" t="inlineStr">
        <is>
          <t>OK</t>
        </is>
      </c>
      <c r="I46" s="22" t="inlineStr"/>
      <c r="J46" s="29" t="n"/>
      <c r="K46" s="30" t="n"/>
    </row>
    <row r="47">
      <c r="A47" s="28" t="n">
        <v>43</v>
      </c>
      <c r="B47" s="22" t="inlineStr">
        <is>
          <t>3. Projects: list, status, type</t>
        </is>
      </c>
      <c r="C47" s="28" t="n">
        <v>5</v>
      </c>
      <c r="D47" s="22" t="inlineStr">
        <is>
          <t>Bullet (cont.)</t>
        </is>
      </c>
      <c r="E47" s="22" t="inlineStr">
        <is>
          <t>Moving to On hold, NPA (non-performing asset: a client not paying or not engaging) or Closed asks for a reason; every change is kept in the project’s status history.</t>
        </is>
      </c>
      <c r="F47" s="28" t="inlineStr">
        <is>
          <t>G3.03</t>
        </is>
      </c>
      <c r="G47" s="22" t="inlineStr">
        <is>
          <t>Projects &amp; WBS › All projects (/projects) — reason dialog for On hold / NPA / Closed; project › Activity tab › Status history</t>
        </is>
      </c>
      <c r="H47" s="28" t="inlineStr">
        <is>
          <t>OK</t>
        </is>
      </c>
      <c r="I47" s="22" t="inlineStr"/>
      <c r="J47" s="29" t="n"/>
      <c r="K47" s="30" t="n"/>
    </row>
    <row r="48">
      <c r="A48" s="28" t="n">
        <v>44</v>
      </c>
      <c r="B48" s="22" t="inlineStr">
        <is>
          <t>3. Projects: list, status, type</t>
        </is>
      </c>
      <c r="C48" s="28" t="n">
        <v>5</v>
      </c>
      <c r="D48" s="22" t="inlineStr">
        <is>
          <t>Bullet</t>
        </is>
      </c>
      <c r="E48" s="22" t="inlineStr">
        <is>
          <t>Columns: project manager, commercial model (fixed price, time and material), type, progress (% and tasks done), planned end, forecast end (red when late), next milestone, contract value and projected margin.</t>
        </is>
      </c>
      <c r="F48" s="28" t="inlineStr">
        <is>
          <t>G3.04</t>
        </is>
      </c>
      <c r="G48" s="22" t="inlineStr">
        <is>
          <t>Projects &amp; WBS › All projects (/projects) — columns PM, Model (Fixed price / Time &amp; material), Type, Progress (% and x/y), Planned end, Forecast end (red '+Nd late'), Next milestone, Contract, Projected margin</t>
        </is>
      </c>
      <c r="H48" s="28" t="inlineStr">
        <is>
          <t>OK — improved</t>
        </is>
      </c>
      <c r="I48" s="22" t="inlineStr">
        <is>
          <t>v6: all columns fit at 1280 px+; one label 'Fixed price' everywhere. Projected margin only with the margins permission.</t>
        </is>
      </c>
      <c r="J48" s="29" t="n"/>
      <c r="K48" s="30" t="n"/>
    </row>
    <row r="49">
      <c r="A49" s="28" t="n">
        <v>45</v>
      </c>
      <c r="B49" s="22" t="inlineStr">
        <is>
          <t>3. Projects: list, status, type</t>
        </is>
      </c>
      <c r="C49" s="28" t="n">
        <v>5</v>
      </c>
      <c r="D49" s="22" t="inlineStr">
        <is>
          <t>Table row</t>
        </is>
      </c>
      <c r="E49" s="22" t="inlineStr">
        <is>
          <t>Status table — columns: Status | Means</t>
        </is>
      </c>
      <c r="F49" s="28" t="inlineStr">
        <is>
          <t>G3.02</t>
        </is>
      </c>
      <c r="G49" s="22" t="inlineStr">
        <is>
          <t>Projects &amp; WBS › All projects (/projects) — 'What the statuses mean' popover next to the chips</t>
        </is>
      </c>
      <c r="H49" s="28" t="inlineStr">
        <is>
          <t>OK — improved</t>
        </is>
      </c>
      <c r="I49" s="22" t="inlineStr">
        <is>
          <t>v6: added; meanings also shown in the status dropdown and reason dialog.</t>
        </is>
      </c>
      <c r="J49" s="29" t="n"/>
      <c r="K49" s="30" t="n"/>
    </row>
    <row r="50">
      <c r="A50" s="28" t="n">
        <v>46</v>
      </c>
      <c r="B50" s="22" t="inlineStr">
        <is>
          <t>3. Projects: list, status, type</t>
        </is>
      </c>
      <c r="C50" s="28" t="n">
        <v>5</v>
      </c>
      <c r="D50" s="22" t="inlineStr">
        <is>
          <t>Table row</t>
        </is>
      </c>
      <c r="E50" s="22" t="inlineStr">
        <is>
          <t>Initiated | Signed or agreed, work not started</t>
        </is>
      </c>
      <c r="F50" s="28" t="inlineStr">
        <is>
          <t>G3.02</t>
        </is>
      </c>
      <c r="G50" s="22" t="inlineStr">
        <is>
          <t>Projects &amp; WBS › All projects (/projects) — popover row 'Initiated'</t>
        </is>
      </c>
      <c r="H50" s="28" t="inlineStr">
        <is>
          <t>OK</t>
        </is>
      </c>
      <c r="I50" s="22" t="inlineStr">
        <is>
          <t>Verbatim.</t>
        </is>
      </c>
      <c r="J50" s="29" t="n"/>
      <c r="K50" s="30" t="n"/>
    </row>
    <row r="51">
      <c r="A51" s="28" t="n">
        <v>47</v>
      </c>
      <c r="B51" s="22" t="inlineStr">
        <is>
          <t>3. Projects: list, status, type</t>
        </is>
      </c>
      <c r="C51" s="28" t="n">
        <v>5</v>
      </c>
      <c r="D51" s="22" t="inlineStr">
        <is>
          <t>Table row</t>
        </is>
      </c>
      <c r="E51" s="22" t="inlineStr">
        <is>
          <t>Active | Work in progress</t>
        </is>
      </c>
      <c r="F51" s="28" t="inlineStr">
        <is>
          <t>G3.02</t>
        </is>
      </c>
      <c r="G51" s="22" t="inlineStr">
        <is>
          <t>Projects &amp; WBS › All projects (/projects) — popover row 'Active'</t>
        </is>
      </c>
      <c r="H51" s="28" t="inlineStr">
        <is>
          <t>OK</t>
        </is>
      </c>
      <c r="I51" s="22" t="inlineStr">
        <is>
          <t>Verbatim.</t>
        </is>
      </c>
      <c r="J51" s="29" t="n"/>
      <c r="K51" s="30" t="n"/>
    </row>
    <row r="52">
      <c r="A52" s="28" t="n">
        <v>48</v>
      </c>
      <c r="B52" s="22" t="inlineStr">
        <is>
          <t>3. Projects: list, status, type</t>
        </is>
      </c>
      <c r="C52" s="28" t="n">
        <v>5</v>
      </c>
      <c r="D52" s="22" t="inlineStr">
        <is>
          <t>Table row</t>
        </is>
      </c>
      <c r="E52" s="22" t="inlineStr">
        <is>
          <t>On hold | Paused; reason required</t>
        </is>
      </c>
      <c r="F52" s="28" t="inlineStr">
        <is>
          <t>G3.02, G3.03</t>
        </is>
      </c>
      <c r="G52" s="22" t="inlineStr">
        <is>
          <t>Projects &amp; WBS › All projects (/projects) — popover row 'On hold'; reason required</t>
        </is>
      </c>
      <c r="H52" s="28" t="inlineStr">
        <is>
          <t>OK</t>
        </is>
      </c>
      <c r="I52" s="22" t="inlineStr"/>
      <c r="J52" s="29" t="n"/>
      <c r="K52" s="30" t="n"/>
    </row>
    <row r="53">
      <c r="A53" s="28" t="n">
        <v>49</v>
      </c>
      <c r="B53" s="22" t="inlineStr">
        <is>
          <t>3. Projects: list, status, type</t>
        </is>
      </c>
      <c r="C53" s="28" t="n">
        <v>5</v>
      </c>
      <c r="D53" s="22" t="inlineStr">
        <is>
          <t>Table row</t>
        </is>
      </c>
      <c r="E53" s="22" t="inlineStr">
        <is>
          <t>NPA | Client not paying or not responding; reason required</t>
        </is>
      </c>
      <c r="F53" s="28" t="inlineStr">
        <is>
          <t>G3.02, G3.03</t>
        </is>
      </c>
      <c r="G53" s="22" t="inlineStr">
        <is>
          <t>Projects &amp; WBS › All projects (/projects) — popover row 'NPA'; reason required</t>
        </is>
      </c>
      <c r="H53" s="28" t="inlineStr">
        <is>
          <t>OK</t>
        </is>
      </c>
      <c r="I53" s="22" t="inlineStr"/>
      <c r="J53" s="29" t="n"/>
      <c r="K53" s="30" t="n"/>
    </row>
    <row r="54">
      <c r="A54" s="28" t="n">
        <v>50</v>
      </c>
      <c r="B54" s="22" t="inlineStr">
        <is>
          <t>3. Projects: list, status, type</t>
        </is>
      </c>
      <c r="C54" s="28" t="n">
        <v>5</v>
      </c>
      <c r="D54" s="22" t="inlineStr">
        <is>
          <t>Table row</t>
        </is>
      </c>
      <c r="E54" s="22" t="inlineStr">
        <is>
          <t>Completed | All work delivered, awaiting closure or final payment</t>
        </is>
      </c>
      <c r="F54" s="28" t="inlineStr">
        <is>
          <t>G3.02</t>
        </is>
      </c>
      <c r="G54" s="22" t="inlineStr">
        <is>
          <t>Projects &amp; WBS › All projects (/projects) — popover row 'Completed'</t>
        </is>
      </c>
      <c r="H54" s="28" t="inlineStr">
        <is>
          <t>OK</t>
        </is>
      </c>
      <c r="I54" s="22" t="inlineStr"/>
      <c r="J54" s="29" t="n"/>
      <c r="K54" s="30" t="n"/>
    </row>
    <row r="55">
      <c r="A55" s="28" t="n">
        <v>51</v>
      </c>
      <c r="B55" s="22" t="inlineStr">
        <is>
          <t>3. Projects: list, status, type</t>
        </is>
      </c>
      <c r="C55" s="28" t="n">
        <v>5</v>
      </c>
      <c r="D55" s="22" t="inlineStr">
        <is>
          <t>Table row</t>
        </is>
      </c>
      <c r="E55" s="22" t="inlineStr">
        <is>
          <t>Closed | Commercially closed; reason required</t>
        </is>
      </c>
      <c r="F55" s="28" t="inlineStr">
        <is>
          <t>G3.02, G3.03</t>
        </is>
      </c>
      <c r="G55" s="22" t="inlineStr">
        <is>
          <t>Projects &amp; WBS › All projects (/projects) — popover row 'Closed'; reason required</t>
        </is>
      </c>
      <c r="H55" s="28" t="inlineStr">
        <is>
          <t>OK</t>
        </is>
      </c>
      <c r="I55" s="22" t="inlineStr"/>
      <c r="J55" s="29" t="n"/>
      <c r="K55" s="30" t="n"/>
    </row>
    <row r="56">
      <c r="A56" s="28" t="n">
        <v>52</v>
      </c>
      <c r="B56" s="22" t="inlineStr">
        <is>
          <t>3. Projects: list, status, type</t>
        </is>
      </c>
      <c r="C56" s="28" t="n">
        <v>5</v>
      </c>
      <c r="D56" s="22" t="inlineStr">
        <is>
          <t>Sentence</t>
        </is>
      </c>
      <c r="E56" s="22" t="inlineStr">
        <is>
          <t>Project types: Product, Service, SaaS, AMS (annual maintenance support).</t>
        </is>
      </c>
      <c r="F56" s="28" t="inlineStr">
        <is>
          <t>G3.06</t>
        </is>
      </c>
      <c r="G56" s="22" t="inlineStr">
        <is>
          <t>Projects &amp; WBS › All projects (/projects) — Type filter and Create form: Product / Service / SaaS / AMS</t>
        </is>
      </c>
      <c r="H56" s="28" t="inlineStr">
        <is>
          <t>OK</t>
        </is>
      </c>
      <c r="I56" s="22" t="inlineStr"/>
      <c r="J56" s="29" t="n"/>
      <c r="K56" s="30" t="n"/>
    </row>
    <row r="57">
      <c r="A57" s="28" t="n">
        <v>53</v>
      </c>
      <c r="B57" s="22" t="inlineStr">
        <is>
          <t>3. Projects: list, status, type</t>
        </is>
      </c>
      <c r="C57" s="28" t="n">
        <v>6</v>
      </c>
      <c r="D57" s="22" t="inlineStr">
        <is>
          <t>Screenshot caption</t>
        </is>
      </c>
      <c r="E57" s="22" t="inlineStr">
        <is>
          <t>Create project form: name, client, manager, dates, type, model, milestones and costing</t>
        </is>
      </c>
      <c r="F57" s="28" t="inlineStr">
        <is>
          <t>G3.07–G3.10</t>
        </is>
      </c>
      <c r="G57" s="22" t="inlineStr">
        <is>
          <t>Projects &amp; WBS › All projects (/projects) › '+ Create project' form</t>
        </is>
      </c>
      <c r="H57" s="28" t="inlineStr">
        <is>
          <t>OK</t>
        </is>
      </c>
      <c r="I57" s="22" t="inlineStr">
        <is>
          <t>Screenshot 005.</t>
        </is>
      </c>
      <c r="J57" s="29" t="n"/>
      <c r="K57" s="30" t="n"/>
    </row>
    <row r="58">
      <c r="A58" s="28" t="n">
        <v>54</v>
      </c>
      <c r="B58" s="22" t="inlineStr">
        <is>
          <t>3. Projects: list, status, type</t>
        </is>
      </c>
      <c r="C58" s="28" t="n">
        <v>6</v>
      </c>
      <c r="D58" s="22" t="inlineStr">
        <is>
          <t>Sentence</t>
        </is>
      </c>
      <c r="E58" s="22" t="inlineStr">
        <is>
          <t>+ Create project opens the form: name, client, project manager, start and planned end, type, commercial model, priority, milestones with billing amounts, documents, and the costing plan.</t>
        </is>
      </c>
      <c r="F58" s="28" t="inlineStr">
        <is>
          <t>G3.07–G3.10</t>
        </is>
      </c>
      <c r="G58" s="22" t="inlineStr">
        <is>
          <t>Projects &amp; WBS › All projects (/projects) › '+ Create project': name, client, PM, start, planned end (calendar line), type, model, priority, 'Auto milestone setup' (name | amount per line), Documents (20 MB each), Project cost calculator</t>
        </is>
      </c>
      <c r="H58" s="28" t="inlineStr">
        <is>
          <t>OK</t>
        </is>
      </c>
      <c r="I58" s="22" t="inlineStr"/>
      <c r="J58" s="29" t="n"/>
      <c r="K58" s="30" t="n"/>
    </row>
    <row r="59">
      <c r="A59" s="28" t="n">
        <v>55</v>
      </c>
      <c r="B59" s="22" t="inlineStr">
        <is>
          <t>3. Projects: list, status, type</t>
        </is>
      </c>
      <c r="C59" s="28" t="n">
        <v>6</v>
      </c>
      <c r="D59" s="22" t="inlineStr">
        <is>
          <t>Sentence</t>
        </is>
      </c>
      <c r="E59" s="22" t="inlineStr">
        <is>
          <t>The project code is generated automatically.</t>
        </is>
      </c>
      <c r="F59" s="28" t="inlineStr">
        <is>
          <t>G3.07</t>
        </is>
      </c>
      <c r="G59" s="22" t="inlineStr">
        <is>
          <t>Projects &amp; WBS › All projects (/projects) › '+ Create project' — 'Project code PRJ-0NN is assigned automatically'</t>
        </is>
      </c>
      <c r="H59" s="28" t="inlineStr">
        <is>
          <t>OK</t>
        </is>
      </c>
      <c r="I59" s="22" t="inlineStr"/>
      <c r="J59" s="29" t="n"/>
      <c r="K59" s="30" t="n"/>
    </row>
    <row r="60">
      <c r="A60" s="31" t="n">
        <v>56</v>
      </c>
      <c r="B60" s="32" t="inlineStr">
        <is>
          <t>4. Project page: milestones, tasks and WBS</t>
        </is>
      </c>
      <c r="C60" s="31" t="n">
        <v>6</v>
      </c>
      <c r="D60" s="32" t="inlineStr">
        <is>
          <t>Heading</t>
        </is>
      </c>
      <c r="E60" s="32" t="inlineStr">
        <is>
          <t>4. Project page: milestones, tasks and WBS</t>
        </is>
      </c>
      <c r="F60" s="31" t="inlineStr">
        <is>
          <t>G4.01–G4.10</t>
        </is>
      </c>
      <c r="G60" s="32" t="inlineStr">
        <is>
          <t>Projects &amp; WBS › All projects › project › WBS tab (/projects/:id/wbs); direct: Projects &amp; WBS › Milestones &amp; billing / WBS</t>
        </is>
      </c>
      <c r="H60" s="31" t="inlineStr">
        <is>
          <t>OK</t>
        </is>
      </c>
      <c r="I60" s="32" t="inlineStr"/>
      <c r="J60" s="33" t="n"/>
      <c r="K60" s="34" t="n"/>
    </row>
    <row r="61">
      <c r="A61" s="28" t="n">
        <v>57</v>
      </c>
      <c r="B61" s="22" t="inlineStr">
        <is>
          <t>4. Project page: milestones, tasks and WBS</t>
        </is>
      </c>
      <c r="C61" s="28" t="n">
        <v>6</v>
      </c>
      <c r="D61" s="22" t="inlineStr">
        <is>
          <t>Sentence</t>
        </is>
      </c>
      <c r="E61" s="22" t="inlineStr">
        <is>
          <t>A project is broken into milestones, and milestones into tasks.</t>
        </is>
      </c>
      <c r="F61" s="28" t="inlineStr">
        <is>
          <t>G4.01</t>
        </is>
      </c>
      <c r="G61" s="22" t="inlineStr">
        <is>
          <t>Projects &amp; WBS › All projects › project › WBS tab (/projects/:id/wbs); direct: Projects &amp; WBS › Milestones &amp; billing / WBS — milestones with their tasks</t>
        </is>
      </c>
      <c r="H61" s="28" t="inlineStr">
        <is>
          <t>OK</t>
        </is>
      </c>
      <c r="I61" s="22" t="inlineStr"/>
      <c r="J61" s="29" t="n"/>
      <c r="K61" s="30" t="n"/>
    </row>
    <row r="62">
      <c r="A62" s="28" t="n">
        <v>58</v>
      </c>
      <c r="B62" s="22" t="inlineStr">
        <is>
          <t>4. Project page: milestones, tasks and WBS</t>
        </is>
      </c>
      <c r="C62" s="28" t="n">
        <v>6</v>
      </c>
      <c r="D62" s="22" t="inlineStr">
        <is>
          <t>Sentence</t>
        </is>
      </c>
      <c r="E62" s="22" t="inlineStr">
        <is>
          <t>That structure is the WBS (work breakdown structure).</t>
        </is>
      </c>
      <c r="F62" s="28" t="inlineStr">
        <is>
          <t>G4.09</t>
        </is>
      </c>
      <c r="G62" s="22" t="inlineStr">
        <is>
          <t>Projects &amp; WBS › All projects › project › WBS tab (/projects/:id/wbs); direct: Projects &amp; WBS › Milestones &amp; billing / WBS — 'Work breakdown structure' table</t>
        </is>
      </c>
      <c r="H62" s="28" t="inlineStr">
        <is>
          <t>OK</t>
        </is>
      </c>
      <c r="I62" s="22" t="inlineStr"/>
      <c r="J62" s="29" t="n"/>
      <c r="K62" s="30" t="n"/>
    </row>
    <row r="63">
      <c r="A63" s="28" t="n">
        <v>59</v>
      </c>
      <c r="B63" s="22" t="inlineStr">
        <is>
          <t>4. Project page: milestones, tasks and WBS</t>
        </is>
      </c>
      <c r="C63" s="28" t="n">
        <v>7</v>
      </c>
      <c r="D63" s="22" t="inlineStr">
        <is>
          <t>Screenshot caption</t>
        </is>
      </c>
      <c r="E63" s="22" t="inlineStr">
        <is>
          <t>Milestones M1 to M5 with progress, deadline, status, billing, Edit and Delete</t>
        </is>
      </c>
      <c r="F63" s="28" t="inlineStr">
        <is>
          <t>G4.01–G4.08</t>
        </is>
      </c>
      <c r="G63" s="22" t="inlineStr">
        <is>
          <t>Projects &amp; WBS › All projects › project › WBS tab (/projects/:id/wbs); direct: Projects &amp; WBS › Milestones &amp; billing / WBS — Milestones table (progress, deadline, status, billing, Edit, Delete)</t>
        </is>
      </c>
      <c r="H63" s="28" t="inlineStr">
        <is>
          <t>OK</t>
        </is>
      </c>
      <c r="I63" s="22" t="inlineStr">
        <is>
          <t>Screenshot 006.</t>
        </is>
      </c>
      <c r="J63" s="29" t="n"/>
      <c r="K63" s="30" t="n"/>
    </row>
    <row r="64">
      <c r="A64" s="28" t="n">
        <v>60</v>
      </c>
      <c r="B64" s="22" t="inlineStr">
        <is>
          <t>4. Project page: milestones, tasks and WBS</t>
        </is>
      </c>
      <c r="C64" s="28" t="n">
        <v>7</v>
      </c>
      <c r="D64" s="22" t="inlineStr">
        <is>
          <t>Bullet</t>
        </is>
      </c>
      <c r="E64" s="22" t="inlineStr">
        <is>
          <t>Automatic numbers: milestones are numbered M1, M2, M3 in order of creation; tasks inside M2 are 2.1, 2.2, 2.3.</t>
        </is>
      </c>
      <c r="F64" s="28" t="inlineStr">
        <is>
          <t>G4.01</t>
        </is>
      </c>
      <c r="G64" s="22" t="inlineStr">
        <is>
          <t>Projects &amp; WBS › All projects › project › WBS tab (/projects/:id/wbs); direct: Projects &amp; WBS › Milestones &amp; billing / WBS — M1, M2… in creation order; tasks 2.1, 2.2…</t>
        </is>
      </c>
      <c r="H64" s="28" t="inlineStr">
        <is>
          <t>OK</t>
        </is>
      </c>
      <c r="I64" s="22" t="inlineStr"/>
      <c r="J64" s="29" t="n"/>
      <c r="K64" s="30" t="n"/>
    </row>
    <row r="65">
      <c r="A65" s="28" t="n">
        <v>61</v>
      </c>
      <c r="B65" s="22" t="inlineStr">
        <is>
          <t>4. Project page: milestones, tasks and WBS</t>
        </is>
      </c>
      <c r="C65" s="28" t="n">
        <v>7</v>
      </c>
      <c r="D65" s="22" t="inlineStr">
        <is>
          <t>Bullet (cont.)</t>
        </is>
      </c>
      <c r="E65" s="22" t="inlineStr">
        <is>
          <t>Numbers never change and are never reused, so “task 3.4” means the same thing in every conversation.</t>
        </is>
      </c>
      <c r="F65" s="28" t="inlineStr">
        <is>
          <t>G4.01</t>
        </is>
      </c>
      <c r="G65" s="22" t="inlineStr">
        <is>
          <t>Projects &amp; WBS › All projects › project › WBS tab (/projects/:id/wbs); direct: Projects &amp; WBS › Milestones &amp; billing / WBS — numbers fixed for good</t>
        </is>
      </c>
      <c r="H65" s="28" t="inlineStr">
        <is>
          <t>OK — improved</t>
        </is>
      </c>
      <c r="I65" s="22" t="inlineStr">
        <is>
          <t>v6: deleting a milestone or moving a task keeps the task's number (e.g. 4.1 stays 4.1 under 'No milestone').</t>
        </is>
      </c>
      <c r="J65" s="29" t="n"/>
      <c r="K65" s="30" t="n"/>
    </row>
    <row r="66">
      <c r="A66" s="28" t="n">
        <v>62</v>
      </c>
      <c r="B66" s="22" t="inlineStr">
        <is>
          <t>4. Project page: milestones, tasks and WBS</t>
        </is>
      </c>
      <c r="C66" s="28" t="n">
        <v>7</v>
      </c>
      <c r="D66" s="22" t="inlineStr">
        <is>
          <t>Bullet</t>
        </is>
      </c>
      <c r="E66" s="22" t="inlineStr">
        <is>
          <t>Deadline and end: a milestone’s deadline is the target end of its last task.</t>
        </is>
      </c>
      <c r="F66" s="28" t="inlineStr">
        <is>
          <t>G4.02</t>
        </is>
      </c>
      <c r="G66" s="22" t="inlineStr">
        <is>
          <t>Projects &amp; WBS › All projects › project › WBS tab (/projects/:id/wbs); direct: Projects &amp; WBS › Milestones &amp; billing / WBS — Milestones › Deadline = target end of the last task (automatic)</t>
        </is>
      </c>
      <c r="H66" s="28" t="inlineStr">
        <is>
          <t>OK</t>
        </is>
      </c>
      <c r="I66" s="22" t="inlineStr"/>
      <c r="J66" s="29" t="n"/>
      <c r="K66" s="30" t="n"/>
    </row>
    <row r="67">
      <c r="A67" s="28" t="n">
        <v>63</v>
      </c>
      <c r="B67" s="22" t="inlineStr">
        <is>
          <t>4. Project page: milestones, tasks and WBS</t>
        </is>
      </c>
      <c r="C67" s="28" t="n">
        <v>7</v>
      </c>
      <c r="D67" s="22" t="inlineStr">
        <is>
          <t>Bullet (cont.)</t>
        </is>
      </c>
      <c r="E67" s="22" t="inlineStr">
        <is>
          <t>The baseline shows the original date; red text shows the slip (for example +5d).</t>
        </is>
      </c>
      <c r="F67" s="28" t="inlineStr">
        <is>
          <t>G4.02</t>
        </is>
      </c>
      <c r="G67" s="22" t="inlineStr">
        <is>
          <t>Projects &amp; WBS › All projects › project › WBS tab (/projects/:id/wbs); direct: Projects &amp; WBS › Milestones &amp; billing / WBS — Deadline cell: baseline date under it, red slip '+5d'</t>
        </is>
      </c>
      <c r="H67" s="28" t="inlineStr">
        <is>
          <t>OK</t>
        </is>
      </c>
      <c r="I67" s="22" t="inlineStr"/>
      <c r="J67" s="29" t="n"/>
      <c r="K67" s="30" t="n"/>
    </row>
    <row r="68">
      <c r="A68" s="28" t="n">
        <v>64</v>
      </c>
      <c r="B68" s="22" t="inlineStr">
        <is>
          <t>4. Project page: milestones, tasks and WBS</t>
        </is>
      </c>
      <c r="C68" s="28" t="n">
        <v>7</v>
      </c>
      <c r="D68" s="22" t="inlineStr">
        <is>
          <t>Bullet</t>
        </is>
      </c>
      <c r="E68" s="22" t="inlineStr">
        <is>
          <t>Status: Achieved on time, Achieved late, On track, At risk.</t>
        </is>
      </c>
      <c r="F68" s="28" t="inlineStr">
        <is>
          <t>G4.03</t>
        </is>
      </c>
      <c r="G68" s="22" t="inlineStr">
        <is>
          <t>Projects &amp; WBS › All projects › project › WBS tab (/projects/:id/wbs); direct: Projects &amp; WBS › Milestones &amp; billing / WBS — Milestones › Status: Achieved on time / Achieved late / On track / At risk (+ Not started, Overdue)</t>
        </is>
      </c>
      <c r="H68" s="28" t="inlineStr">
        <is>
          <t>OK</t>
        </is>
      </c>
      <c r="I68" s="22" t="inlineStr"/>
      <c r="J68" s="29" t="n"/>
      <c r="K68" s="30" t="n"/>
    </row>
    <row r="69">
      <c r="A69" s="28" t="n">
        <v>65</v>
      </c>
      <c r="B69" s="22" t="inlineStr">
        <is>
          <t>4. Project page: milestones, tasks and WBS</t>
        </is>
      </c>
      <c r="C69" s="28" t="n">
        <v>7</v>
      </c>
      <c r="D69" s="22" t="inlineStr">
        <is>
          <t>Bullet</t>
        </is>
      </c>
      <c r="E69" s="22" t="inlineStr">
        <is>
          <t>Billing: each milestone carries an amount and a billing state (Not due, Invoiced, Paid).</t>
        </is>
      </c>
      <c r="F69" s="28" t="inlineStr">
        <is>
          <t>G4.05</t>
        </is>
      </c>
      <c r="G69" s="22" t="inlineStr">
        <is>
          <t>Projects &amp; WBS › All projects › project › WBS tab (/projects/:id/wbs); direct: Projects &amp; WBS › Milestones &amp; billing / WBS — Milestones › Billing amount + Not due / Invoiced / Paid</t>
        </is>
      </c>
      <c r="H69" s="28" t="inlineStr">
        <is>
          <t>OK</t>
        </is>
      </c>
      <c r="I69" s="22" t="inlineStr"/>
      <c r="J69" s="29" t="n"/>
      <c r="K69" s="30" t="n"/>
    </row>
    <row r="70">
      <c r="A70" s="28" t="n">
        <v>66</v>
      </c>
      <c r="B70" s="22" t="inlineStr">
        <is>
          <t>4. Project page: milestones, tasks and WBS</t>
        </is>
      </c>
      <c r="C70" s="28" t="n">
        <v>7</v>
      </c>
      <c r="D70" s="22" t="inlineStr">
        <is>
          <t>Bullet (cont.)</t>
        </is>
      </c>
      <c r="E70" s="22" t="inlineStr">
        <is>
          <t>The line below totals paid, invoiced-but-unpaid and achieved-but-not-invoiced.</t>
        </is>
      </c>
      <c r="F70" s="28" t="inlineStr">
        <is>
          <t>G4.05</t>
        </is>
      </c>
      <c r="G70" s="22" t="inlineStr">
        <is>
          <t>Projects &amp; WBS › All projects › project › WBS tab (/projects/:id/wbs); direct: Projects &amp; WBS › Milestones &amp; billing / WBS — billing summary line under the table</t>
        </is>
      </c>
      <c r="H70" s="28" t="inlineStr">
        <is>
          <t>OK</t>
        </is>
      </c>
      <c r="I70" s="22" t="inlineStr"/>
      <c r="J70" s="29" t="n"/>
      <c r="K70" s="30" t="n"/>
    </row>
    <row r="71">
      <c r="A71" s="28" t="n">
        <v>67</v>
      </c>
      <c r="B71" s="22" t="inlineStr">
        <is>
          <t>4. Project page: milestones, tasks and WBS</t>
        </is>
      </c>
      <c r="C71" s="28" t="n">
        <v>7</v>
      </c>
      <c r="D71" s="22" t="inlineStr">
        <is>
          <t>Bullet</t>
        </is>
      </c>
      <c r="E71" s="22" t="inlineStr">
        <is>
          <t>Edit and Delete: change a milestone’s name, dates or billing amount.</t>
        </is>
      </c>
      <c r="F71" s="28" t="inlineStr">
        <is>
          <t>G4.06</t>
        </is>
      </c>
      <c r="G71" s="22" t="inlineStr">
        <is>
          <t>Projects &amp; WBS › All projects › project › WBS tab (/projects/:id/wbs); direct: Projects &amp; WBS › Milestones &amp; billing / WBS — Milestone › Edit: name, billing amount; dates while the milestone has no tasks</t>
        </is>
      </c>
      <c r="H71" s="28" t="inlineStr">
        <is>
          <t>OK</t>
        </is>
      </c>
      <c r="I71" s="22" t="inlineStr">
        <is>
          <t>Once a milestone has tasks its dates follow its last task (the guide's own deadline rule).</t>
        </is>
      </c>
      <c r="J71" s="29" t="n"/>
      <c r="K71" s="30" t="n"/>
    </row>
    <row r="72">
      <c r="A72" s="28" t="n">
        <v>68</v>
      </c>
      <c r="B72" s="22" t="inlineStr">
        <is>
          <t>4. Project page: milestones, tasks and WBS</t>
        </is>
      </c>
      <c r="C72" s="28" t="n">
        <v>7</v>
      </c>
      <c r="D72" s="22" t="inlineStr">
        <is>
          <t>Bullet (cont.)</t>
        </is>
      </c>
      <c r="E72" s="22" t="inlineStr">
        <is>
          <t>A milestone that has been invoiced cannot be deleted.</t>
        </is>
      </c>
      <c r="F72" s="28" t="inlineStr">
        <is>
          <t>G4.06</t>
        </is>
      </c>
      <c r="G72" s="22" t="inlineStr">
        <is>
          <t>Projects &amp; WBS › All projects › project › WBS tab (/projects/:id/wbs); direct: Projects &amp; WBS › Milestones &amp; billing / WBS — Delete locked on invoiced milestones</t>
        </is>
      </c>
      <c r="H72" s="28" t="inlineStr">
        <is>
          <t>OK</t>
        </is>
      </c>
      <c r="I72" s="22" t="inlineStr"/>
      <c r="J72" s="29" t="n"/>
      <c r="K72" s="30" t="n"/>
    </row>
    <row r="73">
      <c r="A73" s="28" t="n">
        <v>69</v>
      </c>
      <c r="B73" s="22" t="inlineStr">
        <is>
          <t>4. Project page: milestones, tasks and WBS</t>
        </is>
      </c>
      <c r="C73" s="28" t="n">
        <v>7</v>
      </c>
      <c r="D73" s="22" t="inlineStr">
        <is>
          <t>Bullet (cont.)</t>
        </is>
      </c>
      <c r="E73" s="22" t="inlineStr">
        <is>
          <t>Deleting one moves its tasks to “No milestone”.</t>
        </is>
      </c>
      <c r="F73" s="28" t="inlineStr">
        <is>
          <t>G4.06</t>
        </is>
      </c>
      <c r="G73" s="22" t="inlineStr">
        <is>
          <t>Projects &amp; WBS › All projects › project › WBS tab (/projects/:id/wbs); direct: Projects &amp; WBS › Milestones &amp; billing / WBS — Delete moves tasks to the 'No milestone' group</t>
        </is>
      </c>
      <c r="H73" s="28" t="inlineStr">
        <is>
          <t>OK</t>
        </is>
      </c>
      <c r="I73" s="22" t="inlineStr"/>
      <c r="J73" s="29" t="n"/>
      <c r="K73" s="30" t="n"/>
    </row>
    <row r="74">
      <c r="A74" s="28" t="n">
        <v>70</v>
      </c>
      <c r="B74" s="22" t="inlineStr">
        <is>
          <t>4. Project page: milestones, tasks and WBS</t>
        </is>
      </c>
      <c r="C74" s="28" t="n">
        <v>7</v>
      </c>
      <c r="D74" s="22" t="inlineStr">
        <is>
          <t>Bullet</t>
        </is>
      </c>
      <c r="E74" s="22" t="inlineStr">
        <is>
          <t>Auto-cleanup: a milestone with no tasks for 7 days is removed automatically, unless it has been invoiced.</t>
        </is>
      </c>
      <c r="F74" s="28" t="inlineStr">
        <is>
          <t>G4.07</t>
        </is>
      </c>
      <c r="G74" s="22" t="inlineStr">
        <is>
          <t>Projects &amp; WBS › All projects › project › WBS tab (/projects/:id/wbs); direct: Projects &amp; WBS › Milestones &amp; billing / WBS — 'no tasks: removed {date}' on empty milestones; auto-removed after 7 days unless invoiced</t>
        </is>
      </c>
      <c r="H74" s="28" t="inlineStr">
        <is>
          <t>OK</t>
        </is>
      </c>
      <c r="I74" s="22" t="inlineStr"/>
      <c r="J74" s="29" t="n"/>
      <c r="K74" s="30" t="n"/>
    </row>
    <row r="75">
      <c r="A75" s="28" t="n">
        <v>71</v>
      </c>
      <c r="B75" s="22" t="inlineStr">
        <is>
          <t>4. Project page: milestones, tasks and WBS</t>
        </is>
      </c>
      <c r="C75" s="28" t="n">
        <v>7</v>
      </c>
      <c r="D75" s="22" t="inlineStr">
        <is>
          <t>Bullet</t>
        </is>
      </c>
      <c r="E75" s="22" t="inlineStr">
        <is>
          <t>Add milestone: type a name and optional billing amount at the bottom.</t>
        </is>
      </c>
      <c r="F75" s="28" t="inlineStr">
        <is>
          <t>G4.08</t>
        </is>
      </c>
      <c r="G75" s="22" t="inlineStr">
        <is>
          <t>Projects &amp; WBS › All projects › project › WBS tab (/projects/:id/wbs); direct: Projects &amp; WBS › Milestones &amp; billing / WBS — inline 'Add milestone' row (name + optional billing amount)</t>
        </is>
      </c>
      <c r="H75" s="28" t="inlineStr">
        <is>
          <t>OK</t>
        </is>
      </c>
      <c r="I75" s="22" t="inlineStr"/>
      <c r="J75" s="29" t="n"/>
      <c r="K75" s="30" t="n"/>
    </row>
    <row r="76">
      <c r="A76" s="28" t="n">
        <v>72</v>
      </c>
      <c r="B76" s="22" t="inlineStr">
        <is>
          <t>4. Project page: milestones, tasks and WBS</t>
        </is>
      </c>
      <c r="C76" s="28" t="n">
        <v>8</v>
      </c>
      <c r="D76" s="22" t="inlineStr">
        <is>
          <t>Screenshot caption</t>
        </is>
      </c>
      <c r="E76" s="22" t="inlineStr">
        <is>
          <t>Work breakdown structure: tasks grouped by milestone, with owner, effort, dates and a + Task button per milestone</t>
        </is>
      </c>
      <c r="F76" s="28" t="inlineStr">
        <is>
          <t>G4.09</t>
        </is>
      </c>
      <c r="G76" s="22" t="inlineStr">
        <is>
          <t>Projects &amp; WBS › All projects › project › WBS tab (/projects/:id/wbs); direct: Projects &amp; WBS › Milestones &amp; billing / WBS — Work breakdown structure with '+ Task' per milestone</t>
        </is>
      </c>
      <c r="H76" s="28" t="inlineStr">
        <is>
          <t>OK</t>
        </is>
      </c>
      <c r="I76" s="22" t="inlineStr">
        <is>
          <t>Screenshot 007.</t>
        </is>
      </c>
      <c r="J76" s="29" t="n"/>
      <c r="K76" s="30" t="n"/>
    </row>
    <row r="77">
      <c r="A77" s="28" t="n">
        <v>73</v>
      </c>
      <c r="B77" s="22" t="inlineStr">
        <is>
          <t>4. Project page: milestones, tasks and WBS</t>
        </is>
      </c>
      <c r="C77" s="28" t="n">
        <v>8</v>
      </c>
      <c r="D77" s="22" t="inlineStr">
        <is>
          <t>Sentence</t>
        </is>
      </c>
      <c r="E77" s="22" t="inlineStr">
        <is>
          <t>The Work breakdown structure lists every task under its milestone with its number, owner, effort (estimated vs actual hours), start and planned end, and float (spare days before it delays the project).</t>
        </is>
      </c>
      <c r="F77" s="28" t="inlineStr">
        <is>
          <t>G4.09</t>
        </is>
      </c>
      <c r="G77" s="22" t="inlineStr">
        <is>
          <t>Projects &amp; WBS › All projects › project › WBS tab (/projects/:id/wbs); direct: Projects &amp; WBS › Milestones &amp; billing / WBS — columns WBS no., Task, Owner, Effort est/actual, Start, Target end, End, Float to milestone with 'project: Nd' underneath</t>
        </is>
      </c>
      <c r="H77" s="28" t="inlineStr">
        <is>
          <t>OK</t>
        </is>
      </c>
      <c r="I77" s="22" t="inlineStr">
        <is>
          <t>v6: float cell now also shows 'project: Nd' = working days the task can slip before it delays the project end (the guide's definition); column note explains both.</t>
        </is>
      </c>
      <c r="J77" s="29" t="n"/>
      <c r="K77" s="30" t="n"/>
    </row>
    <row r="78">
      <c r="A78" s="28" t="n">
        <v>74</v>
      </c>
      <c r="B78" s="22" t="inlineStr">
        <is>
          <t>4. Project page: milestones, tasks and WBS</t>
        </is>
      </c>
      <c r="C78" s="28" t="n">
        <v>8</v>
      </c>
      <c r="D78" s="22" t="inlineStr">
        <is>
          <t>Sentence</t>
        </is>
      </c>
      <c r="E78" s="22" t="inlineStr">
        <is>
          <t>+ Task on each milestone adds a task straight into it.</t>
        </is>
      </c>
      <c r="F78" s="28" t="inlineStr">
        <is>
          <t>G4.09</t>
        </is>
      </c>
      <c r="G78" s="22" t="inlineStr">
        <is>
          <t>Projects &amp; WBS › All projects › project › WBS tab (/projects/:id/wbs); direct: Projects &amp; WBS › Milestones &amp; billing / WBS — '+ Task' button on each milestone row</t>
        </is>
      </c>
      <c r="H78" s="28" t="inlineStr">
        <is>
          <t>OK</t>
        </is>
      </c>
      <c r="I78" s="22" t="inlineStr"/>
      <c r="J78" s="29" t="n"/>
      <c r="K78" s="30" t="n"/>
    </row>
    <row r="79">
      <c r="A79" s="28" t="n">
        <v>75</v>
      </c>
      <c r="B79" s="22" t="inlineStr">
        <is>
          <t>4. Project page: milestones, tasks and WBS</t>
        </is>
      </c>
      <c r="C79" s="28" t="n">
        <v>8</v>
      </c>
      <c r="D79" s="22" t="inlineStr">
        <is>
          <t>Sentence</t>
        </is>
      </c>
      <c r="E79" s="22" t="inlineStr">
        <is>
          <t>WBS import: instead of typing, paste rows from a spreadsheet or upload a CSV with the columns Milestone, Task, Owner, Estimated hours, Start, End, Complexity, Depends on, Milestone billing.</t>
        </is>
      </c>
      <c r="F79" s="28" t="inlineStr">
        <is>
          <t>G4.10</t>
        </is>
      </c>
      <c r="G79" s="22" t="inlineStr">
        <is>
          <t>Projects &amp; WBS › Import WBS (/delivery/import) or project › Import WBS (/projects/:id/import) — paste or CSV with the 9 columns</t>
        </is>
      </c>
      <c r="H79" s="28" t="inlineStr">
        <is>
          <t>OK</t>
        </is>
      </c>
      <c r="I79" s="22" t="inlineStr"/>
      <c r="J79" s="29" t="n"/>
      <c r="K79" s="30" t="n"/>
    </row>
    <row r="80">
      <c r="A80" s="28" t="n">
        <v>76</v>
      </c>
      <c r="B80" s="22" t="inlineStr">
        <is>
          <t>4. Project page: milestones, tasks and WBS</t>
        </is>
      </c>
      <c r="C80" s="28" t="n">
        <v>8</v>
      </c>
      <c r="D80" s="22" t="inlineStr">
        <is>
          <t>Sentence</t>
        </is>
      </c>
      <c r="E80" s="22" t="inlineStr">
        <is>
          <t>Download template gives the exact format.</t>
        </is>
      </c>
      <c r="F80" s="28" t="inlineStr">
        <is>
          <t>G4.10</t>
        </is>
      </c>
      <c r="G80" s="22" t="inlineStr">
        <is>
          <t>Import WBS — 'Download template' (wbs-template.csv)</t>
        </is>
      </c>
      <c r="H80" s="28" t="inlineStr">
        <is>
          <t>OK</t>
        </is>
      </c>
      <c r="I80" s="22" t="inlineStr"/>
      <c r="J80" s="29" t="n"/>
      <c r="K80" s="30" t="n"/>
    </row>
    <row r="81">
      <c r="A81" s="28" t="n">
        <v>77</v>
      </c>
      <c r="B81" s="22" t="inlineStr">
        <is>
          <t>4. Project page: milestones, tasks and WBS</t>
        </is>
      </c>
      <c r="C81" s="28" t="n">
        <v>8</v>
      </c>
      <c r="D81" s="22" t="inlineStr">
        <is>
          <t>Sentence</t>
        </is>
      </c>
      <c r="E81" s="22" t="inlineStr">
        <is>
          <t>Preview shows every row and flags errors (unknown owner, bad date, unknown dependency) before anything is saved; the import then saves all rows or none.</t>
        </is>
      </c>
      <c r="F81" s="28" t="inlineStr">
        <is>
          <t>G4.10</t>
        </is>
      </c>
      <c r="G81" s="22" t="inlineStr">
        <is>
          <t>Import WBS — preview with row errors (unknown owner, bad date, unknown dependency); saves all or none</t>
        </is>
      </c>
      <c r="H81" s="28" t="inlineStr">
        <is>
          <t>OK</t>
        </is>
      </c>
      <c r="I81" s="22" t="inlineStr"/>
      <c r="J81" s="29" t="n"/>
      <c r="K81" s="30" t="n"/>
    </row>
    <row r="82">
      <c r="A82" s="31" t="n">
        <v>78</v>
      </c>
      <c r="B82" s="32" t="inlineStr">
        <is>
          <t>5. Schedule, critical path and change requests</t>
        </is>
      </c>
      <c r="C82" s="31" t="n">
        <v>9</v>
      </c>
      <c r="D82" s="32" t="inlineStr">
        <is>
          <t>Heading</t>
        </is>
      </c>
      <c r="E82" s="32" t="inlineStr">
        <is>
          <t>5. Schedule, critical path and change requests</t>
        </is>
      </c>
      <c r="F82" s="31" t="inlineStr">
        <is>
          <t>G5.01–G5.04</t>
        </is>
      </c>
      <c r="G82" s="32" t="inlineStr">
        <is>
          <t>Projects &amp; WBS › All projects › project › Schedule tab (/projects/:id/schedule); direct: Projects &amp; WBS › Schedule &amp; critical path; Projects &amp; WBS › All projects › project › Changes tab (/projects/:id/changes); direct: Projects &amp; WBS › Change requests</t>
        </is>
      </c>
      <c r="H82" s="31" t="inlineStr">
        <is>
          <t>OK</t>
        </is>
      </c>
      <c r="I82" s="32" t="inlineStr"/>
      <c r="J82" s="33" t="n"/>
      <c r="K82" s="34" t="n"/>
    </row>
    <row r="83">
      <c r="A83" s="28" t="n">
        <v>79</v>
      </c>
      <c r="B83" s="22" t="inlineStr">
        <is>
          <t>5. Schedule, critical path and change requests</t>
        </is>
      </c>
      <c r="C83" s="28" t="n">
        <v>9</v>
      </c>
      <c r="D83" s="22" t="inlineStr">
        <is>
          <t>Screenshot caption</t>
        </is>
      </c>
      <c r="E83" s="22" t="inlineStr">
        <is>
          <t>Schedule: a Gantt chart of tasks by milestone, with today’s line, the baseline and critical dates</t>
        </is>
      </c>
      <c r="F83" s="28" t="inlineStr">
        <is>
          <t>G5.01</t>
        </is>
      </c>
      <c r="G83" s="22" t="inlineStr">
        <is>
          <t>Projects &amp; WBS › All projects › project › Schedule tab (/projects/:id/schedule); direct: Projects &amp; WBS › Schedule &amp; critical path — Gantt</t>
        </is>
      </c>
      <c r="H83" s="28" t="inlineStr">
        <is>
          <t>OK</t>
        </is>
      </c>
      <c r="I83" s="22" t="inlineStr">
        <is>
          <t>Screenshot 008.</t>
        </is>
      </c>
      <c r="J83" s="29" t="n"/>
      <c r="K83" s="30" t="n"/>
    </row>
    <row r="84">
      <c r="A84" s="28" t="n">
        <v>80</v>
      </c>
      <c r="B84" s="22" t="inlineStr">
        <is>
          <t>5. Schedule, critical path and change requests</t>
        </is>
      </c>
      <c r="C84" s="28" t="n">
        <v>9</v>
      </c>
      <c r="D84" s="22" t="inlineStr">
        <is>
          <t>Sentence</t>
        </is>
      </c>
      <c r="E84" s="22" t="inlineStr">
        <is>
          <t>The Schedule is a Gantt chart: one bar per task, grouped by milestone, placed by date.</t>
        </is>
      </c>
      <c r="F84" s="28" t="inlineStr">
        <is>
          <t>G5.01</t>
        </is>
      </c>
      <c r="G84" s="22" t="inlineStr">
        <is>
          <t>Projects &amp; WBS › All projects › project › Schedule tab (/projects/:id/schedule); direct: Projects &amp; WBS › Schedule &amp; critical path — one bar per task, grouped by milestone</t>
        </is>
      </c>
      <c r="H84" s="28" t="inlineStr">
        <is>
          <t>OK</t>
        </is>
      </c>
      <c r="I84" s="22" t="inlineStr"/>
      <c r="J84" s="29" t="n"/>
      <c r="K84" s="30" t="n"/>
    </row>
    <row r="85">
      <c r="A85" s="28" t="n">
        <v>81</v>
      </c>
      <c r="B85" s="22" t="inlineStr">
        <is>
          <t>5. Schedule, critical path and change requests</t>
        </is>
      </c>
      <c r="C85" s="28" t="n">
        <v>9</v>
      </c>
      <c r="D85" s="22" t="inlineStr">
        <is>
          <t>Sentence</t>
        </is>
      </c>
      <c r="E85" s="22" t="inlineStr">
        <is>
          <t>Critical tasks are red; milestones are marked on their dates; the dashed line is today.</t>
        </is>
      </c>
      <c r="F85" s="28" t="inlineStr">
        <is>
          <t>G5.01</t>
        </is>
      </c>
      <c r="G85" s="22" t="inlineStr">
        <is>
          <t>Projects &amp; WBS › All projects › project › Schedule tab (/projects/:id/schedule); direct: Projects &amp; WBS › Schedule &amp; critical path — critical bars red, milestone diamonds, dashed today line, baseline</t>
        </is>
      </c>
      <c r="H85" s="28" t="inlineStr">
        <is>
          <t>OK</t>
        </is>
      </c>
      <c r="I85" s="22" t="inlineStr"/>
      <c r="J85" s="29" t="n"/>
      <c r="K85" s="30" t="n"/>
    </row>
    <row r="86">
      <c r="A86" s="28" t="n">
        <v>82</v>
      </c>
      <c r="B86" s="22" t="inlineStr">
        <is>
          <t>5. Schedule, critical path and change requests</t>
        </is>
      </c>
      <c r="C86" s="28" t="n">
        <v>9</v>
      </c>
      <c r="D86" s="22" t="inlineStr">
        <is>
          <t>Sentence</t>
        </is>
      </c>
      <c r="E86" s="22" t="inlineStr">
        <is>
          <t>The critical path is the longest chain of dependent tasks to the project end: any delay on it delays the whole project, so those tasks get the most attention.</t>
        </is>
      </c>
      <c r="F86" s="28" t="inlineStr">
        <is>
          <t>G5.02</t>
        </is>
      </c>
      <c r="G86" s="22" t="inlineStr">
        <is>
          <t>Projects &amp; WBS › All projects › project › Schedule tab (/projects/:id/schedule); direct: Projects &amp; WBS › Schedule &amp; critical path — 'Critical path: 3.2 › 4.1 › … Ends {date}'</t>
        </is>
      </c>
      <c r="H86" s="28" t="inlineStr">
        <is>
          <t>OK</t>
        </is>
      </c>
      <c r="I86" s="22" t="inlineStr">
        <is>
          <t>Rules › Critical path now says 'to the project end'.</t>
        </is>
      </c>
      <c r="J86" s="29" t="n"/>
      <c r="K86" s="30" t="n"/>
    </row>
    <row r="87">
      <c r="A87" s="28" t="n">
        <v>83</v>
      </c>
      <c r="B87" s="22" t="inlineStr">
        <is>
          <t>5. Schedule, critical path and change requests</t>
        </is>
      </c>
      <c r="C87" s="28" t="n">
        <v>10</v>
      </c>
      <c r="D87" s="22" t="inlineStr">
        <is>
          <t>Screenshot caption</t>
        </is>
      </c>
      <c r="E87" s="22" t="inlineStr">
        <is>
          <t>Critical path and breach risks, with actions to update progress, flag, reassign or comment</t>
        </is>
      </c>
      <c r="F87" s="28" t="inlineStr">
        <is>
          <t>G5.03</t>
        </is>
      </c>
      <c r="G87" s="22" t="inlineStr">
        <is>
          <t>Projects &amp; WBS › All projects › project › Schedule tab (/projects/:id/schedule); direct: Projects &amp; WBS › Schedule &amp; critical path — 'Critical path and breach risks'</t>
        </is>
      </c>
      <c r="H87" s="28" t="inlineStr">
        <is>
          <t>OK</t>
        </is>
      </c>
      <c r="I87" s="22" t="inlineStr">
        <is>
          <t>Screenshot 009.</t>
        </is>
      </c>
      <c r="J87" s="29" t="n"/>
      <c r="K87" s="30" t="n"/>
    </row>
    <row r="88">
      <c r="A88" s="28" t="n">
        <v>84</v>
      </c>
      <c r="B88" s="22" t="inlineStr">
        <is>
          <t>5. Schedule, critical path and change requests</t>
        </is>
      </c>
      <c r="C88" s="28" t="n">
        <v>10</v>
      </c>
      <c r="D88" s="22" t="inlineStr">
        <is>
          <t>Sentence</t>
        </is>
      </c>
      <c r="E88" s="22" t="inlineStr">
        <is>
          <t>The project manager’s Critical path and breach risks list shows each at-risk task, why it is at risk (waiting for another task, falling behind its estimate), and one-click actions: update progress, flag, reassign, or open the thread.</t>
        </is>
      </c>
      <c r="F88" s="28" t="inlineStr">
        <is>
          <t>G5.03</t>
        </is>
      </c>
      <c r="G88" s="22" t="inlineStr">
        <is>
          <t>Projects &amp; WBS › All projects › project › Schedule tab (/projects/:id/schedule); direct: Projects &amp; WBS › Schedule &amp; critical path and Dashboard › Project manager — risk list: waiting on / blocks with owners, forecast vs target; Update progress, Flag slip, Reassign, Details and comments (n)</t>
        </is>
      </c>
      <c r="H88" s="28" t="inlineStr">
        <is>
          <t>OK — improved</t>
        </is>
      </c>
      <c r="I88" s="22" t="inlineStr">
        <is>
          <t>v6: 'Breached' count is the same in the KPI strip and the list. Extra 'Remove' becomes Cancel when hours are logged (intentional).</t>
        </is>
      </c>
      <c r="J88" s="29" t="n"/>
      <c r="K88" s="30" t="n"/>
    </row>
    <row r="89">
      <c r="A89" s="28" t="n">
        <v>85</v>
      </c>
      <c r="B89" s="22" t="inlineStr">
        <is>
          <t>5. Schedule, critical path and change requests</t>
        </is>
      </c>
      <c r="C89" s="28" t="n">
        <v>11</v>
      </c>
      <c r="D89" s="22" t="inlineStr">
        <is>
          <t>Screenshot caption</t>
        </is>
      </c>
      <c r="E89" s="22" t="inlineStr">
        <is>
          <t>Change requests: raise, approve or reject, with effort and value</t>
        </is>
      </c>
      <c r="F89" s="28" t="inlineStr">
        <is>
          <t>G5.04</t>
        </is>
      </c>
      <c r="G89" s="22" t="inlineStr">
        <is>
          <t>Projects &amp; WBS › All projects › project › Changes tab (/projects/:id/changes); direct: Projects &amp; WBS › Change requests</t>
        </is>
      </c>
      <c r="H89" s="28" t="inlineStr">
        <is>
          <t>OK</t>
        </is>
      </c>
      <c r="I89" s="22" t="inlineStr">
        <is>
          <t>Screenshot 010.</t>
        </is>
      </c>
      <c r="J89" s="29" t="n"/>
      <c r="K89" s="30" t="n"/>
    </row>
    <row r="90">
      <c r="A90" s="28" t="n">
        <v>86</v>
      </c>
      <c r="B90" s="22" t="inlineStr">
        <is>
          <t>5. Schedule, critical path and change requests</t>
        </is>
      </c>
      <c r="C90" s="28" t="n">
        <v>11</v>
      </c>
      <c r="D90" s="22" t="inlineStr">
        <is>
          <t>Sentence</t>
        </is>
      </c>
      <c r="E90" s="22" t="inlineStr">
        <is>
          <t>Change requests record anything the client adds after signing: title, effort in hours and value.</t>
        </is>
      </c>
      <c r="F90" s="28" t="inlineStr">
        <is>
          <t>G5.04</t>
        </is>
      </c>
      <c r="G90" s="22" t="inlineStr">
        <is>
          <t>Projects &amp; WBS › All projects › project › Changes tab (/projects/:id/changes); direct: Projects &amp; WBS › Change requests — Raise change request: title, effort hours, billable value (+ requested by, impact days, note, proposed tasks)</t>
        </is>
      </c>
      <c r="H90" s="28" t="inlineStr">
        <is>
          <t>OK</t>
        </is>
      </c>
      <c r="I90" s="22" t="inlineStr"/>
      <c r="J90" s="29" t="n"/>
      <c r="K90" s="30" t="n"/>
    </row>
    <row r="91">
      <c r="A91" s="28" t="n">
        <v>87</v>
      </c>
      <c r="B91" s="22" t="inlineStr">
        <is>
          <t>5. Schedule, critical path and change requests</t>
        </is>
      </c>
      <c r="C91" s="28" t="n">
        <v>11</v>
      </c>
      <c r="D91" s="22" t="inlineStr">
        <is>
          <t>Sentence</t>
        </is>
      </c>
      <c r="E91" s="22" t="inlineStr">
        <is>
          <t>Approving one adds its value to the contract and can add its tasks to the WBS.</t>
        </is>
      </c>
      <c r="F91" s="28" t="inlineStr">
        <is>
          <t>G5.04</t>
        </is>
      </c>
      <c r="G91" s="22" t="inlineStr">
        <is>
          <t>Projects &amp; WBS › All projects › project › Changes tab (/projects/:id/changes); direct: Projects &amp; WBS › Change requests — Approve (contract goes from X to Y); 'Add its tasks to the WBS'</t>
        </is>
      </c>
      <c r="H91" s="28" t="inlineStr">
        <is>
          <t>OK — improved</t>
        </is>
      </c>
      <c r="I91" s="22" t="inlineStr">
        <is>
          <t>v6: added tasks start today (or a chosen start) and set the new milestone's deadline.</t>
        </is>
      </c>
      <c r="J91" s="29" t="n"/>
      <c r="K91" s="30" t="n"/>
    </row>
    <row r="92">
      <c r="A92" s="28" t="n">
        <v>88</v>
      </c>
      <c r="B92" s="22" t="inlineStr">
        <is>
          <t>5. Schedule, critical path and change requests</t>
        </is>
      </c>
      <c r="C92" s="28" t="n">
        <v>11</v>
      </c>
      <c r="D92" s="22" t="inlineStr">
        <is>
          <t>Sentence</t>
        </is>
      </c>
      <c r="E92" s="22" t="inlineStr">
        <is>
          <t>Nothing enters the plan without an approved change request, which protects the margin.</t>
        </is>
      </c>
      <c r="F92" s="28" t="inlineStr">
        <is>
          <t>G5.04</t>
        </is>
      </c>
      <c r="G92" s="22" t="inlineStr">
        <is>
          <t>Projects &amp; WBS › All projects › project › Changes tab (/projects/:id/changes); direct: Projects &amp; WBS › Change requests — proposed tasks enter the WBS only after approval</t>
        </is>
      </c>
      <c r="H92" s="28" t="inlineStr">
        <is>
          <t>OK</t>
        </is>
      </c>
      <c r="I92" s="22" t="inlineStr"/>
      <c r="J92" s="29" t="n"/>
      <c r="K92" s="30" t="n"/>
    </row>
    <row r="93">
      <c r="A93" s="31" t="n">
        <v>89</v>
      </c>
      <c r="B93" s="32" t="inlineStr">
        <is>
          <t>6. Costing, allocation and margins</t>
        </is>
      </c>
      <c r="C93" s="31" t="n">
        <v>11</v>
      </c>
      <c r="D93" s="32" t="inlineStr">
        <is>
          <t>Heading</t>
        </is>
      </c>
      <c r="E93" s="32" t="inlineStr">
        <is>
          <t>6. Costing, allocation and margins</t>
        </is>
      </c>
      <c r="F93" s="31" t="inlineStr">
        <is>
          <t>G6.01–G6.11</t>
        </is>
      </c>
      <c r="G93" s="32" t="inlineStr">
        <is>
          <t>Projects &amp; WBS › All projects › project › Costing &amp; margin tab (/projects/:id/costing); direct: Projects &amp; WBS › Costing &amp; margin</t>
        </is>
      </c>
      <c r="H93" s="31" t="inlineStr">
        <is>
          <t>OK</t>
        </is>
      </c>
      <c r="I93" s="32" t="inlineStr">
        <is>
          <t>v6: tab renamed from 'Money' to 'Costing &amp; margin'; /money and /margins redirect.</t>
        </is>
      </c>
      <c r="J93" s="33" t="n"/>
      <c r="K93" s="34" t="n"/>
    </row>
    <row r="94">
      <c r="A94" s="28" t="n">
        <v>90</v>
      </c>
      <c r="B94" s="22" t="inlineStr">
        <is>
          <t>6. Costing, allocation and margins</t>
        </is>
      </c>
      <c r="C94" s="28" t="n">
        <v>11</v>
      </c>
      <c r="D94" s="22" t="inlineStr">
        <is>
          <t>Sentence</t>
        </is>
      </c>
      <c r="E94" s="22" t="inlineStr">
        <is>
          <t>Every project has a cost as well as a price.</t>
        </is>
      </c>
      <c r="F94" s="28" t="inlineStr">
        <is>
          <t>G6.03</t>
        </is>
      </c>
      <c r="G94" s="22" t="inlineStr">
        <is>
          <t>Projects &amp; WBS › All projects › project › Costing &amp; margin tab (/projects/:id/costing); direct: Projects &amp; WBS › Costing &amp; margin — 'Costing and margin': Revenue (price) vs Cost</t>
        </is>
      </c>
      <c r="H94" s="28" t="inlineStr">
        <is>
          <t>OK</t>
        </is>
      </c>
      <c r="I94" s="22" t="inlineStr"/>
      <c r="J94" s="29" t="n"/>
      <c r="K94" s="30" t="n"/>
    </row>
    <row r="95">
      <c r="A95" s="28" t="n">
        <v>91</v>
      </c>
      <c r="B95" s="22" t="inlineStr">
        <is>
          <t>6. Costing, allocation and margins</t>
        </is>
      </c>
      <c r="C95" s="28" t="n">
        <v>11</v>
      </c>
      <c r="D95" s="22" t="inlineStr">
        <is>
          <t>Sentence</t>
        </is>
      </c>
      <c r="E95" s="22" t="inlineStr">
        <is>
          <t>The board works out cost from the people on it and their hourly rate.</t>
        </is>
      </c>
      <c r="F95" s="28" t="inlineStr">
        <is>
          <t>G6.02, G6.08</t>
        </is>
      </c>
      <c r="G95" s="22" t="inlineStr">
        <is>
          <t>Projects &amp; WBS › All projects › project › Costing &amp; margin tab (/projects/:id/costing); direct: Projects &amp; WBS › Costing &amp; margin — cost = allocated hours × cost per hour; actual = approved hours × cost per hour</t>
        </is>
      </c>
      <c r="H95" s="28" t="inlineStr">
        <is>
          <t>OK — improved</t>
        </is>
      </c>
      <c r="I95" s="22" t="inlineStr">
        <is>
          <t>v6: cost loading removed; cost comes only from people and their hourly rate.</t>
        </is>
      </c>
      <c r="J95" s="29" t="n"/>
      <c r="K95" s="30" t="n"/>
    </row>
    <row r="96">
      <c r="A96" s="28" t="n">
        <v>92</v>
      </c>
      <c r="B96" s="22" t="inlineStr">
        <is>
          <t>6. Costing, allocation and margins</t>
        </is>
      </c>
      <c r="C96" s="28" t="n">
        <v>12</v>
      </c>
      <c r="D96" s="22" t="inlineStr">
        <is>
          <t>Screenshot caption</t>
        </is>
      </c>
      <c r="E96" s="22" t="inlineStr">
        <is>
          <t>Costing and margin: planned, projected and actual; what moved the margin; milestone variance; resources allocated vs logged</t>
        </is>
      </c>
      <c r="F96" s="28" t="inlineStr">
        <is>
          <t>G6.03–G6.08</t>
        </is>
      </c>
      <c r="G96" s="22" t="inlineStr">
        <is>
          <t>Projects &amp; WBS › All projects › project › Costing &amp; margin tab (/projects/:id/costing); direct: Projects &amp; WBS › Costing &amp; margin — sections in guide order</t>
        </is>
      </c>
      <c r="H96" s="28" t="inlineStr">
        <is>
          <t>OK</t>
        </is>
      </c>
      <c r="I96" s="22" t="inlineStr">
        <is>
          <t>Screenshot 011.</t>
        </is>
      </c>
      <c r="J96" s="29" t="n"/>
      <c r="K96" s="30" t="n"/>
    </row>
    <row r="97">
      <c r="A97" s="28" t="n">
        <v>93</v>
      </c>
      <c r="B97" s="22" t="inlineStr">
        <is>
          <t>6. Costing, allocation and margins</t>
        </is>
      </c>
      <c r="C97" s="28" t="n">
        <v>12</v>
      </c>
      <c r="D97" s="22" t="inlineStr">
        <is>
          <t>Sentence</t>
        </is>
      </c>
      <c r="E97" s="22" t="inlineStr">
        <is>
          <t>Resource allocation by milestone.</t>
        </is>
      </c>
      <c r="F97" s="28" t="inlineStr">
        <is>
          <t>G6.01</t>
        </is>
      </c>
      <c r="G97" s="22" t="inlineStr">
        <is>
          <t>Projects &amp; WBS › All projects › project › Costing &amp; margin tab (/projects/:id/costing); direct: Projects &amp; WBS › Costing &amp; margin — 'Resource allocation by milestone' (also Team &amp; allocation tab)</t>
        </is>
      </c>
      <c r="H97" s="28" t="inlineStr">
        <is>
          <t>OK — improved</t>
        </is>
      </c>
      <c r="I97" s="22" t="inlineStr">
        <is>
          <t>v6: section added to the Costing &amp; margin tab.</t>
        </is>
      </c>
      <c r="J97" s="29" t="n"/>
      <c r="K97" s="30" t="n"/>
    </row>
    <row r="98">
      <c r="A98" s="28" t="n">
        <v>94</v>
      </c>
      <c r="B98" s="22" t="inlineStr">
        <is>
          <t>6. Costing, allocation and margins</t>
        </is>
      </c>
      <c r="C98" s="28" t="n">
        <v>12</v>
      </c>
      <c r="D98" s="22" t="inlineStr">
        <is>
          <t>Sentence</t>
        </is>
      </c>
      <c r="E98" s="22" t="inlineStr">
        <is>
          <t>Each resource row names a person, the milestone (M1, M2, shown by code), the % of their time, and a from and to date.</t>
        </is>
      </c>
      <c r="F98" s="28" t="inlineStr">
        <is>
          <t>G6.01</t>
        </is>
      </c>
      <c r="G98" s="22" t="inlineStr">
        <is>
          <t>Projects &amp; WBS › All projects › project › Costing &amp; margin tab (/projects/:id/costing); direct: Projects &amp; WBS › Costing &amp; margin — allocation rows: Person, Milestone * (M1 code + name), % of time *, From *, To *, working days, hours, cost</t>
        </is>
      </c>
      <c r="H98" s="28" t="inlineStr">
        <is>
          <t>OK</t>
        </is>
      </c>
      <c r="I98" s="22" t="inlineStr"/>
      <c r="J98" s="29" t="n"/>
      <c r="K98" s="30" t="n"/>
    </row>
    <row r="99">
      <c r="A99" s="28" t="n">
        <v>95</v>
      </c>
      <c r="B99" s="22" t="inlineStr">
        <is>
          <t>6. Costing, allocation and margins</t>
        </is>
      </c>
      <c r="C99" s="28" t="n">
        <v>12</v>
      </c>
      <c r="D99" s="22" t="inlineStr">
        <is>
          <t>Sentence</t>
        </is>
      </c>
      <c r="E99" s="22" t="inlineStr">
        <is>
          <t>All four are required, so cost always lands on a milestone and a period.</t>
        </is>
      </c>
      <c r="F99" s="28" t="inlineStr">
        <is>
          <t>G6.01</t>
        </is>
      </c>
      <c r="G99" s="22" t="inlineStr">
        <is>
          <t>Projects &amp; WBS › All projects › project › Costing &amp; margin tab (/projects/:id/costing); direct: Projects &amp; WBS › Costing &amp; margin — allocation dialog: all four fields required ('Choose the milestone (M1, M2…)'); server 422 ALLOC_INVALID</t>
        </is>
      </c>
      <c r="H99" s="28" t="inlineStr">
        <is>
          <t>OK</t>
        </is>
      </c>
      <c r="I99" s="22" t="inlineStr">
        <is>
          <t>v6: the 'All milestones' option was removed to follow 'all four are required' (listed under intentional differences vs the earlier build).</t>
        </is>
      </c>
      <c r="J99" s="29" t="n"/>
      <c r="K99" s="30" t="n"/>
    </row>
    <row r="100">
      <c r="A100" s="28" t="n">
        <v>96</v>
      </c>
      <c r="B100" s="22" t="inlineStr">
        <is>
          <t>6. Costing, allocation and margins</t>
        </is>
      </c>
      <c r="C100" s="28" t="n">
        <v>13</v>
      </c>
      <c r="D100" s="22" t="inlineStr">
        <is>
          <t>Sentence</t>
        </is>
      </c>
      <c r="E100" s="22" t="inlineStr">
        <is>
          <t>Cost per hour = monthly salary (CTC) ÷ (working days in the month × minimum hours per day).</t>
        </is>
      </c>
      <c r="F100" s="28" t="inlineStr">
        <is>
          <t>G6.02</t>
        </is>
      </c>
      <c r="G100" s="22" t="inlineStr">
        <is>
          <t>Projects &amp; WBS › All projects › project › Costing &amp; margin tab (/projects/:id/costing); direct: Projects &amp; WBS › Costing &amp; margin — formula box under the allocation table; Admin › Team &amp; settings › Cost rates</t>
        </is>
      </c>
      <c r="H100" s="28" t="inlineStr">
        <is>
          <t>OK — improved</t>
        </is>
      </c>
      <c r="I100" s="22" t="inlineStr">
        <is>
          <t>v6: one formula everywhere: CTC ÷ (working days in the month × minimum hours).</t>
        </is>
      </c>
      <c r="J100" s="29" t="n"/>
      <c r="K100" s="30" t="n"/>
    </row>
    <row r="101">
      <c r="A101" s="28" t="n">
        <v>97</v>
      </c>
      <c r="B101" s="22" t="inlineStr">
        <is>
          <t>6. Costing, allocation and margins</t>
        </is>
      </c>
      <c r="C101" s="28" t="n">
        <v>13</v>
      </c>
      <c r="D101" s="22" t="inlineStr">
        <is>
          <t>Sentence</t>
        </is>
      </c>
      <c r="E101" s="22" t="inlineStr">
        <is>
          <t>Example: ₹60,000 ÷ (22 × 9) = ₹303 per hour.</t>
        </is>
      </c>
      <c r="F101" s="28" t="inlineStr">
        <is>
          <t>G6.02</t>
        </is>
      </c>
      <c r="G101" s="22" t="inlineStr">
        <is>
          <t>Projects &amp; WBS › All projects › project › Costing &amp; margin tab (/projects/:id/costing); direct: Projects &amp; WBS › Costing &amp; margin — example '₹60,000 ÷ (22 × 9) = ₹303' shown; also Rules › Cost per hour</t>
        </is>
      </c>
      <c r="H101" s="28" t="inlineStr">
        <is>
          <t>OK</t>
        </is>
      </c>
      <c r="I101" s="22" t="inlineStr"/>
      <c r="J101" s="29" t="n"/>
      <c r="K101" s="30" t="n"/>
    </row>
    <row r="102">
      <c r="A102" s="28" t="n">
        <v>98</v>
      </c>
      <c r="B102" s="22" t="inlineStr">
        <is>
          <t>6. Costing, allocation and margins</t>
        </is>
      </c>
      <c r="C102" s="28" t="n">
        <v>13</v>
      </c>
      <c r="D102" s="22" t="inlineStr">
        <is>
          <t>Sentence</t>
        </is>
      </c>
      <c r="E102" s="22" t="inlineStr">
        <is>
          <t>Three margins:</t>
        </is>
      </c>
      <c r="F102" s="28" t="inlineStr">
        <is>
          <t>G6.03</t>
        </is>
      </c>
      <c r="G102" s="22" t="inlineStr">
        <is>
          <t>Projects &amp; WBS › All projects › project › Costing &amp; margin tab (/projects/:id/costing); direct: Projects &amp; WBS › Costing &amp; margin — 'Three margins' table</t>
        </is>
      </c>
      <c r="H102" s="28" t="inlineStr">
        <is>
          <t>OK</t>
        </is>
      </c>
      <c r="I102" s="22" t="inlineStr"/>
      <c r="J102" s="29" t="n"/>
      <c r="K102" s="30" t="n"/>
    </row>
    <row r="103">
      <c r="A103" s="28" t="n">
        <v>99</v>
      </c>
      <c r="B103" s="22" t="inlineStr">
        <is>
          <t>6. Costing, allocation and margins</t>
        </is>
      </c>
      <c r="C103" s="28" t="n">
        <v>13</v>
      </c>
      <c r="D103" s="22" t="inlineStr">
        <is>
          <t>Table row</t>
        </is>
      </c>
      <c r="E103" s="22" t="inlineStr">
        <is>
          <t>Three margins table — columns: Margin | Revenue used | Cost used | Answers</t>
        </is>
      </c>
      <c r="F103" s="28" t="inlineStr">
        <is>
          <t>G6.03</t>
        </is>
      </c>
      <c r="G103" s="22" t="inlineStr">
        <is>
          <t>Projects &amp; WBS › All projects › project › Costing &amp; margin tab (/projects/:id/costing); direct: Projects &amp; WBS › Costing &amp; margin — 'Three margins' legend: Margin | Revenue used | Cost used | Answers</t>
        </is>
      </c>
      <c r="H103" s="28" t="inlineStr">
        <is>
          <t>OK</t>
        </is>
      </c>
      <c r="I103" s="22" t="inlineStr">
        <is>
          <t>Reproduced verbatim under the numbers.</t>
        </is>
      </c>
      <c r="J103" s="29" t="n"/>
      <c r="K103" s="30" t="n"/>
    </row>
    <row r="104">
      <c r="A104" s="28" t="n">
        <v>100</v>
      </c>
      <c r="B104" s="22" t="inlineStr">
        <is>
          <t>6. Costing, allocation and margins</t>
        </is>
      </c>
      <c r="C104" s="28" t="n">
        <v>13</v>
      </c>
      <c r="D104" s="22" t="inlineStr">
        <is>
          <t>Table row</t>
        </is>
      </c>
      <c r="E104" s="22" t="inlineStr">
        <is>
          <t>Planned | Contract value | Allocation and estimates | What did we expect to make?</t>
        </is>
      </c>
      <c r="F104" s="28" t="inlineStr">
        <is>
          <t>G6.03</t>
        </is>
      </c>
      <c r="G104" s="22" t="inlineStr">
        <is>
          <t>Projects &amp; WBS › All projects › project › Costing &amp; margin tab (/projects/:id/costing); direct: Projects &amp; WBS › Costing &amp; margin — Planned column: contract value vs allocation and estimates</t>
        </is>
      </c>
      <c r="H104" s="28" t="inlineStr">
        <is>
          <t>OK</t>
        </is>
      </c>
      <c r="I104" s="22" t="inlineStr"/>
      <c r="J104" s="29" t="n"/>
      <c r="K104" s="30" t="n"/>
    </row>
    <row r="105">
      <c r="A105" s="28" t="n">
        <v>101</v>
      </c>
      <c r="B105" s="22" t="inlineStr">
        <is>
          <t>6. Costing, allocation and margins</t>
        </is>
      </c>
      <c r="C105" s="28" t="n">
        <v>13</v>
      </c>
      <c r="D105" s="22" t="inlineStr">
        <is>
          <t>Table row</t>
        </is>
      </c>
      <c r="E105" s="22" t="inlineStr">
        <is>
          <t>Projected | Contract value | Actual so far + what’s left | Where are we heading?</t>
        </is>
      </c>
      <c r="F105" s="28" t="inlineStr">
        <is>
          <t>G6.03</t>
        </is>
      </c>
      <c r="G105" s="22" t="inlineStr">
        <is>
          <t>Projects &amp; WBS › All projects › project › Costing &amp; margin tab (/projects/:id/costing); direct: Projects &amp; WBS › Costing &amp; margin — Projected column: contract incl. approved CRs vs actual so far + what's left</t>
        </is>
      </c>
      <c r="H105" s="28" t="inlineStr">
        <is>
          <t>OK — improved</t>
        </is>
      </c>
      <c r="I105" s="22" t="inlineStr">
        <is>
          <t>v6: projected cost = logged hours + remaining allocation or estimate.</t>
        </is>
      </c>
      <c r="J105" s="29" t="n"/>
      <c r="K105" s="30" t="n"/>
    </row>
    <row r="106">
      <c r="A106" s="28" t="n">
        <v>102</v>
      </c>
      <c r="B106" s="22" t="inlineStr">
        <is>
          <t>6. Costing, allocation and margins</t>
        </is>
      </c>
      <c r="C106" s="28" t="n">
        <v>13</v>
      </c>
      <c r="D106" s="22" t="inlineStr">
        <is>
          <t>Table row</t>
        </is>
      </c>
      <c r="E106" s="22" t="inlineStr">
        <is>
          <t>Actual | Invoiced amount | Approved hours only | What have we really made?</t>
        </is>
      </c>
      <c r="F106" s="28" t="inlineStr">
        <is>
          <t>G6.03</t>
        </is>
      </c>
      <c r="G106" s="22" t="inlineStr">
        <is>
          <t>Projects &amp; WBS › All projects › project › Costing &amp; margin tab (/projects/:id/costing); direct: Projects &amp; WBS › Costing &amp; margin — Actual column: invoiced amount vs approved hours only</t>
        </is>
      </c>
      <c r="H106" s="28" t="inlineStr">
        <is>
          <t>OK — improved</t>
        </is>
      </c>
      <c r="I106" s="22" t="inlineStr">
        <is>
          <t>v6: was earned value; now invoiced vs approved hours as the guide says.</t>
        </is>
      </c>
      <c r="J106" s="29" t="n"/>
      <c r="K106" s="30" t="n"/>
    </row>
    <row r="107">
      <c r="A107" s="28" t="n">
        <v>103</v>
      </c>
      <c r="B107" s="22" t="inlineStr">
        <is>
          <t>6. Costing, allocation and margins</t>
        </is>
      </c>
      <c r="C107" s="28" t="n">
        <v>13</v>
      </c>
      <c r="D107" s="22" t="inlineStr">
        <is>
          <t>Sentence</t>
        </is>
      </c>
      <c r="E107" s="22" t="inlineStr">
        <is>
          <t>Margin vs markup.</t>
        </is>
      </c>
      <c r="F107" s="28" t="inlineStr">
        <is>
          <t>G6.04</t>
        </is>
      </c>
      <c r="G107" s="22" t="inlineStr">
        <is>
          <t>Projects &amp; WBS › All projects › project › Costing &amp; margin tab (/projects/:id/costing); direct: Projects &amp; WBS › Costing &amp; margin — 'Margin vs markup' section</t>
        </is>
      </c>
      <c r="H107" s="28" t="inlineStr">
        <is>
          <t>OK — improved</t>
        </is>
      </c>
      <c r="I107" s="22" t="inlineStr">
        <is>
          <t>v6: section added.</t>
        </is>
      </c>
      <c r="J107" s="29" t="n"/>
      <c r="K107" s="30" t="n"/>
    </row>
    <row r="108">
      <c r="A108" s="28" t="n">
        <v>104</v>
      </c>
      <c r="B108" s="22" t="inlineStr">
        <is>
          <t>6. Costing, allocation and margins</t>
        </is>
      </c>
      <c r="C108" s="28" t="n">
        <v>13</v>
      </c>
      <c r="D108" s="22" t="inlineStr">
        <is>
          <t>Sentence</t>
        </is>
      </c>
      <c r="E108" s="22" t="inlineStr">
        <is>
          <t>They are not the same number.</t>
        </is>
      </c>
      <c r="F108" s="28" t="inlineStr">
        <is>
          <t>G6.04</t>
        </is>
      </c>
      <c r="G108" s="22" t="inlineStr">
        <is>
          <t>Projects &amp; WBS › All projects › project › Costing &amp; margin tab (/projects/:id/costing); direct: Projects &amp; WBS › Costing &amp; margin — 'Margin vs markup' explanation text</t>
        </is>
      </c>
      <c r="H108" s="28" t="inlineStr">
        <is>
          <t>OK</t>
        </is>
      </c>
      <c r="I108" s="22" t="inlineStr"/>
      <c r="J108" s="29" t="n"/>
      <c r="K108" s="30" t="n"/>
    </row>
    <row r="109">
      <c r="A109" s="28" t="n">
        <v>105</v>
      </c>
      <c r="B109" s="22" t="inlineStr">
        <is>
          <t>6. Costing, allocation and margins</t>
        </is>
      </c>
      <c r="C109" s="28" t="n">
        <v>13</v>
      </c>
      <c r="D109" s="22" t="inlineStr">
        <is>
          <t>Sentence</t>
        </is>
      </c>
      <c r="E109" s="22" t="inlineStr">
        <is>
          <t>Margin = profit ÷ price; markup = profit ÷ cost.</t>
        </is>
      </c>
      <c r="F109" s="28" t="inlineStr">
        <is>
          <t>G6.04</t>
        </is>
      </c>
      <c r="G109" s="22" t="inlineStr">
        <is>
          <t>Projects &amp; WBS › All projects › project › Costing &amp; margin tab (/projects/:id/costing); direct: Projects &amp; WBS › Costing &amp; margin — margin and markup formulas shown</t>
        </is>
      </c>
      <c r="H109" s="28" t="inlineStr">
        <is>
          <t>OK</t>
        </is>
      </c>
      <c r="I109" s="22" t="inlineStr"/>
      <c r="J109" s="29" t="n"/>
      <c r="K109" s="30" t="n"/>
    </row>
    <row r="110">
      <c r="A110" s="28" t="n">
        <v>106</v>
      </c>
      <c r="B110" s="22" t="inlineStr">
        <is>
          <t>6. Costing, allocation and margins</t>
        </is>
      </c>
      <c r="C110" s="28" t="n">
        <v>13</v>
      </c>
      <c r="D110" s="22" t="inlineStr">
        <is>
          <t>Sentence</t>
        </is>
      </c>
      <c r="E110" s="22" t="inlineStr">
        <is>
          <t>If a job costs ₹1,00,000 and you charge ₹1,50,000, the markup is 50% but the margin is 33%.</t>
        </is>
      </c>
      <c r="F110" s="28" t="inlineStr">
        <is>
          <t>G6.04</t>
        </is>
      </c>
      <c r="G110" s="22" t="inlineStr">
        <is>
          <t>Projects &amp; WBS › All projects › project › Costing &amp; margin tab (/projects/:id/costing); direct: Projects &amp; WBS › Costing &amp; margin — ₹1,00,000 / ₹1,50,000 example (50% vs 33%)</t>
        </is>
      </c>
      <c r="H110" s="28" t="inlineStr">
        <is>
          <t>OK</t>
        </is>
      </c>
      <c r="I110" s="22" t="inlineStr"/>
      <c r="J110" s="29" t="n"/>
      <c r="K110" s="30" t="n"/>
    </row>
    <row r="111">
      <c r="A111" s="28" t="n">
        <v>107</v>
      </c>
      <c r="B111" s="22" t="inlineStr">
        <is>
          <t>6. Costing, allocation and margins</t>
        </is>
      </c>
      <c r="C111" s="28" t="n">
        <v>13</v>
      </c>
      <c r="D111" s="22" t="inlineStr">
        <is>
          <t>Sentence</t>
        </is>
      </c>
      <c r="E111" s="22" t="inlineStr">
        <is>
          <t>The board shows both side by side; decisions use margin.</t>
        </is>
      </c>
      <c r="F111" s="28" t="inlineStr">
        <is>
          <t>G6.04</t>
        </is>
      </c>
      <c r="G111" s="22" t="inlineStr">
        <is>
          <t>Projects &amp; WBS › All projects › project › Costing &amp; margin tab (/projects/:id/costing); direct: Projects &amp; WBS › Costing &amp; margin — margin and markup side by side for Planned / Projected / Actual; health and floor use margin</t>
        </is>
      </c>
      <c r="H111" s="28" t="inlineStr">
        <is>
          <t>OK</t>
        </is>
      </c>
      <c r="I111" s="22" t="inlineStr"/>
      <c r="J111" s="29" t="n"/>
      <c r="K111" s="30" t="n"/>
    </row>
    <row r="112">
      <c r="A112" s="28" t="n">
        <v>108</v>
      </c>
      <c r="B112" s="22" t="inlineStr">
        <is>
          <t>6. Costing, allocation and margins</t>
        </is>
      </c>
      <c r="C112" s="28" t="n">
        <v>13</v>
      </c>
      <c r="D112" s="22" t="inlineStr">
        <is>
          <t>Sentence</t>
        </is>
      </c>
      <c r="E112" s="22" t="inlineStr">
        <is>
          <t>Effort ratio = actual hours ÷ estimated hours.</t>
        </is>
      </c>
      <c r="F112" s="28" t="inlineStr">
        <is>
          <t>G6.05</t>
        </is>
      </c>
      <c r="G112" s="22" t="inlineStr">
        <is>
          <t>Projects &amp; WBS › All projects › project › Costing &amp; margin tab (/projects/:id/costing); direct: Projects &amp; WBS › Costing &amp; margin — 'Effort ratio' section</t>
        </is>
      </c>
      <c r="H112" s="28" t="inlineStr">
        <is>
          <t>OK — improved</t>
        </is>
      </c>
      <c r="I112" s="22" t="inlineStr">
        <is>
          <t>v6: was actual ÷ earned; now actual ÷ estimated hours.</t>
        </is>
      </c>
      <c r="J112" s="29" t="n"/>
      <c r="K112" s="30" t="n"/>
    </row>
    <row r="113">
      <c r="A113" s="28" t="n">
        <v>109</v>
      </c>
      <c r="B113" s="22" t="inlineStr">
        <is>
          <t>6. Costing, allocation and margins</t>
        </is>
      </c>
      <c r="C113" s="28" t="n">
        <v>13</v>
      </c>
      <c r="D113" s="22" t="inlineStr">
        <is>
          <t>Sentence</t>
        </is>
      </c>
      <c r="E113" s="22" t="inlineStr">
        <is>
          <t>1.0 means on estimate; 1.3 means the work took 30% longer than planned.</t>
        </is>
      </c>
      <c r="F113" s="28" t="inlineStr">
        <is>
          <t>G6.05</t>
        </is>
      </c>
      <c r="G113" s="22" t="inlineStr">
        <is>
          <t>Projects &amp; WBS › All projects › project › Costing &amp; margin tab (/projects/:id/costing); direct: Projects &amp; WBS › Costing &amp; margin — 'Effort ratio' explanation (1.0 / 1.3)</t>
        </is>
      </c>
      <c r="H113" s="28" t="inlineStr">
        <is>
          <t>OK</t>
        </is>
      </c>
      <c r="I113" s="22" t="inlineStr"/>
      <c r="J113" s="29" t="n"/>
      <c r="K113" s="30" t="n"/>
    </row>
    <row r="114">
      <c r="A114" s="28" t="n">
        <v>110</v>
      </c>
      <c r="B114" s="22" t="inlineStr">
        <is>
          <t>6. Costing, allocation and margins</t>
        </is>
      </c>
      <c r="C114" s="28" t="n">
        <v>13</v>
      </c>
      <c r="D114" s="22" t="inlineStr">
        <is>
          <t>Sentence</t>
        </is>
      </c>
      <c r="E114" s="22" t="inlineStr">
        <is>
          <t>It is shown per task, milestone and project, and anything above 1.2 is flagged.</t>
        </is>
      </c>
      <c r="F114" s="28" t="inlineStr">
        <is>
          <t>G6.05</t>
        </is>
      </c>
      <c r="G114" s="22" t="inlineStr">
        <is>
          <t>Projects &amp; WBS › All projects › project › Costing &amp; margin tab (/projects/:id/costing); direct: Projects &amp; WBS › Costing &amp; margin — Effort ratio per project, milestone and task; above 1.2 red 'Over 1.2'</t>
        </is>
      </c>
      <c r="H114" s="28" t="inlineStr">
        <is>
          <t>OK</t>
        </is>
      </c>
      <c r="I114" s="22" t="inlineStr"/>
      <c r="J114" s="29" t="n"/>
      <c r="K114" s="30" t="n"/>
    </row>
    <row r="115">
      <c r="A115" s="28" t="n">
        <v>111</v>
      </c>
      <c r="B115" s="22" t="inlineStr">
        <is>
          <t>6. Costing, allocation and margins</t>
        </is>
      </c>
      <c r="C115" s="28" t="n">
        <v>13</v>
      </c>
      <c r="D115" s="22" t="inlineStr">
        <is>
          <t>Sentence</t>
        </is>
      </c>
      <c r="E115" s="22" t="inlineStr">
        <is>
          <t>What moved the margin explains the gap between planned and projected (for example: approved change requests, extra hours on a late milestone).</t>
        </is>
      </c>
      <c r="F115" s="28" t="inlineStr">
        <is>
          <t>G6.06</t>
        </is>
      </c>
      <c r="G115" s="22" t="inlineStr">
        <is>
          <t>Projects &amp; WBS › All projects › project › Costing &amp; margin tab (/projects/:id/costing); direct: Projects &amp; WBS › Costing &amp; margin — 'What moved the margin': planned profit → approved CRs, extra hours on late milestones, breach cost, early-finish saving … → projected profit</t>
        </is>
      </c>
      <c r="H115" s="28" t="inlineStr">
        <is>
          <t>OK</t>
        </is>
      </c>
      <c r="I115" s="22" t="inlineStr">
        <is>
          <t>Lines add up exactly.</t>
        </is>
      </c>
      <c r="J115" s="29" t="n"/>
      <c r="K115" s="30" t="n"/>
    </row>
    <row r="116">
      <c r="A116" s="28" t="n">
        <v>112</v>
      </c>
      <c r="B116" s="22" t="inlineStr">
        <is>
          <t>6. Costing, allocation and margins</t>
        </is>
      </c>
      <c r="C116" s="28" t="n">
        <v>13</v>
      </c>
      <c r="D116" s="22" t="inlineStr">
        <is>
          <t>Sentence</t>
        </is>
      </c>
      <c r="E116" s="22" t="inlineStr">
        <is>
          <t>Milestone variance shows each milestone’s planned cost against its forecast.</t>
        </is>
      </c>
      <c r="F116" s="28" t="inlineStr">
        <is>
          <t>G6.07</t>
        </is>
      </c>
      <c r="G116" s="22" t="inlineStr">
        <is>
          <t>Projects &amp; WBS › All projects › project › Costing &amp; margin tab (/projects/:id/costing); direct: Projects &amp; WBS › Costing &amp; margin — 'Milestone variance': Deadline, Forecast or actual, Slip, Planned cost, Projected cost, Change</t>
        </is>
      </c>
      <c r="H116" s="28" t="inlineStr">
        <is>
          <t>OK</t>
        </is>
      </c>
      <c r="I116" s="22" t="inlineStr"/>
      <c r="J116" s="29" t="n"/>
      <c r="K116" s="30" t="n"/>
    </row>
    <row r="117">
      <c r="A117" s="28" t="n">
        <v>113</v>
      </c>
      <c r="B117" s="22" t="inlineStr">
        <is>
          <t>6. Costing, allocation and margins</t>
        </is>
      </c>
      <c r="C117" s="28" t="n">
        <v>13</v>
      </c>
      <c r="D117" s="22" t="inlineStr">
        <is>
          <t>Sentence</t>
        </is>
      </c>
      <c r="E117" s="22" t="inlineStr">
        <is>
          <t>Resources: allocated vs logged compares each person’s planned hours to the hours they actually logged.</t>
        </is>
      </c>
      <c r="F117" s="28" t="inlineStr">
        <is>
          <t>G6.08</t>
        </is>
      </c>
      <c r="G117" s="22" t="inlineStr">
        <is>
          <t>Projects &amp; WBS › All projects › project › Costing &amp; margin tab (/projects/:id/costing); direct: Projects &amp; WBS › Costing &amp; margin — 'Resources: allocated vs logged' in hours: Planned hours, Planned to date, Logged hours, Allocation used %</t>
        </is>
      </c>
      <c r="H117" s="28" t="inlineStr">
        <is>
          <t>OK — improved</t>
        </is>
      </c>
      <c r="I117" s="22" t="inlineStr">
        <is>
          <t>v6: shown in hours (was man-days).</t>
        </is>
      </c>
      <c r="J117" s="29" t="n"/>
      <c r="K117" s="30" t="n"/>
    </row>
    <row r="118">
      <c r="A118" s="28" t="n">
        <v>114</v>
      </c>
      <c r="B118" s="22" t="inlineStr">
        <is>
          <t>6. Costing, allocation and margins</t>
        </is>
      </c>
      <c r="C118" s="28" t="n">
        <v>13</v>
      </c>
      <c r="D118" s="22" t="inlineStr">
        <is>
          <t>Screenshot caption</t>
        </is>
      </c>
      <c r="E118" s="22" t="inlineStr">
        <is>
          <t>CEO view of profit margins across all projects</t>
        </is>
      </c>
      <c r="F118" s="28" t="inlineStr">
        <is>
          <t>G6.10</t>
        </is>
      </c>
      <c r="G118" s="22" t="inlineStr">
        <is>
          <t>Finance › Profit margins (/finance/margins); Projects &amp; WBS › Costing &amp; margin (All projects); Dashboard › CEO › Projects 'Profit margins'</t>
        </is>
      </c>
      <c r="H118" s="28" t="inlineStr">
        <is>
          <t>OK</t>
        </is>
      </c>
      <c r="I118" s="22" t="inlineStr">
        <is>
          <t>Screenshot 012.</t>
        </is>
      </c>
      <c r="J118" s="29" t="n"/>
      <c r="K118" s="30" t="n"/>
    </row>
    <row r="119">
      <c r="A119" s="28" t="n">
        <v>115</v>
      </c>
      <c r="B119" s="22" t="inlineStr">
        <is>
          <t>6. Costing, allocation and margins</t>
        </is>
      </c>
      <c r="C119" s="28" t="n">
        <v>13</v>
      </c>
      <c r="D119" s="22" t="inlineStr">
        <is>
          <t>Sentence</t>
        </is>
      </c>
      <c r="E119" s="22" t="inlineStr">
        <is>
          <t>The CEO sees the same numbers for every project in one table.</t>
        </is>
      </c>
      <c r="F119" s="28" t="inlineStr">
        <is>
          <t>G6.10</t>
        </is>
      </c>
      <c r="G119" s="22" t="inlineStr">
        <is>
          <t>Finance › Profit margins — one table: Project, Contract, Planned, Projected (±pts), Actual (invoiced), Projected profit, Cost to date, Projected cost; row opens Costing &amp; margin</t>
        </is>
      </c>
      <c r="H119" s="28" t="inlineStr">
        <is>
          <t>OK</t>
        </is>
      </c>
      <c r="I119" s="22" t="inlineStr">
        <is>
          <t>Same numbers as the project tab.</t>
        </is>
      </c>
      <c r="J119" s="29" t="n"/>
      <c r="K119" s="30" t="n"/>
    </row>
    <row r="120">
      <c r="A120" s="28" t="n">
        <v>116</v>
      </c>
      <c r="B120" s="22" t="inlineStr">
        <is>
          <t>6. Costing, allocation and margins</t>
        </is>
      </c>
      <c r="C120" s="28" t="n">
        <v>13</v>
      </c>
      <c r="D120" s="22" t="inlineStr">
        <is>
          <t>Sentence</t>
        </is>
      </c>
      <c r="E120" s="22" t="inlineStr">
        <is>
          <t>Margins are visible only to the CEO and anyone given the margins permission.</t>
        </is>
      </c>
      <c r="F120" s="28" t="inlineStr">
        <is>
          <t>G6.11</t>
        </is>
      </c>
      <c r="G120" s="22" t="inlineStr">
        <is>
          <t>Costing &amp; margin tab and Profit margins only with 'See project margins' (CEO by default)</t>
        </is>
      </c>
      <c r="H120" s="28" t="inlineStr">
        <is>
          <t>OK</t>
        </is>
      </c>
      <c r="I120" s="22" t="inlineStr">
        <is>
          <t>v6: PM demo user no longer has it by default; server returns null / 403.</t>
        </is>
      </c>
      <c r="J120" s="29" t="n"/>
      <c r="K120" s="30" t="n"/>
    </row>
    <row r="121">
      <c r="A121" s="31" t="n">
        <v>117</v>
      </c>
      <c r="B121" s="32" t="inlineStr">
        <is>
          <t>7. Tasks: owners, dependencies, backup and threads</t>
        </is>
      </c>
      <c r="C121" s="31" t="n">
        <v>13</v>
      </c>
      <c r="D121" s="32" t="inlineStr">
        <is>
          <t>Heading</t>
        </is>
      </c>
      <c r="E121" s="32" t="inlineStr">
        <is>
          <t>7. Tasks: owners, dependencies, backup and threads</t>
        </is>
      </c>
      <c r="F121" s="31" t="inlineStr">
        <is>
          <t>G7.01–G7.07</t>
        </is>
      </c>
      <c r="G121" s="32" t="inlineStr">
        <is>
          <t>Tasks › All tasks (/tasks, page title 'Tasks'; full task page /tasks/:id)</t>
        </is>
      </c>
      <c r="H121" s="31" t="inlineStr">
        <is>
          <t>OK</t>
        </is>
      </c>
      <c r="I121" s="32" t="inlineStr">
        <is>
          <t>Menu group 'Tasks' › All tasks (page title 'Tasks'), for everyone. v7: employees see only their own / covering / backup / reviewer / tagged tasks; tasks.view_all (CEO, admin, PM, HR, sales manager) sees all.</t>
        </is>
      </c>
      <c r="J121" s="33" t="n"/>
      <c r="K121" s="34" t="n"/>
    </row>
    <row r="122">
      <c r="A122" s="28" t="n">
        <v>118</v>
      </c>
      <c r="B122" s="22" t="inlineStr">
        <is>
          <t>7. Tasks: owners, dependencies, backup and threads</t>
        </is>
      </c>
      <c r="C122" s="28" t="n">
        <v>13</v>
      </c>
      <c r="D122" s="22" t="inlineStr">
        <is>
          <t>Sentence</t>
        </is>
      </c>
      <c r="E122" s="22" t="inlineStr">
        <is>
          <t>The Tasks tab lists every task with filters by person, project and status.</t>
        </is>
      </c>
      <c r="F122" s="28" t="inlineStr">
        <is>
          <t>G7.01</t>
        </is>
      </c>
      <c r="G122" s="22" t="inlineStr">
        <is>
          <t>Tasks › All tasks (/tasks, page title 'Tasks'; full task page /tasks/:id) — filters Person, Project, Status (+ Stage, search; chips All / Mine / Covering / Tagged me / Overdue / Blocked)</t>
        </is>
      </c>
      <c r="H122" s="28" t="inlineStr">
        <is>
          <t>OK — improved</t>
        </is>
      </c>
      <c r="I122" s="22" t="inlineStr">
        <is>
          <t>v6: Tasks tab for everyone. v7 (CEO point 5): same filters and columns for everyone; the server scopes rows (employees: related tasks; managers/HR/admins/CXOs: all, filter by person).</t>
        </is>
      </c>
      <c r="J122" s="29" t="n"/>
      <c r="K122" s="30" t="n"/>
    </row>
    <row r="123">
      <c r="A123" s="28" t="n">
        <v>119</v>
      </c>
      <c r="B123" s="22" t="inlineStr">
        <is>
          <t>7. Tasks: owners, dependencies, backup and threads</t>
        </is>
      </c>
      <c r="C123" s="28" t="n">
        <v>13</v>
      </c>
      <c r="D123" s="22" t="inlineStr">
        <is>
          <t>Sentence</t>
        </is>
      </c>
      <c r="E123" s="22" t="inlineStr">
        <is>
          <t>Each task has:</t>
        </is>
      </c>
      <c r="F123" s="28" t="inlineStr">
        <is>
          <t>G7.01–G7.07</t>
        </is>
      </c>
      <c r="G123" s="22" t="inlineStr">
        <is>
          <t>Tasks › All tasks (/tasks, page title 'Tasks'; full task page /tasks/:id) — row and task page sections</t>
        </is>
      </c>
      <c r="H123" s="28" t="inlineStr">
        <is>
          <t>OK</t>
        </is>
      </c>
      <c r="I123" s="22" t="inlineStr"/>
      <c r="J123" s="29" t="n"/>
      <c r="K123" s="30" t="n"/>
    </row>
    <row r="124">
      <c r="A124" s="28" t="n">
        <v>120</v>
      </c>
      <c r="B124" s="22" t="inlineStr">
        <is>
          <t>7. Tasks: owners, dependencies, backup and threads</t>
        </is>
      </c>
      <c r="C124" s="28" t="n">
        <v>13</v>
      </c>
      <c r="D124" s="22" t="inlineStr">
        <is>
          <t>Bullet</t>
        </is>
      </c>
      <c r="E124" s="22" t="inlineStr">
        <is>
          <t>One owner who is accountable, and optionally a backup who covers it when the owner is on leave.</t>
        </is>
      </c>
      <c r="F124" s="28" t="inlineStr">
        <is>
          <t>G7.02</t>
        </is>
      </c>
      <c r="G124" s="22" t="inlineStr">
        <is>
          <t>Tasks › All tasks (/tasks, page title 'Tasks'; full task page /tasks/:id) — row shows owner + 'backup X'; task page 'Owner and backup'</t>
        </is>
      </c>
      <c r="H124" s="28" t="inlineStr">
        <is>
          <t>OK</t>
        </is>
      </c>
      <c r="I124" s="22" t="inlineStr"/>
      <c r="J124" s="29" t="n"/>
      <c r="K124" s="30" t="n"/>
    </row>
    <row r="125">
      <c r="A125" s="28" t="n">
        <v>121</v>
      </c>
      <c r="B125" s="22" t="inlineStr">
        <is>
          <t>7. Tasks: owners, dependencies, backup and threads</t>
        </is>
      </c>
      <c r="C125" s="28" t="n">
        <v>13</v>
      </c>
      <c r="D125" s="22" t="inlineStr">
        <is>
          <t>Bullet (cont.)</t>
        </is>
      </c>
      <c r="E125" s="22" t="inlineStr">
        <is>
          <t>On leave days the task appears in the backup’s “Covering” list and they can log time on it.</t>
        </is>
      </c>
      <c r="F125" s="28" t="inlineStr">
        <is>
          <t>G7.02</t>
        </is>
      </c>
      <c r="G125" s="22" t="inlineStr">
        <is>
          <t>Tasks › All tasks (/tasks, page title 'Tasks'; full task page /tasks/:id) — 'Covering' chip; 'Log time' → Timesheet &amp; log with the task row added</t>
        </is>
      </c>
      <c r="H125" s="28" t="inlineStr">
        <is>
          <t>OK</t>
        </is>
      </c>
      <c r="I125" s="22" t="inlineStr"/>
      <c r="J125" s="29" t="n"/>
      <c r="K125" s="30" t="n"/>
    </row>
    <row r="126">
      <c r="A126" s="28" t="n">
        <v>122</v>
      </c>
      <c r="B126" s="22" t="inlineStr">
        <is>
          <t>7. Tasks: owners, dependencies, backup and threads</t>
        </is>
      </c>
      <c r="C126" s="28" t="n">
        <v>13</v>
      </c>
      <c r="D126" s="22" t="inlineStr">
        <is>
          <t>Bullet</t>
        </is>
      </c>
      <c r="E126" s="22" t="inlineStr">
        <is>
          <t>Estimated hours, start and due date, complexity (low, medium, high).</t>
        </is>
      </c>
      <c r="F126" s="28" t="inlineStr">
        <is>
          <t>G7.03</t>
        </is>
      </c>
      <c r="G126" s="22" t="inlineStr">
        <is>
          <t>Tasks › All tasks (/tasks, page title 'Tasks'; full task page /tasks/:id) — columns Est. / actual, Start · due, Complexity (Low / Medium / High; Very high as an extra)</t>
        </is>
      </c>
      <c r="H126" s="28" t="inlineStr">
        <is>
          <t>OK</t>
        </is>
      </c>
      <c r="I126" s="22" t="inlineStr"/>
      <c r="J126" s="29" t="n"/>
      <c r="K126" s="30" t="n"/>
    </row>
    <row r="127">
      <c r="A127" s="28" t="n">
        <v>123</v>
      </c>
      <c r="B127" s="22" t="inlineStr">
        <is>
          <t>7. Tasks: owners, dependencies, backup and threads</t>
        </is>
      </c>
      <c r="C127" s="28" t="n">
        <v>13</v>
      </c>
      <c r="D127" s="22" t="inlineStr">
        <is>
          <t>Bullet (cont.)</t>
        </is>
      </c>
      <c r="E127" s="22" t="inlineStr">
        <is>
          <t>Complexity feeds estimation accuracy in Insights.</t>
        </is>
      </c>
      <c r="F127" s="28" t="inlineStr">
        <is>
          <t>G7.03, G15.04</t>
        </is>
      </c>
      <c r="G127" s="22" t="inlineStr">
        <is>
          <t>Tasks › All tasks (/tasks, page title 'Tasks'; full task page /tasks/:id) — estimate hint + link to Insights › Estimation accuracy</t>
        </is>
      </c>
      <c r="H127" s="28" t="inlineStr">
        <is>
          <t>OK</t>
        </is>
      </c>
      <c r="I127" s="22" t="inlineStr"/>
      <c r="J127" s="29" t="n"/>
      <c r="K127" s="30" t="n"/>
    </row>
    <row r="128">
      <c r="A128" s="28" t="n">
        <v>124</v>
      </c>
      <c r="B128" s="22" t="inlineStr">
        <is>
          <t>7. Tasks: owners, dependencies, backup and threads</t>
        </is>
      </c>
      <c r="C128" s="28" t="n">
        <v>14</v>
      </c>
      <c r="D128" s="22" t="inlineStr">
        <is>
          <t>Bullet</t>
        </is>
      </c>
      <c r="E128" s="22" t="inlineStr">
        <is>
          <t>Status: To do, In progress, Blocked, In review, Done.</t>
        </is>
      </c>
      <c r="F128" s="28" t="inlineStr">
        <is>
          <t>G7.04</t>
        </is>
      </c>
      <c r="G128" s="22" t="inlineStr">
        <is>
          <t>Tasks › All tasks (/tasks, page title 'Tasks'; full task page /tasks/:id) — status badge To do / In progress / Blocked / In review / Done; 10 detailed stages underneath with progress %</t>
        </is>
      </c>
      <c r="H128" s="28" t="inlineStr">
        <is>
          <t>OK — improved</t>
        </is>
      </c>
      <c r="I128" s="22" t="inlineStr">
        <is>
          <t>Detailed stages are an extra layer under the guide's five statuses.</t>
        </is>
      </c>
      <c r="J128" s="29" t="n"/>
      <c r="K128" s="30" t="n"/>
    </row>
    <row r="129">
      <c r="A129" s="28" t="n">
        <v>125</v>
      </c>
      <c r="B129" s="22" t="inlineStr">
        <is>
          <t>7. Tasks: owners, dependencies, backup and threads</t>
        </is>
      </c>
      <c r="C129" s="28" t="n">
        <v>14</v>
      </c>
      <c r="D129" s="22" t="inlineStr">
        <is>
          <t>Bullet</t>
        </is>
      </c>
      <c r="E129" s="22" t="inlineStr">
        <is>
          <t>Depends on: other tasks that must finish first.</t>
        </is>
      </c>
      <c r="F129" s="28" t="inlineStr">
        <is>
          <t>G7.05</t>
        </is>
      </c>
      <c r="G129" s="22" t="inlineStr">
        <is>
          <t>Tasks › All tasks (/tasks, page title 'Tasks'; full task page /tasks/:id) — 'Depends on' with 'Add dependency'; 'Blocks' list</t>
        </is>
      </c>
      <c r="H129" s="28" t="inlineStr">
        <is>
          <t>OK</t>
        </is>
      </c>
      <c r="I129" s="22" t="inlineStr"/>
      <c r="J129" s="29" t="n"/>
      <c r="K129" s="30" t="n"/>
    </row>
    <row r="130">
      <c r="A130" s="28" t="n">
        <v>126</v>
      </c>
      <c r="B130" s="22" t="inlineStr">
        <is>
          <t>7. Tasks: owners, dependencies, backup and threads</t>
        </is>
      </c>
      <c r="C130" s="28" t="n">
        <v>14</v>
      </c>
      <c r="D130" s="22" t="inlineStr">
        <is>
          <t>Bullet (cont.)</t>
        </is>
      </c>
      <c r="E130" s="22" t="inlineStr">
        <is>
          <t>A task cannot be started while something it depends on is still open; the board names the blocking task and its owner, so the conversation goes to the right person.</t>
        </is>
      </c>
      <c r="F130" s="28" t="inlineStr">
        <is>
          <t>G7.05</t>
        </is>
      </c>
      <c r="G130" s="22" t="inlineStr">
        <is>
          <t>Tasks › All tasks (/tasks, page title 'Tasks'; full task page /tasks/:id) — red 'Blocked by 1.2 — owner Jagannath Nayak'; start refused naming task and owner</t>
        </is>
      </c>
      <c r="H130" s="28" t="inlineStr">
        <is>
          <t>OK</t>
        </is>
      </c>
      <c r="I130" s="22" t="inlineStr">
        <is>
          <t>Loops prevented (409 DEP_CYCLE).</t>
        </is>
      </c>
      <c r="J130" s="29" t="n"/>
      <c r="K130" s="30" t="n"/>
    </row>
    <row r="131">
      <c r="A131" s="28" t="n">
        <v>127</v>
      </c>
      <c r="B131" s="22" t="inlineStr">
        <is>
          <t>7. Tasks: owners, dependencies, backup and threads</t>
        </is>
      </c>
      <c r="C131" s="28" t="n">
        <v>14</v>
      </c>
      <c r="D131" s="22" t="inlineStr">
        <is>
          <t>Bullet</t>
        </is>
      </c>
      <c r="E131" s="22" t="inlineStr">
        <is>
          <t>Thread: comments on the task.</t>
        </is>
      </c>
      <c r="F131" s="28" t="inlineStr">
        <is>
          <t>G7.06</t>
        </is>
      </c>
      <c r="G131" s="22" t="inlineStr">
        <is>
          <t>Tasks › All tasks (/tasks, page title 'Tasks'; full task page /tasks/:id) — task page 'Thread'</t>
        </is>
      </c>
      <c r="H131" s="28" t="inlineStr">
        <is>
          <t>OK</t>
        </is>
      </c>
      <c r="I131" s="22" t="inlineStr"/>
      <c r="J131" s="29" t="n"/>
      <c r="K131" s="30" t="n"/>
    </row>
    <row r="132">
      <c r="A132" s="28" t="n">
        <v>128</v>
      </c>
      <c r="B132" s="22" t="inlineStr">
        <is>
          <t>7. Tasks: owners, dependencies, backup and threads</t>
        </is>
      </c>
      <c r="C132" s="28" t="n">
        <v>14</v>
      </c>
      <c r="D132" s="22" t="inlineStr">
        <is>
          <t>Bullet (cont.)</t>
        </is>
      </c>
      <c r="E132" s="22" t="inlineStr">
        <is>
          <t>Typing @name mentions a person; they get a notification and see it under “Tagged you” on their dashboard.</t>
        </is>
      </c>
      <c r="F132" s="28" t="inlineStr">
        <is>
          <t>G7.06</t>
        </is>
      </c>
      <c r="G132" s="22" t="inlineStr">
        <is>
          <t>Tasks › All tasks (/tasks, page title 'Tasks'; full task page /tasks/:id) — @ autocomplete → notification + Dashboard › Employee 'Tagged you'</t>
        </is>
      </c>
      <c r="H132" s="28" t="inlineStr">
        <is>
          <t>OK</t>
        </is>
      </c>
      <c r="I132" s="22" t="inlineStr">
        <is>
          <t>Verified end to end.</t>
        </is>
      </c>
      <c r="J132" s="29" t="n"/>
      <c r="K132" s="30" t="n"/>
    </row>
    <row r="133">
      <c r="A133" s="28" t="n">
        <v>129</v>
      </c>
      <c r="B133" s="22" t="inlineStr">
        <is>
          <t>7. Tasks: owners, dependencies, backup and threads</t>
        </is>
      </c>
      <c r="C133" s="28" t="n">
        <v>14</v>
      </c>
      <c r="D133" s="22" t="inlineStr">
        <is>
          <t>Sentence</t>
        </is>
      </c>
      <c r="E133" s="22" t="inlineStr">
        <is>
          <t>Dependency chains are what the critical path (section 5) is built from, so setting dependencies correctly is what makes the forecast dates trustworthy.</t>
        </is>
      </c>
      <c r="F133" s="28" t="inlineStr">
        <is>
          <t>G5.02, G7.05</t>
        </is>
      </c>
      <c r="G133" s="22" t="inlineStr">
        <is>
          <t>Tasks › All tasks (/tasks, page title 'Tasks'; full task page /tasks/:id) — hint under 'Depends on'; Critical badge on rows</t>
        </is>
      </c>
      <c r="H133" s="28" t="inlineStr">
        <is>
          <t>OK</t>
        </is>
      </c>
      <c r="I133" s="22" t="inlineStr"/>
      <c r="J133" s="29" t="n"/>
      <c r="K133" s="30" t="n"/>
    </row>
    <row r="134">
      <c r="A134" s="31" t="n">
        <v>130</v>
      </c>
      <c r="B134" s="32" t="inlineStr">
        <is>
          <t>8. Timesheet and daily update</t>
        </is>
      </c>
      <c r="C134" s="31" t="n">
        <v>14</v>
      </c>
      <c r="D134" s="32" t="inlineStr">
        <is>
          <t>Heading</t>
        </is>
      </c>
      <c r="E134" s="32" t="inlineStr">
        <is>
          <t>8. Timesheet and daily update</t>
        </is>
      </c>
      <c r="F134" s="31" t="inlineStr">
        <is>
          <t>G8.01–G8.09</t>
        </is>
      </c>
      <c r="G134" s="32" t="inlineStr">
        <is>
          <t>My work › Timesheet &amp; log (/timesheet)</t>
        </is>
      </c>
      <c r="H134" s="31" t="inlineStr">
        <is>
          <t>OK</t>
        </is>
      </c>
      <c r="I134" s="32" t="inlineStr">
        <is>
          <t>Menu item 'Timesheet &amp; log' (My work group) as in the guide; /daily opens the log section.</t>
        </is>
      </c>
      <c r="J134" s="33" t="n"/>
      <c r="K134" s="34" t="n"/>
    </row>
    <row r="135">
      <c r="A135" s="28" t="n">
        <v>131</v>
      </c>
      <c r="B135" s="22" t="inlineStr">
        <is>
          <t>8. Timesheet and daily update</t>
        </is>
      </c>
      <c r="C135" s="28" t="n">
        <v>14</v>
      </c>
      <c r="D135" s="22" t="inlineStr">
        <is>
          <t>Sentence</t>
        </is>
      </c>
      <c r="E135" s="22" t="inlineStr">
        <is>
          <t>Time is logged once a week, against tasks and activities.</t>
        </is>
      </c>
      <c r="F135" s="28" t="inlineStr">
        <is>
          <t>G8.01, G8.02</t>
        </is>
      </c>
      <c r="G135" s="22" t="inlineStr">
        <is>
          <t>My work › Timesheet &amp; log (/timesheet) — 'Timesheet' card: Tasks / Activities sections for the header week</t>
        </is>
      </c>
      <c r="H135" s="28" t="inlineStr">
        <is>
          <t>OK</t>
        </is>
      </c>
      <c r="I135" s="22" t="inlineStr"/>
      <c r="J135" s="29" t="n"/>
      <c r="K135" s="30" t="n"/>
    </row>
    <row r="136">
      <c r="A136" s="28" t="n">
        <v>132</v>
      </c>
      <c r="B136" s="22" t="inlineStr">
        <is>
          <t>8. Timesheet and daily update</t>
        </is>
      </c>
      <c r="C136" s="28" t="n">
        <v>14</v>
      </c>
      <c r="D136" s="22" t="inlineStr">
        <is>
          <t>Sentence</t>
        </is>
      </c>
      <c r="E136" s="22" t="inlineStr">
        <is>
          <t>Task hours become the task’s actual hours and its cost, so the timesheet feeds margins and payroll.</t>
        </is>
      </c>
      <c r="F136" s="28" t="inlineStr">
        <is>
          <t>G8.07</t>
        </is>
      </c>
      <c r="G136" s="22" t="inlineStr">
        <is>
          <t>My work › Timesheet &amp; log (/timesheet) — card subtitle 'Task hours become the task's actual hours and cost'</t>
        </is>
      </c>
      <c r="H136" s="28" t="inlineStr">
        <is>
          <t>OK</t>
        </is>
      </c>
      <c r="I136" s="22" t="inlineStr"/>
      <c r="J136" s="29" t="n"/>
      <c r="K136" s="30" t="n"/>
    </row>
    <row r="137">
      <c r="A137" s="28" t="n">
        <v>133</v>
      </c>
      <c r="B137" s="22" t="inlineStr">
        <is>
          <t>8. Timesheet and daily update</t>
        </is>
      </c>
      <c r="C137" s="28" t="n">
        <v>14</v>
      </c>
      <c r="D137" s="22" t="inlineStr">
        <is>
          <t>Screenshot caption</t>
        </is>
      </c>
      <c r="E137" s="22" t="inlineStr">
        <is>
          <t>Timesheet: one empty row to fill, days of the week with the holiday greyed, day totals against 9 hours, Save draft and Submit for approval</t>
        </is>
      </c>
      <c r="F137" s="28" t="inlineStr">
        <is>
          <t>G8.01–G8.05</t>
        </is>
      </c>
      <c r="G137" s="22" t="inlineStr">
        <is>
          <t>My work › Timesheet &amp; log (/timesheet)</t>
        </is>
      </c>
      <c r="H137" s="28" t="inlineStr">
        <is>
          <t>OK</t>
        </is>
      </c>
      <c r="I137" s="22" t="inlineStr">
        <is>
          <t>Screenshot 013.</t>
        </is>
      </c>
      <c r="J137" s="29" t="n"/>
      <c r="K137" s="30" t="n"/>
    </row>
    <row r="138">
      <c r="A138" s="28" t="n">
        <v>134</v>
      </c>
      <c r="B138" s="22" t="inlineStr">
        <is>
          <t>8. Timesheet and daily update</t>
        </is>
      </c>
      <c r="C138" s="28" t="n">
        <v>14</v>
      </c>
      <c r="D138" s="22" t="inlineStr">
        <is>
          <t>Bullet</t>
        </is>
      </c>
      <c r="E138" s="22" t="inlineStr">
        <is>
          <t>One row at a time: there is always one empty row.</t>
        </is>
      </c>
      <c r="F138" s="28" t="inlineStr">
        <is>
          <t>G8.02</t>
        </is>
      </c>
      <c r="G138" s="22" t="inlineStr">
        <is>
          <t>My work › Timesheet &amp; log (/timesheet) — one empty row 'Choose a task or activity…'</t>
        </is>
      </c>
      <c r="H138" s="28" t="inlineStr">
        <is>
          <t>OK</t>
        </is>
      </c>
      <c r="I138" s="22" t="inlineStr"/>
      <c r="J138" s="29" t="n"/>
      <c r="K138" s="30" t="n"/>
    </row>
    <row r="139">
      <c r="A139" s="28" t="n">
        <v>135</v>
      </c>
      <c r="B139" s="22" t="inlineStr">
        <is>
          <t>8. Timesheet and daily update</t>
        </is>
      </c>
      <c r="C139" s="28" t="n">
        <v>14</v>
      </c>
      <c r="D139" s="22" t="inlineStr">
        <is>
          <t>Bullet (cont.)</t>
        </is>
      </c>
      <c r="E139" s="22" t="inlineStr">
        <is>
          <t>Pick a task or activity and enter hours; a new empty row appears as soon as you pick.</t>
        </is>
      </c>
      <c r="F139" s="28" t="inlineStr">
        <is>
          <t>G8.02</t>
        </is>
      </c>
      <c r="G139" s="22" t="inlineStr">
        <is>
          <t>My work › Timesheet &amp; log (/timesheet) — a new empty row appears after picking</t>
        </is>
      </c>
      <c r="H139" s="28" t="inlineStr">
        <is>
          <t>OK</t>
        </is>
      </c>
      <c r="I139" s="22" t="inlineStr"/>
      <c r="J139" s="29" t="n"/>
      <c r="K139" s="30" t="n"/>
    </row>
    <row r="140">
      <c r="A140" s="28" t="n">
        <v>136</v>
      </c>
      <c r="B140" s="22" t="inlineStr">
        <is>
          <t>8. Timesheet and daily update</t>
        </is>
      </c>
      <c r="C140" s="28" t="n">
        <v>14</v>
      </c>
      <c r="D140" s="22" t="inlineStr">
        <is>
          <t>Bullet (cont.)</t>
        </is>
      </c>
      <c r="E140" s="22" t="inlineStr">
        <is>
          <t>Rows with no hours disappear.</t>
        </is>
      </c>
      <c r="F140" s="28" t="inlineStr">
        <is>
          <t>G8.02</t>
        </is>
      </c>
      <c r="G140" s="22" t="inlineStr">
        <is>
          <t>My work › Timesheet &amp; log (/timesheet) — rows with 0 h are removed on leave / save / submit</t>
        </is>
      </c>
      <c r="H140" s="28" t="inlineStr">
        <is>
          <t>OK — improved</t>
        </is>
      </c>
      <c r="I140" s="22" t="inlineStr">
        <is>
          <t>v6: copied rows left at 0 h also vanish.</t>
        </is>
      </c>
      <c r="J140" s="29" t="n"/>
      <c r="K140" s="30" t="n"/>
    </row>
    <row r="141">
      <c r="A141" s="28" t="n">
        <v>137</v>
      </c>
      <c r="B141" s="22" t="inlineStr">
        <is>
          <t>8. Timesheet and daily update</t>
        </is>
      </c>
      <c r="C141" s="28" t="n">
        <v>14</v>
      </c>
      <c r="D141" s="22" t="inlineStr">
        <is>
          <t>Bullet</t>
        </is>
      </c>
      <c r="E141" s="22" t="inlineStr">
        <is>
          <t>Days: Monday to Saturday for the week in the header.</t>
        </is>
      </c>
      <c r="F141" s="28" t="inlineStr">
        <is>
          <t>G8.01</t>
        </is>
      </c>
      <c r="G141" s="22" t="inlineStr">
        <is>
          <t>My work › Timesheet &amp; log (/timesheet) — Mon–Sat columns for the header week</t>
        </is>
      </c>
      <c r="H141" s="28" t="inlineStr">
        <is>
          <t>Intentional difference</t>
        </is>
      </c>
      <c r="I141" s="22" t="inlineStr">
        <is>
          <t>A Sunday column appears only if Sunday is a working day for the company.</t>
        </is>
      </c>
      <c r="J141" s="29" t="n"/>
      <c r="K141" s="30" t="n"/>
    </row>
    <row r="142">
      <c r="A142" s="28" t="n">
        <v>138</v>
      </c>
      <c r="B142" s="22" t="inlineStr">
        <is>
          <t>8. Timesheet and daily update</t>
        </is>
      </c>
      <c r="C142" s="28" t="n">
        <v>14</v>
      </c>
      <c r="D142" s="22" t="inlineStr">
        <is>
          <t>Bullet (cont.)</t>
        </is>
      </c>
      <c r="E142" s="22" t="inlineStr">
        <is>
          <t>Holidays and weekly offs are greyed and marked.</t>
        </is>
      </c>
      <c r="F142" s="28" t="inlineStr">
        <is>
          <t>G8.01</t>
        </is>
      </c>
      <c r="G142" s="22" t="inlineStr">
        <is>
          <t>My work › Timesheet &amp; log (/timesheet) — 'Holiday' and 'Weekly off' columns greyed and labelled</t>
        </is>
      </c>
      <c r="H142" s="28" t="inlineStr">
        <is>
          <t>OK</t>
        </is>
      </c>
      <c r="I142" s="22" t="inlineStr"/>
      <c r="J142" s="29" t="n"/>
      <c r="K142" s="30" t="n"/>
    </row>
    <row r="143">
      <c r="A143" s="28" t="n">
        <v>139</v>
      </c>
      <c r="B143" s="22" t="inlineStr">
        <is>
          <t>8. Timesheet and daily update</t>
        </is>
      </c>
      <c r="C143" s="28" t="n">
        <v>14</v>
      </c>
      <c r="D143" s="22" t="inlineStr">
        <is>
          <t>Bullet</t>
        </is>
      </c>
      <c r="E143" s="22" t="inlineStr">
        <is>
          <t>Day total: each day shows hours logged against the minimum (9 hours by default).</t>
        </is>
      </c>
      <c r="F143" s="28" t="inlineStr">
        <is>
          <t>G8.03</t>
        </is>
      </c>
      <c r="G143" s="22" t="inlineStr">
        <is>
          <t>My work › Timesheet &amp; log (/timesheet) — each day 'N of 9h'</t>
        </is>
      </c>
      <c r="H143" s="28" t="inlineStr">
        <is>
          <t>OK</t>
        </is>
      </c>
      <c r="I143" s="22" t="inlineStr"/>
      <c r="J143" s="29" t="n"/>
      <c r="K143" s="30" t="n"/>
    </row>
    <row r="144">
      <c r="A144" s="28" t="n">
        <v>140</v>
      </c>
      <c r="B144" s="22" t="inlineStr">
        <is>
          <t>8. Timesheet and daily update</t>
        </is>
      </c>
      <c r="C144" s="28" t="n">
        <v>14</v>
      </c>
      <c r="D144" s="22" t="inlineStr">
        <is>
          <t>Bullet (cont.)</t>
        </is>
      </c>
      <c r="E144" s="22" t="inlineStr">
        <is>
          <t>Short days are highlighted.</t>
        </is>
      </c>
      <c r="F144" s="28" t="inlineStr">
        <is>
          <t>G8.03</t>
        </is>
      </c>
      <c r="G144" s="22" t="inlineStr">
        <is>
          <t>My work › Timesheet &amp; log (/timesheet) — short past days in red; summary 'This week: Xh logged. Target to date…'</t>
        </is>
      </c>
      <c r="H144" s="28" t="inlineStr">
        <is>
          <t>OK</t>
        </is>
      </c>
      <c r="I144" s="22" t="inlineStr"/>
      <c r="J144" s="29" t="n"/>
      <c r="K144" s="30" t="n"/>
    </row>
    <row r="145">
      <c r="A145" s="28" t="n">
        <v>141</v>
      </c>
      <c r="B145" s="22" t="inlineStr">
        <is>
          <t>8. Timesheet and daily update</t>
        </is>
      </c>
      <c r="C145" s="28" t="n">
        <v>14</v>
      </c>
      <c r="D145" s="22" t="inlineStr">
        <is>
          <t>Bullet</t>
        </is>
      </c>
      <c r="E145" s="22" t="inlineStr">
        <is>
          <t>Quick rows: + Leave or holiday (a full-day leave also marks you as on leave for planning; half-day is allowed), + Lunch, tea and stand-up, and Copy rows from last week.</t>
        </is>
      </c>
      <c r="F145" s="28" t="inlineStr">
        <is>
          <t>G8.04</t>
        </is>
      </c>
      <c r="G145" s="22" t="inlineStr">
        <is>
          <t>My work › Timesheet &amp; log (/timesheet) — '+ Leave or holiday' (full / half day), '+ Lunch, tea and stand-up', 'Copy rows from last week'</t>
        </is>
      </c>
      <c r="H145" s="28" t="inlineStr">
        <is>
          <t>OK</t>
        </is>
      </c>
      <c r="I145" s="22" t="inlineStr"/>
      <c r="J145" s="29" t="n"/>
      <c r="K145" s="30" t="n"/>
    </row>
    <row r="146">
      <c r="A146" s="28" t="n">
        <v>142</v>
      </c>
      <c r="B146" s="22" t="inlineStr">
        <is>
          <t>8. Timesheet and daily update</t>
        </is>
      </c>
      <c r="C146" s="28" t="n">
        <v>14</v>
      </c>
      <c r="D146" s="22" t="inlineStr">
        <is>
          <t>Bullet</t>
        </is>
      </c>
      <c r="E146" s="22" t="inlineStr">
        <is>
          <t>Save draft keeps your work.</t>
        </is>
      </c>
      <c r="F146" s="28" t="inlineStr">
        <is>
          <t>G8.05</t>
        </is>
      </c>
      <c r="G146" s="22" t="inlineStr">
        <is>
          <t>My work › Timesheet &amp; log (/timesheet) — 'Save draft'</t>
        </is>
      </c>
      <c r="H146" s="28" t="inlineStr">
        <is>
          <t>OK</t>
        </is>
      </c>
      <c r="I146" s="22" t="inlineStr"/>
      <c r="J146" s="29" t="n"/>
      <c r="K146" s="30" t="n"/>
    </row>
    <row r="147">
      <c r="A147" s="28" t="n">
        <v>143</v>
      </c>
      <c r="B147" s="22" t="inlineStr">
        <is>
          <t>8. Timesheet and daily update</t>
        </is>
      </c>
      <c r="C147" s="28" t="n">
        <v>14</v>
      </c>
      <c r="D147" s="22" t="inlineStr">
        <is>
          <t>Bullet (cont.)</t>
        </is>
      </c>
      <c r="E147" s="22" t="inlineStr">
        <is>
          <t>Submit for approval sends the week to your manager and makes it read-only for you.</t>
        </is>
      </c>
      <c r="F147" s="28" t="inlineStr">
        <is>
          <t>G8.05, G9.01</t>
        </is>
      </c>
      <c r="G147" s="22" t="inlineStr">
        <is>
          <t>My work › Timesheet &amp; log (/timesheet) — 'Submit for approval' → banner 'Waiting for {manager}…'; read-only</t>
        </is>
      </c>
      <c r="H147" s="28" t="inlineStr">
        <is>
          <t>OK</t>
        </is>
      </c>
      <c r="I147" s="22" t="inlineStr"/>
      <c r="J147" s="29" t="n"/>
      <c r="K147" s="30" t="n"/>
    </row>
    <row r="148">
      <c r="A148" s="28" t="n">
        <v>144</v>
      </c>
      <c r="B148" s="22" t="inlineStr">
        <is>
          <t>8. Timesheet and daily update</t>
        </is>
      </c>
      <c r="C148" s="28" t="n">
        <v>15</v>
      </c>
      <c r="D148" s="22" t="inlineStr">
        <is>
          <t>Bullet</t>
        </is>
      </c>
      <c r="E148" s="22" t="inlineStr">
        <is>
          <t>Weekly lock: the banner shows the deadline (“submit by Sun, 4 Oct”).</t>
        </is>
      </c>
      <c r="F148" s="28" t="inlineStr">
        <is>
          <t>G8.06</t>
        </is>
      </c>
      <c r="G148" s="22" t="inlineStr">
        <is>
          <t>My work › Timesheet &amp; log (/timesheet) — banner 'Draft. Save as you go and submit by Sun, 4 Oct…'</t>
        </is>
      </c>
      <c r="H148" s="28" t="inlineStr">
        <is>
          <t>OK</t>
        </is>
      </c>
      <c r="I148" s="22" t="inlineStr"/>
      <c r="J148" s="29" t="n"/>
      <c r="K148" s="30" t="n"/>
    </row>
    <row r="149">
      <c r="A149" s="28" t="n">
        <v>145</v>
      </c>
      <c r="B149" s="22" t="inlineStr">
        <is>
          <t>8. Timesheet and daily update</t>
        </is>
      </c>
      <c r="C149" s="28" t="n">
        <v>15</v>
      </c>
      <c r="D149" s="22" t="inlineStr">
        <is>
          <t>Bullet (cont.)</t>
        </is>
      </c>
      <c r="E149" s="22" t="inlineStr">
        <is>
          <t>An unsubmitted week locks when it ends.</t>
        </is>
      </c>
      <c r="F149" s="28" t="inlineStr">
        <is>
          <t>G8.06</t>
        </is>
      </c>
      <c r="G149" s="22" t="inlineStr">
        <is>
          <t>My work › Timesheet &amp; log (/timesheet) — 'Locked.' banner on past unsubmitted weeks</t>
        </is>
      </c>
      <c r="H149" s="28" t="inlineStr">
        <is>
          <t>OK</t>
        </is>
      </c>
      <c r="I149" s="22" t="inlineStr"/>
      <c r="J149" s="29" t="n"/>
      <c r="K149" s="30" t="n"/>
    </row>
    <row r="150">
      <c r="A150" s="28" t="n">
        <v>146</v>
      </c>
      <c r="B150" s="22" t="inlineStr">
        <is>
          <t>8. Timesheet and daily update</t>
        </is>
      </c>
      <c r="C150" s="28" t="n">
        <v>15</v>
      </c>
      <c r="D150" s="22" t="inlineStr">
        <is>
          <t>Bullet (cont.)</t>
        </is>
      </c>
      <c r="E150" s="22" t="inlineStr">
        <is>
          <t>Only your manager or the CEO can unlock it, for a set number of days, after you request it with a reason.</t>
        </is>
      </c>
      <c r="F150" s="28" t="inlineStr">
        <is>
          <t>G8.06, G9.04</t>
        </is>
      </c>
      <c r="G150" s="22" t="inlineStr">
        <is>
          <t>My work › Timesheet &amp; log (/timesheet) — 'Request unlock' with reason → Timesheet approvals › 'Unlock requests' → Unlock for N days</t>
        </is>
      </c>
      <c r="H150" s="28" t="inlineStr">
        <is>
          <t>OK</t>
        </is>
      </c>
      <c r="I150" s="22" t="inlineStr"/>
      <c r="J150" s="29" t="n"/>
      <c r="K150" s="30" t="n"/>
    </row>
    <row r="151">
      <c r="A151" s="28" t="n">
        <v>147</v>
      </c>
      <c r="B151" s="22" t="inlineStr">
        <is>
          <t>8. Timesheet and daily update</t>
        </is>
      </c>
      <c r="C151" s="28" t="n">
        <v>15</v>
      </c>
      <c r="D151" s="22" t="inlineStr">
        <is>
          <t>Screenshot caption</t>
        </is>
      </c>
      <c r="E151" s="22" t="inlineStr">
        <is>
          <t>End-of-day update with a proof link, and the Friday demo check</t>
        </is>
      </c>
      <c r="F151" s="28" t="inlineStr">
        <is>
          <t>G8.08, G8.09</t>
        </is>
      </c>
      <c r="G151" s="22" t="inlineStr">
        <is>
          <t>My work › Timesheet &amp; log (/timesheet) — 'End-of-day update' and 'Friday demo' cards below the timesheet</t>
        </is>
      </c>
      <c r="H151" s="28" t="inlineStr">
        <is>
          <t>OK — improved</t>
        </is>
      </c>
      <c r="I151" s="22" t="inlineStr">
        <is>
          <t>v6: moved onto the same page (guide's 'Timesheet &amp; log').</t>
        </is>
      </c>
      <c r="J151" s="29" t="n"/>
      <c r="K151" s="30" t="n"/>
    </row>
    <row r="152">
      <c r="A152" s="28" t="n">
        <v>148</v>
      </c>
      <c r="B152" s="22" t="inlineStr">
        <is>
          <t>8. Timesheet and daily update</t>
        </is>
      </c>
      <c r="C152" s="28" t="n">
        <v>15</v>
      </c>
      <c r="D152" s="22" t="inlineStr">
        <is>
          <t>Sentence</t>
        </is>
      </c>
      <c r="E152" s="22" t="inlineStr">
        <is>
          <t>End-of-day update: what you finished, a proof link (a commit, a document, a screenshot), and any blocker.</t>
        </is>
      </c>
      <c r="F152" s="28" t="inlineStr">
        <is>
          <t>G8.08</t>
        </is>
      </c>
      <c r="G152" s="22" t="inlineStr">
        <is>
          <t>My work › Timesheet &amp; log (/timesheet) — End-of-day update: Date, What I finished, Proof link, Blockers (optional), Save update</t>
        </is>
      </c>
      <c r="H152" s="28" t="inlineStr">
        <is>
          <t>OK</t>
        </is>
      </c>
      <c r="I152" s="22" t="inlineStr"/>
      <c r="J152" s="29" t="n"/>
      <c r="K152" s="30" t="n"/>
    </row>
    <row r="153">
      <c r="A153" s="28" t="n">
        <v>149</v>
      </c>
      <c r="B153" s="22" t="inlineStr">
        <is>
          <t>8. Timesheet and daily update</t>
        </is>
      </c>
      <c r="C153" s="28" t="n">
        <v>15</v>
      </c>
      <c r="D153" s="22" t="inlineStr">
        <is>
          <t>Sentence</t>
        </is>
      </c>
      <c r="E153" s="22" t="inlineStr">
        <is>
          <t>No proof, no progress.</t>
        </is>
      </c>
      <c r="F153" s="28" t="inlineStr">
        <is>
          <t>G8.08</t>
        </is>
      </c>
      <c r="G153" s="22" t="inlineStr">
        <is>
          <t>My work › Timesheet &amp; log (/timesheet) — save without a proof link refused: '…No proof, no progress.'</t>
        </is>
      </c>
      <c r="H153" s="28" t="inlineStr">
        <is>
          <t>OK</t>
        </is>
      </c>
      <c r="I153" s="22" t="inlineStr"/>
      <c r="J153" s="29" t="n"/>
      <c r="K153" s="30" t="n"/>
    </row>
    <row r="154">
      <c r="A154" s="28" t="n">
        <v>150</v>
      </c>
      <c r="B154" s="22" t="inlineStr">
        <is>
          <t>8. Timesheet and daily update</t>
        </is>
      </c>
      <c r="C154" s="28" t="n">
        <v>15</v>
      </c>
      <c r="D154" s="22" t="inlineStr">
        <is>
          <t>Sentence</t>
        </is>
      </c>
      <c r="E154" s="22" t="inlineStr">
        <is>
          <t>Friday demo records whether you showed working software to the team that week.</t>
        </is>
      </c>
      <c r="F154" s="28" t="inlineStr">
        <is>
          <t>G8.09</t>
        </is>
      </c>
      <c r="G154" s="22" t="inlineStr">
        <is>
          <t>My work › Timesheet &amp; log (/timesheet) — Friday demo: 'Showed working software to the team' + What was demoed</t>
        </is>
      </c>
      <c r="H154" s="28" t="inlineStr">
        <is>
          <t>OK</t>
        </is>
      </c>
      <c r="I154" s="22" t="inlineStr"/>
      <c r="J154" s="29" t="n"/>
      <c r="K154" s="30" t="n"/>
    </row>
    <row r="155">
      <c r="A155" s="31" t="n">
        <v>151</v>
      </c>
      <c r="B155" s="32" t="inlineStr">
        <is>
          <t>9. Approvals and the manager's approval KPI</t>
        </is>
      </c>
      <c r="C155" s="31" t="n">
        <v>15</v>
      </c>
      <c r="D155" s="32" t="inlineStr">
        <is>
          <t>Heading</t>
        </is>
      </c>
      <c r="E155" s="32" t="inlineStr">
        <is>
          <t>9. Approvals and the manager’s approval KPI</t>
        </is>
      </c>
      <c r="F155" s="31" t="inlineStr">
        <is>
          <t>G9.01–G9.06</t>
        </is>
      </c>
      <c r="G155" s="32" t="inlineStr">
        <is>
          <t>Tasks › Timesheet approvals (/approvals)</t>
        </is>
      </c>
      <c r="H155" s="31" t="inlineStr">
        <is>
          <t>OK</t>
        </is>
      </c>
      <c r="I155" s="32" t="inlineStr"/>
      <c r="J155" s="33" t="n"/>
      <c r="K155" s="34" t="n"/>
    </row>
    <row r="156">
      <c r="A156" s="28" t="n">
        <v>152</v>
      </c>
      <c r="B156" s="22" t="inlineStr">
        <is>
          <t>9. Approvals and the manager's approval KPI</t>
        </is>
      </c>
      <c r="C156" s="28" t="n">
        <v>15</v>
      </c>
      <c r="D156" s="22" t="inlineStr">
        <is>
          <t>Sentence</t>
        </is>
      </c>
      <c r="E156" s="22" t="inlineStr">
        <is>
          <t>Every submitted week goes to the person’s manager (their “reports to”).</t>
        </is>
      </c>
      <c r="F156" s="28" t="inlineStr">
        <is>
          <t>G9.01</t>
        </is>
      </c>
      <c r="G156" s="22" t="inlineStr">
        <is>
          <t>Tasks › Timesheet approvals (/approvals) — submitted weeks go to the reports-to manager</t>
        </is>
      </c>
      <c r="H156" s="28" t="inlineStr">
        <is>
          <t>OK</t>
        </is>
      </c>
      <c r="I156" s="22" t="inlineStr"/>
      <c r="J156" s="29" t="n"/>
      <c r="K156" s="30" t="n"/>
    </row>
    <row r="157">
      <c r="A157" s="28" t="n">
        <v>153</v>
      </c>
      <c r="B157" s="22" t="inlineStr">
        <is>
          <t>9. Approvals and the manager's approval KPI</t>
        </is>
      </c>
      <c r="C157" s="28" t="n">
        <v>15</v>
      </c>
      <c r="D157" s="22" t="inlineStr">
        <is>
          <t>Sentence</t>
        </is>
      </c>
      <c r="E157" s="22" t="inlineStr">
        <is>
          <t>The manager has 2 working days to approve or reject it.</t>
        </is>
      </c>
      <c r="F157" s="28" t="inlineStr">
        <is>
          <t>G9.01</t>
        </is>
      </c>
      <c r="G157" s="22" t="inlineStr">
        <is>
          <t>Tasks › Timesheet approvals (/approvals) — subtitle 'Approve or reject within 2 working days'; due date per week</t>
        </is>
      </c>
      <c r="H157" s="28" t="inlineStr">
        <is>
          <t>OK</t>
        </is>
      </c>
      <c r="I157" s="22" t="inlineStr">
        <is>
          <t>Deadline is a company setting (default 2).</t>
        </is>
      </c>
      <c r="J157" s="29" t="n"/>
      <c r="K157" s="30" t="n"/>
    </row>
    <row r="158">
      <c r="A158" s="28" t="n">
        <v>154</v>
      </c>
      <c r="B158" s="22" t="inlineStr">
        <is>
          <t>9. Approvals and the manager's approval KPI</t>
        </is>
      </c>
      <c r="C158" s="28" t="n">
        <v>16</v>
      </c>
      <c r="D158" s="22" t="inlineStr">
        <is>
          <t>Screenshot caption</t>
        </is>
      </c>
      <c r="E158" s="22" t="inlineStr">
        <is>
          <t>Timesheet approvals: 3 waiting, the approval KPI, hours by day with short days in red, Approve and Reject with reason, and the team’s week-by-week status</t>
        </is>
      </c>
      <c r="F158" s="28" t="inlineStr">
        <is>
          <t>G9.02–G9.04</t>
        </is>
      </c>
      <c r="G158" s="22" t="inlineStr">
        <is>
          <t>Tasks › Timesheet approvals (/approvals) — 'N waiting', KPI strip, waiting list, My team's timesheets</t>
        </is>
      </c>
      <c r="H158" s="28" t="inlineStr">
        <is>
          <t>OK</t>
        </is>
      </c>
      <c r="I158" s="22" t="inlineStr">
        <is>
          <t>Screenshot 015.</t>
        </is>
      </c>
      <c r="J158" s="29" t="n"/>
      <c r="K158" s="30" t="n"/>
    </row>
    <row r="159">
      <c r="A159" s="28" t="n">
        <v>155</v>
      </c>
      <c r="B159" s="22" t="inlineStr">
        <is>
          <t>9. Approvals and the manager's approval KPI</t>
        </is>
      </c>
      <c r="C159" s="28" t="n">
        <v>16</v>
      </c>
      <c r="D159" s="22" t="inlineStr">
        <is>
          <t>Bullet</t>
        </is>
      </c>
      <c r="E159" s="22" t="inlineStr">
        <is>
          <t>KPI strip: approvals on time in the last 30 days, approval lapses (a negative KPI: each approval made late or still waiting past the deadline counts against the manager), overdue right now, and waiting within the deadline.</t>
        </is>
      </c>
      <c r="F159" s="28" t="inlineStr">
        <is>
          <t>G9.02</t>
        </is>
      </c>
      <c r="G159" s="22" t="inlineStr">
        <is>
          <t>Tasks › Timesheet approvals (/approvals) — KPI strip: Approvals on time last 30 days / Approval lapses (negative KPI) / Overdue right now / Waiting within deadline</t>
        </is>
      </c>
      <c r="H159" s="28" t="inlineStr">
        <is>
          <t>OK</t>
        </is>
      </c>
      <c r="I159" s="22" t="inlineStr"/>
      <c r="J159" s="29" t="n"/>
      <c r="K159" s="30" t="n"/>
    </row>
    <row r="160">
      <c r="A160" s="28" t="n">
        <v>156</v>
      </c>
      <c r="B160" s="22" t="inlineStr">
        <is>
          <t>9. Approvals and the manager's approval KPI</t>
        </is>
      </c>
      <c r="C160" s="28" t="n">
        <v>16</v>
      </c>
      <c r="D160" s="22" t="inlineStr">
        <is>
          <t>Bullet</t>
        </is>
      </c>
      <c r="E160" s="22" t="inlineStr">
        <is>
          <t>Waiting list: each week shows hours per day (short days in red), the total, and the due date.</t>
        </is>
      </c>
      <c r="F160" s="28" t="inlineStr">
        <is>
          <t>G9.03</t>
        </is>
      </c>
      <c r="G160" s="22" t="inlineStr">
        <is>
          <t>Tasks › Timesheet approvals (/approvals) — waiting list: hours by day (short red), Total + short days, Due by</t>
        </is>
      </c>
      <c r="H160" s="28" t="inlineStr">
        <is>
          <t>OK</t>
        </is>
      </c>
      <c r="I160" s="22" t="inlineStr"/>
      <c r="J160" s="29" t="n"/>
      <c r="K160" s="30" t="n"/>
    </row>
    <row r="161">
      <c r="A161" s="28" t="n">
        <v>157</v>
      </c>
      <c r="B161" s="22" t="inlineStr">
        <is>
          <t>9. Approvals and the manager's approval KPI</t>
        </is>
      </c>
      <c r="C161" s="28" t="n">
        <v>16</v>
      </c>
      <c r="D161" s="22" t="inlineStr">
        <is>
          <t>Bullet (cont.)</t>
        </is>
      </c>
      <c r="E161" s="22" t="inlineStr">
        <is>
          <t>Overdue items turn red.</t>
        </is>
      </c>
      <c r="F161" s="28" t="inlineStr">
        <is>
          <t>G9.03</t>
        </is>
      </c>
      <c r="G161" s="22" t="inlineStr">
        <is>
          <t>Tasks › Timesheet approvals (/approvals) — overdue 'Due by' in red</t>
        </is>
      </c>
      <c r="H161" s="28" t="inlineStr">
        <is>
          <t>OK</t>
        </is>
      </c>
      <c r="I161" s="22" t="inlineStr"/>
      <c r="J161" s="29" t="n"/>
      <c r="K161" s="30" t="n"/>
    </row>
    <row r="162">
      <c r="A162" s="28" t="n">
        <v>158</v>
      </c>
      <c r="B162" s="22" t="inlineStr">
        <is>
          <t>9. Approvals and the manager's approval KPI</t>
        </is>
      </c>
      <c r="C162" s="28" t="n">
        <v>16</v>
      </c>
      <c r="D162" s="22" t="inlineStr">
        <is>
          <t>Bullet</t>
        </is>
      </c>
      <c r="E162" s="22" t="inlineStr">
        <is>
          <t>Approve or Reject; rejecting needs a reason, and the week goes back to the person to fix.</t>
        </is>
      </c>
      <c r="F162" s="28" t="inlineStr">
        <is>
          <t>G9.03</t>
        </is>
      </c>
      <c r="G162" s="22" t="inlineStr">
        <is>
          <t>Tasks › Timesheet approvals (/approvals) — Approve / Reject with inline reason; person sees 'Sent back by…'</t>
        </is>
      </c>
      <c r="H162" s="28" t="inlineStr">
        <is>
          <t>OK</t>
        </is>
      </c>
      <c r="I162" s="22" t="inlineStr"/>
      <c r="J162" s="29" t="n"/>
      <c r="K162" s="30" t="n"/>
    </row>
    <row r="163">
      <c r="A163" s="28" t="n">
        <v>159</v>
      </c>
      <c r="B163" s="22" t="inlineStr">
        <is>
          <t>9. Approvals and the manager's approval KPI</t>
        </is>
      </c>
      <c r="C163" s="28" t="n">
        <v>16</v>
      </c>
      <c r="D163" s="22" t="inlineStr">
        <is>
          <t>Bullet</t>
        </is>
      </c>
      <c r="E163" s="22" t="inlineStr">
        <is>
          <t>My team’s timesheets: four weeks per person, coloured by status (Approved, Submitted, Locked, Draft).</t>
        </is>
      </c>
      <c r="F163" s="28" t="inlineStr">
        <is>
          <t>G9.04</t>
        </is>
      </c>
      <c r="G163" s="22" t="inlineStr">
        <is>
          <t>Tasks › Timesheet approvals (/approvals) — 'My team's timesheets': 4 weeks per person, Approved / Submitted / Locked / Draft</t>
        </is>
      </c>
      <c r="H163" s="28" t="inlineStr">
        <is>
          <t>OK</t>
        </is>
      </c>
      <c r="I163" s="22" t="inlineStr"/>
      <c r="J163" s="29" t="n"/>
      <c r="K163" s="30" t="n"/>
    </row>
    <row r="164">
      <c r="A164" s="28" t="n">
        <v>160</v>
      </c>
      <c r="B164" s="22" t="inlineStr">
        <is>
          <t>9. Approvals and the manager's approval KPI</t>
        </is>
      </c>
      <c r="C164" s="28" t="n">
        <v>16</v>
      </c>
      <c r="D164" s="22" t="inlineStr">
        <is>
          <t>Bullet (cont.)</t>
        </is>
      </c>
      <c r="E164" s="22" t="inlineStr">
        <is>
          <t>Unlock reopens a locked week for the person.</t>
        </is>
      </c>
      <c r="F164" s="28" t="inlineStr">
        <is>
          <t>G9.04</t>
        </is>
      </c>
      <c r="G164" s="22" t="inlineStr">
        <is>
          <t>Tasks › Timesheet approvals (/approvals) — 'Unlock' on locked weeks</t>
        </is>
      </c>
      <c r="H164" s="28" t="inlineStr">
        <is>
          <t>OK</t>
        </is>
      </c>
      <c r="I164" s="22" t="inlineStr"/>
      <c r="J164" s="29" t="n"/>
      <c r="K164" s="30" t="n"/>
    </row>
    <row r="165">
      <c r="A165" s="28" t="n">
        <v>161</v>
      </c>
      <c r="B165" s="22" t="inlineStr">
        <is>
          <t>9. Approvals and the manager's approval KPI</t>
        </is>
      </c>
      <c r="C165" s="28" t="n">
        <v>16</v>
      </c>
      <c r="D165" s="22" t="inlineStr">
        <is>
          <t>Bullet</t>
        </is>
      </c>
      <c r="E165" s="22" t="inlineStr">
        <is>
          <t>Delegation: a manager going on leave can hand their approvals to someone else for a date range (see section 16).</t>
        </is>
      </c>
      <c r="F165" s="28" t="inlineStr">
        <is>
          <t>G9.05</t>
        </is>
      </c>
      <c r="G165" s="22" t="inlineStr">
        <is>
          <t>Admin › Team &amp; settings › Delegations (/settings/delegations)</t>
        </is>
      </c>
      <c r="H165" s="28" t="inlineStr">
        <is>
          <t>OK</t>
        </is>
      </c>
      <c r="I165" s="22" t="inlineStr"/>
      <c r="J165" s="29" t="n"/>
      <c r="K165" s="30" t="n"/>
    </row>
    <row r="166">
      <c r="A166" s="28" t="n">
        <v>162</v>
      </c>
      <c r="B166" s="22" t="inlineStr">
        <is>
          <t>9. Approvals and the manager's approval KPI</t>
        </is>
      </c>
      <c r="C166" s="28" t="n">
        <v>16</v>
      </c>
      <c r="D166" s="22" t="inlineStr">
        <is>
          <t>Sentence</t>
        </is>
      </c>
      <c r="E166" s="22" t="inlineStr">
        <is>
          <t>The top person (the CEO) has no manager, so their weeks are approved automatically.</t>
        </is>
      </c>
      <c r="F166" s="28" t="inlineStr">
        <is>
          <t>G9.06</t>
        </is>
      </c>
      <c r="G166" s="22" t="inlineStr">
        <is>
          <t>My work › Timesheet &amp; log (/timesheet) — CEO submit → 'Approved automatically (no manager above you)'</t>
        </is>
      </c>
      <c r="H166" s="28" t="inlineStr">
        <is>
          <t>OK</t>
        </is>
      </c>
      <c r="I166" s="22" t="inlineStr"/>
      <c r="J166" s="29" t="n"/>
      <c r="K166" s="30" t="n"/>
    </row>
    <row r="167">
      <c r="A167" s="31" t="n">
        <v>163</v>
      </c>
      <c r="B167" s="32" t="inlineStr">
        <is>
          <t>10. Payroll: pay for approved days</t>
        </is>
      </c>
      <c r="C167" s="31" t="n">
        <v>16</v>
      </c>
      <c r="D167" s="32" t="inlineStr">
        <is>
          <t>Heading</t>
        </is>
      </c>
      <c r="E167" s="32" t="inlineStr">
        <is>
          <t>10. Payroll: pay for approved days</t>
        </is>
      </c>
      <c r="F167" s="31" t="inlineStr">
        <is>
          <t>G10.01–G10.08</t>
        </is>
      </c>
      <c r="G167" s="32" t="inlineStr">
        <is>
          <t>Finance › Payroll (/payroll)</t>
        </is>
      </c>
      <c r="H167" s="31" t="inlineStr">
        <is>
          <t>OK</t>
        </is>
      </c>
      <c r="I167" s="32" t="inlineStr"/>
      <c r="J167" s="33" t="n"/>
      <c r="K167" s="34" t="n"/>
    </row>
    <row r="168">
      <c r="A168" s="28" t="n">
        <v>164</v>
      </c>
      <c r="B168" s="22" t="inlineStr">
        <is>
          <t>10. Payroll: pay for approved days</t>
        </is>
      </c>
      <c r="C168" s="28" t="n">
        <v>16</v>
      </c>
      <c r="D168" s="22" t="inlineStr">
        <is>
          <t>Sentence</t>
        </is>
      </c>
      <c r="E168" s="22" t="inlineStr">
        <is>
          <t>Payroll turns approved timesheets into the amount to pay each person for a month.</t>
        </is>
      </c>
      <c r="F168" s="28" t="inlineStr">
        <is>
          <t>G10.01–G10.04</t>
        </is>
      </c>
      <c r="G168" s="22" t="inlineStr">
        <is>
          <t>Finance › Payroll (/payroll) — 'Pay for approved days'</t>
        </is>
      </c>
      <c r="H168" s="28" t="inlineStr">
        <is>
          <t>OK</t>
        </is>
      </c>
      <c r="I168" s="22" t="inlineStr"/>
      <c r="J168" s="29" t="n"/>
      <c r="K168" s="30" t="n"/>
    </row>
    <row r="169">
      <c r="A169" s="28" t="n">
        <v>165</v>
      </c>
      <c r="B169" s="22" t="inlineStr">
        <is>
          <t>10. Payroll: pay for approved days</t>
        </is>
      </c>
      <c r="C169" s="28" t="n">
        <v>16</v>
      </c>
      <c r="D169" s="22" t="inlineStr">
        <is>
          <t>Sentence</t>
        </is>
      </c>
      <c r="E169" s="22" t="inlineStr">
        <is>
          <t>It is visible to the CEO only.</t>
        </is>
      </c>
      <c r="F169" s="28" t="inlineStr">
        <is>
          <t>G10.03</t>
        </is>
      </c>
      <c r="G169" s="22" t="inlineStr">
        <is>
          <t>Finance › Payroll (/payroll) — CEO and payroll preparers</t>
        </is>
      </c>
      <c r="H169" s="28" t="inlineStr">
        <is>
          <t>Intentional difference</t>
        </is>
      </c>
      <c r="I169" s="22" t="inlineStr">
        <is>
          <t>HR Manager role can prepare payroll and see the ledger; the CEO finalises via maker-checker. Guide said CEO only.</t>
        </is>
      </c>
      <c r="J169" s="29" t="n"/>
      <c r="K169" s="30" t="n"/>
    </row>
    <row r="170">
      <c r="A170" s="28" t="n">
        <v>166</v>
      </c>
      <c r="B170" s="22" t="inlineStr">
        <is>
          <t>10. Payroll: pay for approved days</t>
        </is>
      </c>
      <c r="C170" s="28" t="n">
        <v>17</v>
      </c>
      <c r="D170" s="22" t="inlineStr">
        <is>
          <t>Screenshot caption</t>
        </is>
      </c>
      <c r="E170" s="22" t="inlineStr">
        <is>
          <t>Payroll for a month: working days, approved and unapproved days, leave without pay, deduction, sales variable and net pay per person</t>
        </is>
      </c>
      <c r="F170" s="28" t="inlineStr">
        <is>
          <t>G10.01–G10.06</t>
        </is>
      </c>
      <c r="G170" s="22" t="inlineStr">
        <is>
          <t>Finance › Payroll (/payroll)</t>
        </is>
      </c>
      <c r="H170" s="28" t="inlineStr">
        <is>
          <t>OK</t>
        </is>
      </c>
      <c r="I170" s="22" t="inlineStr">
        <is>
          <t>Screenshot 016.</t>
        </is>
      </c>
      <c r="J170" s="29" t="n"/>
      <c r="K170" s="30" t="n"/>
    </row>
    <row r="171">
      <c r="A171" s="28" t="n">
        <v>167</v>
      </c>
      <c r="B171" s="22" t="inlineStr">
        <is>
          <t>10. Payroll: pay for approved days</t>
        </is>
      </c>
      <c r="C171" s="28" t="n">
        <v>17</v>
      </c>
      <c r="D171" s="22" t="inlineStr">
        <is>
          <t>Bullet</t>
        </is>
      </c>
      <c r="E171" s="22" t="inlineStr">
        <is>
          <t>Pick the month and click Calculate payroll.</t>
        </is>
      </c>
      <c r="F171" s="28" t="inlineStr">
        <is>
          <t>G10.01</t>
        </is>
      </c>
      <c r="G171" s="22" t="inlineStr">
        <is>
          <t>Finance › Payroll (/payroll) — month select + 'Calculate payroll' / 'Recalculate'</t>
        </is>
      </c>
      <c r="H171" s="28" t="inlineStr">
        <is>
          <t>OK</t>
        </is>
      </c>
      <c r="I171" s="22" t="inlineStr"/>
      <c r="J171" s="29" t="n"/>
      <c r="K171" s="30" t="n"/>
    </row>
    <row r="172">
      <c r="A172" s="28" t="n">
        <v>168</v>
      </c>
      <c r="B172" s="22" t="inlineStr">
        <is>
          <t>10. Payroll: pay for approved days</t>
        </is>
      </c>
      <c r="C172" s="28" t="n">
        <v>17</v>
      </c>
      <c r="D172" s="22" t="inlineStr">
        <is>
          <t>Bullet</t>
        </is>
      </c>
      <c r="E172" s="22" t="inlineStr">
        <is>
          <t>For each person: working days in the month, days in approved weeks, unapproved days, leave without pay, the deduction, sales variable earned, and net pay.</t>
        </is>
      </c>
      <c r="F172" s="28" t="inlineStr">
        <is>
          <t>G10.03</t>
        </is>
      </c>
      <c r="G172" s="22" t="inlineStr">
        <is>
          <t>Finance › Payroll (/payroll) — columns Working days, Approved, Pending, Not approved, LWP, CTC / Base, Deduction, Variable, Net payable</t>
        </is>
      </c>
      <c r="H172" s="28" t="inlineStr">
        <is>
          <t>OK</t>
        </is>
      </c>
      <c r="I172" s="22" t="inlineStr">
        <is>
          <t>Pending and Not approved together are the guide's 'unapproved days'.</t>
        </is>
      </c>
      <c r="J172" s="29" t="n"/>
      <c r="K172" s="30" t="n"/>
    </row>
    <row r="173">
      <c r="A173" s="28" t="n">
        <v>169</v>
      </c>
      <c r="B173" s="22" t="inlineStr">
        <is>
          <t>10. Payroll: pay for approved days</t>
        </is>
      </c>
      <c r="C173" s="28" t="n">
        <v>17</v>
      </c>
      <c r="D173" s="22" t="inlineStr">
        <is>
          <t>Bullet</t>
        </is>
      </c>
      <c r="E173" s="22" t="inlineStr">
        <is>
          <t>Deduction = monthly base ÷ working days in the month × (unapproved days + leave-without-pay days).</t>
        </is>
      </c>
      <c r="F173" s="28" t="inlineStr">
        <is>
          <t>G10.04</t>
        </is>
      </c>
      <c r="G173" s="22" t="inlineStr">
        <is>
          <t>Finance › Payroll (/payroll) — Deduction = base ÷ working days × (pending + not approved + LWP); footnote states the formula</t>
        </is>
      </c>
      <c r="H173" s="28" t="inlineStr">
        <is>
          <t>OK — improved</t>
        </is>
      </c>
      <c r="I173" s="22" t="inlineStr">
        <is>
          <t>v6: pending days are now deducted as the guide says ('chase first' shown).</t>
        </is>
      </c>
      <c r="J173" s="29" t="n"/>
      <c r="K173" s="30" t="n"/>
    </row>
    <row r="174">
      <c r="A174" s="28" t="n">
        <v>170</v>
      </c>
      <c r="B174" s="22" t="inlineStr">
        <is>
          <t>10. Payroll: pay for approved days</t>
        </is>
      </c>
      <c r="C174" s="28" t="n">
        <v>17</v>
      </c>
      <c r="D174" s="22" t="inlineStr">
        <is>
          <t>Bullet</t>
        </is>
      </c>
      <c r="E174" s="22" t="inlineStr">
        <is>
          <t>Sales variable is added only when that month’s sales target was met in full.</t>
        </is>
      </c>
      <c r="F174" s="28" t="inlineStr">
        <is>
          <t>G10.05</t>
        </is>
      </c>
      <c r="G174" s="22" t="inlineStr">
        <is>
          <t>Finance › Payroll (/payroll) — Variable column only when the month's target was met</t>
        </is>
      </c>
      <c r="H174" s="28" t="inlineStr">
        <is>
          <t>OK</t>
        </is>
      </c>
      <c r="I174" s="22" t="inlineStr"/>
      <c r="J174" s="29" t="n"/>
      <c r="K174" s="30" t="n"/>
    </row>
    <row r="175">
      <c r="A175" s="28" t="n">
        <v>171</v>
      </c>
      <c r="B175" s="22" t="inlineStr">
        <is>
          <t>10. Payroll: pay for approved days</t>
        </is>
      </c>
      <c r="C175" s="28" t="n">
        <v>17</v>
      </c>
      <c r="D175" s="22" t="inlineStr">
        <is>
          <t>Bullet</t>
        </is>
      </c>
      <c r="E175" s="22" t="inlineStr">
        <is>
          <t>Anyone with unsubmitted or unapproved weeks is flagged before you pay, so you can chase the approval first.</t>
        </is>
      </c>
      <c r="F175" s="28" t="inlineStr">
        <is>
          <t>G10.06</t>
        </is>
      </c>
      <c r="G175" s="22" t="inlineStr">
        <is>
          <t>Finance › Payroll (/payroll) — 'Chase before you pay' list incl. 'N pending days deducted — chase first'</t>
        </is>
      </c>
      <c r="H175" s="28" t="inlineStr">
        <is>
          <t>OK — improved</t>
        </is>
      </c>
      <c r="I175" s="22" t="inlineStr">
        <is>
          <t>v6: deactivated people excluded; pending weeks counted.</t>
        </is>
      </c>
      <c r="J175" s="29" t="n"/>
      <c r="K175" s="30" t="n"/>
    </row>
    <row r="176">
      <c r="A176" s="28" t="n">
        <v>172</v>
      </c>
      <c r="B176" s="22" t="inlineStr">
        <is>
          <t>10. Payroll: pay for approved days</t>
        </is>
      </c>
      <c r="C176" s="28" t="n">
        <v>17</v>
      </c>
      <c r="D176" s="22" t="inlineStr">
        <is>
          <t>Bullet</t>
        </is>
      </c>
      <c r="E176" s="22" t="inlineStr">
        <is>
          <t>The SaaS version adds a CSV export for the bank or the accountant.</t>
        </is>
      </c>
      <c r="F176" s="28" t="inlineStr">
        <is>
          <t>G10.07</t>
        </is>
      </c>
      <c r="G176" s="22" t="inlineStr">
        <is>
          <t>Finance › Payroll (/payroll) — Export: bank CSV, full CSV / Excel / PDF</t>
        </is>
      </c>
      <c r="H176" s="28" t="inlineStr">
        <is>
          <t>OK</t>
        </is>
      </c>
      <c r="I176" s="22" t="inlineStr"/>
      <c r="J176" s="29" t="n"/>
      <c r="K176" s="30" t="n"/>
    </row>
    <row r="177">
      <c r="A177" s="28" t="n">
        <v>173</v>
      </c>
      <c r="B177" s="22" t="inlineStr">
        <is>
          <t>10. Payroll: pay for approved days</t>
        </is>
      </c>
      <c r="C177" s="28" t="n">
        <v>17</v>
      </c>
      <c r="D177" s="22" t="inlineStr">
        <is>
          <t>Sentence</t>
        </is>
      </c>
      <c r="E177" s="22" t="inlineStr">
        <is>
          <t>In the SaaS version, deducting unapproved days is a company setting (off by default for new customers), because withholding pay is a legal decision each company should make knowingly.</t>
        </is>
      </c>
      <c r="F177" s="28" t="inlineStr">
        <is>
          <t>G10.08</t>
        </is>
      </c>
      <c r="G177" s="22" t="inlineStr">
        <is>
          <t>Admin › Team &amp; settings › Company &amp; rules › Pay — 'Deduct unapproved days' (default off; on for Seereon)</t>
        </is>
      </c>
      <c r="H177" s="28" t="inlineStr">
        <is>
          <t>OK</t>
        </is>
      </c>
      <c r="I177" s="22" t="inlineStr">
        <is>
          <t>Matches the guide (off for new customers); Seereon has chosen to switch it on.</t>
        </is>
      </c>
      <c r="J177" s="29" t="n"/>
      <c r="K177" s="30" t="n"/>
    </row>
    <row r="178">
      <c r="A178" s="28" t="n">
        <v>174</v>
      </c>
      <c r="B178" s="22" t="inlineStr">
        <is>
          <t>10. Payroll: pay for approved days</t>
        </is>
      </c>
      <c r="C178" s="28" t="n">
        <v>17</v>
      </c>
      <c r="D178" s="22" t="inlineStr">
        <is>
          <t>Sentence</t>
        </is>
      </c>
      <c r="E178" s="22" t="inlineStr">
        <is>
          <t>The board computes the payable amount only; PF, ESI and TDS are out of scope for v1.</t>
        </is>
      </c>
      <c r="F178" s="28" t="inlineStr">
        <is>
          <t>G10.08</t>
        </is>
      </c>
      <c r="G178" s="22" t="inlineStr">
        <is>
          <t>Finance › Payroll (/payroll) — footnote 'PF, ESI and TDS are out of scope'</t>
        </is>
      </c>
      <c r="H178" s="28" t="inlineStr">
        <is>
          <t>OK</t>
        </is>
      </c>
      <c r="I178" s="22" t="inlineStr"/>
      <c r="J178" s="29" t="n"/>
      <c r="K178" s="30" t="n"/>
    </row>
    <row r="179">
      <c r="A179" s="31" t="n">
        <v>175</v>
      </c>
      <c r="B179" s="32" t="inlineStr">
        <is>
          <t>11. Sales: leads, pipeline and the activity trail</t>
        </is>
      </c>
      <c r="C179" s="31" t="n">
        <v>17</v>
      </c>
      <c r="D179" s="32" t="inlineStr">
        <is>
          <t>Heading</t>
        </is>
      </c>
      <c r="E179" s="32" t="inlineStr">
        <is>
          <t>11. Sales: leads, pipeline and the activity trail</t>
        </is>
      </c>
      <c r="F179" s="31" t="inlineStr">
        <is>
          <t>G11.01–G11.07</t>
        </is>
      </c>
      <c r="G179" s="32" t="inlineStr">
        <is>
          <t>Sales › Pipeline / Activity log</t>
        </is>
      </c>
      <c r="H179" s="31" t="inlineStr">
        <is>
          <t>OK</t>
        </is>
      </c>
      <c r="I179" s="32" t="inlineStr"/>
      <c r="J179" s="33" t="n"/>
      <c r="K179" s="34" t="n"/>
    </row>
    <row r="180">
      <c r="A180" s="28" t="n">
        <v>176</v>
      </c>
      <c r="B180" s="22" t="inlineStr">
        <is>
          <t>11. Sales: leads, pipeline and the activity trail</t>
        </is>
      </c>
      <c r="C180" s="28" t="n">
        <v>17</v>
      </c>
      <c r="D180" s="22" t="inlineStr">
        <is>
          <t>Sentence</t>
        </is>
      </c>
      <c r="E180" s="22" t="inlineStr">
        <is>
          <t>Every deal is traceable from first contact to cash: who created it, every stage it moved through and when, and every call, meeting and proposal along the way.</t>
        </is>
      </c>
      <c r="F180" s="28" t="inlineStr">
        <is>
          <t>G11.07</t>
        </is>
      </c>
      <c r="G180" s="22" t="inlineStr">
        <is>
          <t>Sales › deal page (/sales/:id) — created by, stage history, activities timeline</t>
        </is>
      </c>
      <c r="H180" s="28" t="inlineStr">
        <is>
          <t>OK</t>
        </is>
      </c>
      <c r="I180" s="22" t="inlineStr"/>
      <c r="J180" s="29" t="n"/>
      <c r="K180" s="30" t="n"/>
    </row>
    <row r="181">
      <c r="A181" s="28" t="n">
        <v>177</v>
      </c>
      <c r="B181" s="22" t="inlineStr">
        <is>
          <t>11. Sales: leads, pipeline and the activity trail</t>
        </is>
      </c>
      <c r="C181" s="28" t="n">
        <v>18</v>
      </c>
      <c r="D181" s="22" t="inlineStr">
        <is>
          <t>Screenshot caption</t>
        </is>
      </c>
      <c r="E181" s="22" t="inlineStr">
        <is>
          <t>New lead form: opportunity, company, contact, product, source, owner, stage, value, recurring value, expected close and next step</t>
        </is>
      </c>
      <c r="F181" s="28" t="inlineStr">
        <is>
          <t>G11.01</t>
        </is>
      </c>
      <c r="G181" s="22" t="inlineStr">
        <is>
          <t>Sales › Pipeline (/sales) › '+ New lead'</t>
        </is>
      </c>
      <c r="H181" s="28" t="inlineStr">
        <is>
          <t>OK</t>
        </is>
      </c>
      <c r="I181" s="22" t="inlineStr">
        <is>
          <t>Screenshot 017.</t>
        </is>
      </c>
      <c r="J181" s="29" t="n"/>
      <c r="K181" s="30" t="n"/>
    </row>
    <row r="182">
      <c r="A182" s="28" t="n">
        <v>178</v>
      </c>
      <c r="B182" s="22" t="inlineStr">
        <is>
          <t>11. Sales: leads, pipeline and the activity trail</t>
        </is>
      </c>
      <c r="C182" s="28" t="n">
        <v>18</v>
      </c>
      <c r="D182" s="22" t="inlineStr">
        <is>
          <t>Sentence</t>
        </is>
      </c>
      <c r="E182" s="22" t="inlineStr">
        <is>
          <t>+ New lead creates a lead by hand: opportunity name, company, contact person, phone, email, product, source (referral, BNI, website, cold call, event, partner), owner, stage, one-time value, monthly recurring value, expected close date, the next step and its date, and how the lead came in.</t>
        </is>
      </c>
      <c r="F182" s="28" t="inlineStr">
        <is>
          <t>G11.01</t>
        </is>
      </c>
      <c r="G182" s="22" t="inlineStr">
        <is>
          <t>Sales › Pipeline (/sales) › '+ New lead' dialog: every listed field (+ notes)</t>
        </is>
      </c>
      <c r="H182" s="28" t="inlineStr">
        <is>
          <t>OK</t>
        </is>
      </c>
      <c r="I182" s="22" t="inlineStr"/>
      <c r="J182" s="29" t="n"/>
      <c r="K182" s="30" t="n"/>
    </row>
    <row r="183">
      <c r="A183" s="28" t="n">
        <v>179</v>
      </c>
      <c r="B183" s="22" t="inlineStr">
        <is>
          <t>11. Sales: leads, pipeline and the activity trail</t>
        </is>
      </c>
      <c r="C183" s="28" t="n">
        <v>18</v>
      </c>
      <c r="D183" s="22" t="inlineStr">
        <is>
          <t>Screenshot caption</t>
        </is>
      </c>
      <c r="E183" s="22" t="inlineStr">
        <is>
          <t>Pipeline: open value, weighted value, win rate, deals by stage and the funnel</t>
        </is>
      </c>
      <c r="F183" s="28" t="inlineStr">
        <is>
          <t>G11.02, G11.03</t>
        </is>
      </c>
      <c r="G183" s="22" t="inlineStr">
        <is>
          <t>Sales › Pipeline (/sales) — KPIs and Funnel</t>
        </is>
      </c>
      <c r="H183" s="28" t="inlineStr">
        <is>
          <t>OK</t>
        </is>
      </c>
      <c r="I183" s="22" t="inlineStr">
        <is>
          <t>Screenshot 018.</t>
        </is>
      </c>
      <c r="J183" s="29" t="n"/>
      <c r="K183" s="30" t="n"/>
    </row>
    <row r="184">
      <c r="A184" s="28" t="n">
        <v>180</v>
      </c>
      <c r="B184" s="22" t="inlineStr">
        <is>
          <t>11. Sales: leads, pipeline and the activity trail</t>
        </is>
      </c>
      <c r="C184" s="28" t="n">
        <v>18</v>
      </c>
      <c r="D184" s="22" t="inlineStr">
        <is>
          <t>Sentence</t>
        </is>
      </c>
      <c r="E184" s="22" t="inlineStr">
        <is>
          <t>Pipeline shows open value, weighted value (each deal’s value × its stage’s chance of closing), win rate, average days to close, and the funnel by stage: Lead, Qualified, Demo, Proposal, Negotiation, Won, Lost.</t>
        </is>
      </c>
      <c r="F184" s="28" t="inlineStr">
        <is>
          <t>G11.02, G11.03</t>
        </is>
      </c>
      <c r="G184" s="22" t="inlineStr">
        <is>
          <t>Sales › Pipeline (/sales) — Open value, Weighted, Win rate, 'Average days to close' (+ median); Funnel Lead / Qualified / Demo / Proposal / Negotiation / Won / Lost</t>
        </is>
      </c>
      <c r="H184" s="28" t="inlineStr">
        <is>
          <t>OK — improved</t>
        </is>
      </c>
      <c r="I184" s="22" t="inlineStr">
        <is>
          <t>v6: stage names and 'average days to close' now match the guide.</t>
        </is>
      </c>
      <c r="J184" s="29" t="n"/>
      <c r="K184" s="30" t="n"/>
    </row>
    <row r="185">
      <c r="A185" s="28" t="n">
        <v>181</v>
      </c>
      <c r="B185" s="22" t="inlineStr">
        <is>
          <t>11. Sales: leads, pipeline and the activity trail</t>
        </is>
      </c>
      <c r="C185" s="28" t="n">
        <v>18</v>
      </c>
      <c r="D185" s="22" t="inlineStr">
        <is>
          <t>Sentence</t>
        </is>
      </c>
      <c r="E185" s="22" t="inlineStr">
        <is>
          <t>Moving a deal to Lost asks for a reason; Won records the date and can create a project.</t>
        </is>
      </c>
      <c r="F185" s="28" t="inlineStr">
        <is>
          <t>G11.04</t>
        </is>
      </c>
      <c r="G185" s="22" t="inlineStr">
        <is>
          <t>Sales › Pipeline (/sales) — 'Mark lost' needs a reason; 'Mark won' records the date and offers 'Create project'</t>
        </is>
      </c>
      <c r="H185" s="28" t="inlineStr">
        <is>
          <t>OK — improved</t>
        </is>
      </c>
      <c r="I185" s="22" t="inlineStr">
        <is>
          <t>v6: stage history correctly reads 'Qualified → Won'.</t>
        </is>
      </c>
      <c r="J185" s="29" t="n"/>
      <c r="K185" s="30" t="n"/>
    </row>
    <row r="186">
      <c r="A186" s="28" t="n">
        <v>182</v>
      </c>
      <c r="B186" s="22" t="inlineStr">
        <is>
          <t>11. Sales: leads, pipeline and the activity trail</t>
        </is>
      </c>
      <c r="C186" s="28" t="n">
        <v>19</v>
      </c>
      <c r="D186" s="22" t="inlineStr">
        <is>
          <t>Screenshot caption</t>
        </is>
      </c>
      <c r="E186" s="22" t="inlineStr">
        <is>
          <t>Sales activity log for the last 30 days: date, salesperson, deal, activity type and note</t>
        </is>
      </c>
      <c r="F186" s="28" t="inlineStr">
        <is>
          <t>G11.05</t>
        </is>
      </c>
      <c r="G186" s="22" t="inlineStr">
        <is>
          <t>Sales › Activity log (/sales/activity)</t>
        </is>
      </c>
      <c r="H186" s="28" t="inlineStr">
        <is>
          <t>OK</t>
        </is>
      </c>
      <c r="I186" s="22" t="inlineStr">
        <is>
          <t>Screenshot 019.</t>
        </is>
      </c>
      <c r="J186" s="29" t="n"/>
      <c r="K186" s="30" t="n"/>
    </row>
    <row r="187">
      <c r="A187" s="28" t="n">
        <v>183</v>
      </c>
      <c r="B187" s="22" t="inlineStr">
        <is>
          <t>11. Sales: leads, pipeline and the activity trail</t>
        </is>
      </c>
      <c r="C187" s="28" t="n">
        <v>19</v>
      </c>
      <c r="D187" s="22" t="inlineStr">
        <is>
          <t>Sentence</t>
        </is>
      </c>
      <c r="E187" s="22" t="inlineStr">
        <is>
          <t>The activity log lists every stage change and activity in the last 30 days, by person and deal.</t>
        </is>
      </c>
      <c r="F187" s="28" t="inlineStr">
        <is>
          <t>G11.05</t>
        </is>
      </c>
      <c r="G187" s="22" t="inlineStr">
        <is>
          <t>Sales › Activity log — 7 / 30 / 90 days, person filter, Date / Who / Deal / What / Detail</t>
        </is>
      </c>
      <c r="H187" s="28" t="inlineStr">
        <is>
          <t>OK</t>
        </is>
      </c>
      <c r="I187" s="22" t="inlineStr"/>
      <c r="J187" s="29" t="n"/>
      <c r="K187" s="30" t="n"/>
    </row>
    <row r="188">
      <c r="A188" s="28" t="n">
        <v>184</v>
      </c>
      <c r="B188" s="22" t="inlineStr">
        <is>
          <t>11. Sales: leads, pipeline and the activity trail</t>
        </is>
      </c>
      <c r="C188" s="28" t="n">
        <v>19</v>
      </c>
      <c r="D188" s="22" t="inlineStr">
        <is>
          <t>Sentence</t>
        </is>
      </c>
      <c r="E188" s="22" t="inlineStr">
        <is>
          <t>A deal with no activity for 14 days is flagged as stale.</t>
        </is>
      </c>
      <c r="F188" s="28" t="inlineStr">
        <is>
          <t>G11.06</t>
        </is>
      </c>
      <c r="G188" s="22" t="inlineStr">
        <is>
          <t>Sales › Pipeline (/sales) — 'Nd idle' on cards; KPI 'Deals with no activity in 14 days'</t>
        </is>
      </c>
      <c r="H188" s="28" t="inlineStr">
        <is>
          <t>OK</t>
        </is>
      </c>
      <c r="I188" s="22" t="inlineStr"/>
      <c r="J188" s="29" t="n"/>
      <c r="K188" s="30" t="n"/>
    </row>
    <row r="189">
      <c r="A189" s="31" t="n">
        <v>185</v>
      </c>
      <c r="B189" s="32" t="inlineStr">
        <is>
          <t>12. Sales cost, performance and pay</t>
        </is>
      </c>
      <c r="C189" s="31" t="n">
        <v>19</v>
      </c>
      <c r="D189" s="32" t="inlineStr">
        <is>
          <t>Heading</t>
        </is>
      </c>
      <c r="E189" s="32" t="inlineStr">
        <is>
          <t>12. Sales cost, performance and pay</t>
        </is>
      </c>
      <c r="F189" s="31" t="inlineStr">
        <is>
          <t>G12.01–G12.08</t>
        </is>
      </c>
      <c r="G189" s="32" t="inlineStr">
        <is>
          <t>Sales › Compensation (/sales/compensation); Sales › Performance (/sales/performance)</t>
        </is>
      </c>
      <c r="H189" s="31" t="inlineStr">
        <is>
          <t>OK</t>
        </is>
      </c>
      <c r="I189" s="32" t="inlineStr"/>
      <c r="J189" s="33" t="n"/>
      <c r="K189" s="34" t="n"/>
    </row>
    <row r="190">
      <c r="A190" s="28" t="n">
        <v>186</v>
      </c>
      <c r="B190" s="22" t="inlineStr">
        <is>
          <t>12. Sales cost, performance and pay</t>
        </is>
      </c>
      <c r="C190" s="28" t="n">
        <v>19</v>
      </c>
      <c r="D190" s="22" t="inlineStr">
        <is>
          <t>Sentence</t>
        </is>
      </c>
      <c r="E190" s="22" t="inlineStr">
        <is>
          <t>Sales is judged on what it costs against what it brings in, per person and per period.</t>
        </is>
      </c>
      <c r="F190" s="28" t="inlineStr">
        <is>
          <t>G12.02</t>
        </is>
      </c>
      <c r="G190" s="22" t="inlineStr">
        <is>
          <t>Sales › Compensation (/sales/compensation) — 'Sales cost vs deals closed'</t>
        </is>
      </c>
      <c r="H190" s="28" t="inlineStr">
        <is>
          <t>OK</t>
        </is>
      </c>
      <c r="I190" s="22" t="inlineStr"/>
      <c r="J190" s="29" t="n"/>
      <c r="K190" s="30" t="n"/>
    </row>
    <row r="191">
      <c r="A191" s="28" t="n">
        <v>187</v>
      </c>
      <c r="B191" s="22" t="inlineStr">
        <is>
          <t>12. Sales cost, performance and pay</t>
        </is>
      </c>
      <c r="C191" s="28" t="n">
        <v>20</v>
      </c>
      <c r="D191" s="22" t="inlineStr">
        <is>
          <t>Screenshot caption</t>
        </is>
      </c>
      <c r="E191" s="22" t="inlineStr">
        <is>
          <t>Sales cost vs deals closed: switch by month, quarter or year; base and variable pay per salesperson; target, achieved and payout; trend by month</t>
        </is>
      </c>
      <c r="F191" s="28" t="inlineStr">
        <is>
          <t>G12.01–G12.05</t>
        </is>
      </c>
      <c r="G191" s="22" t="inlineStr">
        <is>
          <t>Sales › Compensation (/sales/compensation)</t>
        </is>
      </c>
      <c r="H191" s="28" t="inlineStr">
        <is>
          <t>OK</t>
        </is>
      </c>
      <c r="I191" s="22" t="inlineStr">
        <is>
          <t>Screenshot 020.</t>
        </is>
      </c>
      <c r="J191" s="29" t="n"/>
      <c r="K191" s="30" t="n"/>
    </row>
    <row r="192">
      <c r="A192" s="28" t="n">
        <v>188</v>
      </c>
      <c r="B192" s="22" t="inlineStr">
        <is>
          <t>12. Sales cost, performance and pay</t>
        </is>
      </c>
      <c r="C192" s="28" t="n">
        <v>20</v>
      </c>
      <c r="D192" s="22" t="inlineStr">
        <is>
          <t>Bullet</t>
        </is>
      </c>
      <c r="E192" s="22" t="inlineStr">
        <is>
          <t>Month, Quarter, Year switch the period.</t>
        </is>
      </c>
      <c r="F192" s="28" t="inlineStr">
        <is>
          <t>G12.01</t>
        </is>
      </c>
      <c r="G192" s="22" t="inlineStr">
        <is>
          <t>Sales › Compensation (/sales/compensation) — Month / Quarter / Year switch + period picker</t>
        </is>
      </c>
      <c r="H192" s="28" t="inlineStr">
        <is>
          <t>OK</t>
        </is>
      </c>
      <c r="I192" s="22" t="inlineStr"/>
      <c r="J192" s="29" t="n"/>
      <c r="K192" s="30" t="n"/>
    </row>
    <row r="193">
      <c r="A193" s="28" t="n">
        <v>189</v>
      </c>
      <c r="B193" s="22" t="inlineStr">
        <is>
          <t>12. Sales cost, performance and pay</t>
        </is>
      </c>
      <c r="C193" s="28" t="n">
        <v>20</v>
      </c>
      <c r="D193" s="22" t="inlineStr">
        <is>
          <t>Bullet</t>
        </is>
      </c>
      <c r="E193" s="22" t="inlineStr">
        <is>
          <t>Sales cost = base salary + variable pay earned.</t>
        </is>
      </c>
      <c r="F193" s="28" t="inlineStr">
        <is>
          <t>G12.02</t>
        </is>
      </c>
      <c r="G193" s="22" t="inlineStr">
        <is>
          <t>Sales › Compensation (/sales/compensation) — KPI 'Sales cost' = base + variable earned</t>
        </is>
      </c>
      <c r="H193" s="28" t="inlineStr">
        <is>
          <t>OK — improved</t>
        </is>
      </c>
      <c r="I193" s="22" t="inlineStr">
        <is>
          <t>v6: was CTC; now base + variable earned as the guide says.</t>
        </is>
      </c>
      <c r="J193" s="29" t="n"/>
      <c r="K193" s="30" t="n"/>
    </row>
    <row r="194">
      <c r="A194" s="28" t="n">
        <v>190</v>
      </c>
      <c r="B194" s="22" t="inlineStr">
        <is>
          <t>12. Sales cost, performance and pay</t>
        </is>
      </c>
      <c r="C194" s="28" t="n">
        <v>20</v>
      </c>
      <c r="D194" s="22" t="inlineStr">
        <is>
          <t>Bullet (cont.)</t>
        </is>
      </c>
      <c r="E194" s="22" t="inlineStr">
        <is>
          <t>Deals closed = value of deals won in the period.</t>
        </is>
      </c>
      <c r="F194" s="28" t="inlineStr">
        <is>
          <t>G12.02</t>
        </is>
      </c>
      <c r="G194" s="22" t="inlineStr">
        <is>
          <t>Sales › Compensation (/sales/compensation) — 'Deals closed' KPI</t>
        </is>
      </c>
      <c r="H194" s="28" t="inlineStr">
        <is>
          <t>OK</t>
        </is>
      </c>
      <c r="I194" s="22" t="inlineStr"/>
      <c r="J194" s="29" t="n"/>
      <c r="K194" s="30" t="n"/>
    </row>
    <row r="195">
      <c r="A195" s="28" t="n">
        <v>191</v>
      </c>
      <c r="B195" s="22" t="inlineStr">
        <is>
          <t>12. Sales cost, performance and pay</t>
        </is>
      </c>
      <c r="C195" s="28" t="n">
        <v>20</v>
      </c>
      <c r="D195" s="22" t="inlineStr">
        <is>
          <t>Bullet (cont.)</t>
        </is>
      </c>
      <c r="E195" s="22" t="inlineStr">
        <is>
          <t>The ratio shows how many rupees of sales each rupee of sales cost produced.</t>
        </is>
      </c>
      <c r="F195" s="28" t="inlineStr">
        <is>
          <t>G12.02</t>
        </is>
      </c>
      <c r="G195" s="22" t="inlineStr">
        <is>
          <t>Sales › Compensation (/sales/compensation) — ratio shown as ₹ of sales per ₹1 of sales cost (×)</t>
        </is>
      </c>
      <c r="H195" s="28" t="inlineStr">
        <is>
          <t>OK</t>
        </is>
      </c>
      <c r="I195" s="22" t="inlineStr"/>
      <c r="J195" s="29" t="n"/>
      <c r="K195" s="30" t="n"/>
    </row>
    <row r="196">
      <c r="A196" s="28" t="n">
        <v>192</v>
      </c>
      <c r="B196" s="22" t="inlineStr">
        <is>
          <t>12. Sales cost, performance and pay</t>
        </is>
      </c>
      <c r="C196" s="28" t="n">
        <v>20</v>
      </c>
      <c r="D196" s="22" t="inlineStr">
        <is>
          <t>Bullet</t>
        </is>
      </c>
      <c r="E196" s="22" t="inlineStr">
        <is>
          <t>Base and variable: each salesperson’s pay splits into a fixed base and a variable part (20% of CTC by default).</t>
        </is>
      </c>
      <c r="F196" s="28" t="inlineStr">
        <is>
          <t>G12.03</t>
        </is>
      </c>
      <c r="G196" s="22" t="inlineStr">
        <is>
          <t>Sales › Compensation (/sales/compensation) — 'Per salesperson': base and variable % (default 20%)</t>
        </is>
      </c>
      <c r="H196" s="28" t="inlineStr">
        <is>
          <t>OK</t>
        </is>
      </c>
      <c r="I196" s="22" t="inlineStr"/>
      <c r="J196" s="29" t="n"/>
      <c r="K196" s="30" t="n"/>
    </row>
    <row r="197">
      <c r="A197" s="28" t="n">
        <v>193</v>
      </c>
      <c r="B197" s="22" t="inlineStr">
        <is>
          <t>12. Sales cost, performance and pay</t>
        </is>
      </c>
      <c r="C197" s="28" t="n">
        <v>20</v>
      </c>
      <c r="D197" s="22" t="inlineStr">
        <is>
          <t>Bullet (cont.)</t>
        </is>
      </c>
      <c r="E197" s="22" t="inlineStr">
        <is>
          <t>Their monthly target defaults to their monthly CTC.</t>
        </is>
      </c>
      <c r="F197" s="28" t="inlineStr">
        <is>
          <t>G12.03</t>
        </is>
      </c>
      <c r="G197" s="22" t="inlineStr">
        <is>
          <t>Sales › Compensation (/sales/compensation) — monthly target defaults to monthly CTC</t>
        </is>
      </c>
      <c r="H197" s="28" t="inlineStr">
        <is>
          <t>OK — improved</t>
        </is>
      </c>
      <c r="I197" s="22" t="inlineStr">
        <is>
          <t>v6: seed fixed (Subham target = CTC).</t>
        </is>
      </c>
      <c r="J197" s="29" t="n"/>
      <c r="K197" s="30" t="n"/>
    </row>
    <row r="198">
      <c r="A198" s="28" t="n">
        <v>194</v>
      </c>
      <c r="B198" s="22" t="inlineStr">
        <is>
          <t>12. Sales cost, performance and pay</t>
        </is>
      </c>
      <c r="C198" s="28" t="n">
        <v>20</v>
      </c>
      <c r="D198" s="22" t="inlineStr">
        <is>
          <t>Bullet</t>
        </is>
      </c>
      <c r="E198" s="22" t="inlineStr">
        <is>
          <t>Variable is earned only at 100% of target.</t>
        </is>
      </c>
      <c r="F198" s="28" t="inlineStr">
        <is>
          <t>G12.04</t>
        </is>
      </c>
      <c r="G198" s="22" t="inlineStr">
        <is>
          <t>Sales › Compensation (/sales/compensation) — variable only at 100% of target</t>
        </is>
      </c>
      <c r="H198" s="28" t="inlineStr">
        <is>
          <t>OK</t>
        </is>
      </c>
      <c r="I198" s="22" t="inlineStr"/>
      <c r="J198" s="29" t="n"/>
      <c r="K198" s="30" t="n"/>
    </row>
    <row r="199">
      <c r="A199" s="28" t="n">
        <v>195</v>
      </c>
      <c r="B199" s="22" t="inlineStr">
        <is>
          <t>12. Sales cost, performance and pay</t>
        </is>
      </c>
      <c r="C199" s="28" t="n">
        <v>20</v>
      </c>
      <c r="D199" s="22" t="inlineStr">
        <is>
          <t>Bullet (cont.)</t>
        </is>
      </c>
      <c r="E199" s="22" t="inlineStr">
        <is>
          <t>At 95% of target, only the base is paid.</t>
        </is>
      </c>
      <c r="F199" s="28" t="inlineStr">
        <is>
          <t>G12.04</t>
        </is>
      </c>
      <c r="G199" s="22" t="inlineStr">
        <is>
          <t>Sales › Compensation (/sales/compensation) — below 100% only base paid</t>
        </is>
      </c>
      <c r="H199" s="28" t="inlineStr">
        <is>
          <t>OK</t>
        </is>
      </c>
      <c r="I199" s="22" t="inlineStr"/>
      <c r="J199" s="29" t="n"/>
      <c r="K199" s="30" t="n"/>
    </row>
    <row r="200">
      <c r="A200" s="28" t="n">
        <v>196</v>
      </c>
      <c r="B200" s="22" t="inlineStr">
        <is>
          <t>12. Sales cost, performance and pay</t>
        </is>
      </c>
      <c r="C200" s="28" t="n">
        <v>20</v>
      </c>
      <c r="D200" s="22" t="inlineStr">
        <is>
          <t>Bullet (cont.)</t>
        </is>
      </c>
      <c r="E200" s="22" t="inlineStr">
        <is>
          <t>Example: CTC ₹50,000, variable 20% → base ₹40,000, variable ₹10,000.</t>
        </is>
      </c>
      <c r="F200" s="28" t="inlineStr">
        <is>
          <t>G12.04</t>
        </is>
      </c>
      <c r="G200" s="22" t="inlineStr">
        <is>
          <t>Sales › Compensation (/sales/compensation) — footnote example</t>
        </is>
      </c>
      <c r="H200" s="28" t="inlineStr">
        <is>
          <t>OK</t>
        </is>
      </c>
      <c r="I200" s="22" t="inlineStr"/>
      <c r="J200" s="29" t="n"/>
      <c r="K200" s="30" t="n"/>
    </row>
    <row r="201">
      <c r="A201" s="28" t="n">
        <v>197</v>
      </c>
      <c r="B201" s="22" t="inlineStr">
        <is>
          <t>12. Sales cost, performance and pay</t>
        </is>
      </c>
      <c r="C201" s="28" t="n">
        <v>20</v>
      </c>
      <c r="D201" s="22" t="inlineStr">
        <is>
          <t>Bullet (cont.)</t>
        </is>
      </c>
      <c r="E201" s="22" t="inlineStr">
        <is>
          <t>Achieved 95% → pay ₹40,000.</t>
        </is>
      </c>
      <c r="F201" s="28" t="inlineStr">
        <is>
          <t>G12.04</t>
        </is>
      </c>
      <c r="G201" s="22" t="inlineStr">
        <is>
          <t>Sales › Compensation (/sales/compensation) — 95% → base only</t>
        </is>
      </c>
      <c r="H201" s="28" t="inlineStr">
        <is>
          <t>OK</t>
        </is>
      </c>
      <c r="I201" s="22" t="inlineStr"/>
      <c r="J201" s="29" t="n"/>
      <c r="K201" s="30" t="n"/>
    </row>
    <row r="202">
      <c r="A202" s="28" t="n">
        <v>198</v>
      </c>
      <c r="B202" s="22" t="inlineStr">
        <is>
          <t>12. Sales cost, performance and pay</t>
        </is>
      </c>
      <c r="C202" s="28" t="n">
        <v>20</v>
      </c>
      <c r="D202" s="22" t="inlineStr">
        <is>
          <t>Bullet (cont.)</t>
        </is>
      </c>
      <c r="E202" s="22" t="inlineStr">
        <is>
          <t>Achieved 100% → pay ₹50,000.</t>
        </is>
      </c>
      <c r="F202" s="28" t="inlineStr">
        <is>
          <t>G12.04</t>
        </is>
      </c>
      <c r="G202" s="22" t="inlineStr">
        <is>
          <t>Sales › Compensation (/sales/compensation) — 100% → base + variable</t>
        </is>
      </c>
      <c r="H202" s="28" t="inlineStr">
        <is>
          <t>OK</t>
        </is>
      </c>
      <c r="I202" s="22" t="inlineStr"/>
      <c r="J202" s="29" t="n"/>
      <c r="K202" s="30" t="n"/>
    </row>
    <row r="203">
      <c r="A203" s="28" t="n">
        <v>199</v>
      </c>
      <c r="B203" s="22" t="inlineStr">
        <is>
          <t>12. Sales cost, performance and pay</t>
        </is>
      </c>
      <c r="C203" s="28" t="n">
        <v>20</v>
      </c>
      <c r="D203" s="22" t="inlineStr">
        <is>
          <t>Bullet</t>
        </is>
      </c>
      <c r="E203" s="22" t="inlineStr">
        <is>
          <t>Trend by month: sales cost against deals closed for each month.</t>
        </is>
      </c>
      <c r="F203" s="28" t="inlineStr">
        <is>
          <t>G12.05</t>
        </is>
      </c>
      <c r="G203" s="22" t="inlineStr">
        <is>
          <t>Sales › Compensation (/sales/compensation) — 'Trend by month': Sales cost vs deals closed</t>
        </is>
      </c>
      <c r="H203" s="28" t="inlineStr">
        <is>
          <t>OK</t>
        </is>
      </c>
      <c r="I203" s="22" t="inlineStr"/>
      <c r="J203" s="29" t="n"/>
      <c r="K203" s="30" t="n"/>
    </row>
    <row r="204">
      <c r="A204" s="28" t="n">
        <v>200</v>
      </c>
      <c r="B204" s="22" t="inlineStr">
        <is>
          <t>12. Sales cost, performance and pay</t>
        </is>
      </c>
      <c r="C204" s="28" t="n">
        <v>21</v>
      </c>
      <c r="D204" s="22" t="inlineStr">
        <is>
          <t>Screenshot caption</t>
        </is>
      </c>
      <c r="E204" s="22" t="inlineStr">
        <is>
          <t>Salesperson performance: activities, calls, meetings, demos, proposals, won, lost, win rate, average deal, cycle days and open pipeline</t>
        </is>
      </c>
      <c r="F204" s="28" t="inlineStr">
        <is>
          <t>G12.07, G12.08</t>
        </is>
      </c>
      <c r="G204" s="22" t="inlineStr">
        <is>
          <t>Sales › Performance (/sales/performance)</t>
        </is>
      </c>
      <c r="H204" s="28" t="inlineStr">
        <is>
          <t>OK</t>
        </is>
      </c>
      <c r="I204" s="22" t="inlineStr">
        <is>
          <t>Screenshot 021.</t>
        </is>
      </c>
      <c r="J204" s="29" t="n"/>
      <c r="K204" s="30" t="n"/>
    </row>
    <row r="205">
      <c r="A205" s="28" t="n">
        <v>201</v>
      </c>
      <c r="B205" s="22" t="inlineStr">
        <is>
          <t>12. Sales cost, performance and pay</t>
        </is>
      </c>
      <c r="C205" s="28" t="n">
        <v>21</v>
      </c>
      <c r="D205" s="22" t="inlineStr">
        <is>
          <t>Sentence</t>
        </is>
      </c>
      <c r="E205" s="22" t="inlineStr">
        <is>
          <t>Individual performance gives one row per salesperson for the chosen period: activities logged, calls, meetings, demos, proposals, deals won and lost, win rate, average deal size, days from lead to won, and open pipeline.</t>
        </is>
      </c>
      <c r="F205" s="28" t="inlineStr">
        <is>
          <t>G12.07</t>
        </is>
      </c>
      <c r="G205" s="22" t="inlineStr">
        <is>
          <t>Sales › Performance (/sales/performance) — 'Salesperson performance' table with every listed column</t>
        </is>
      </c>
      <c r="H205" s="28" t="inlineStr">
        <is>
          <t>OK</t>
        </is>
      </c>
      <c r="I205" s="22" t="inlineStr"/>
      <c r="J205" s="29" t="n"/>
      <c r="K205" s="30" t="n"/>
    </row>
    <row r="206">
      <c r="A206" s="28" t="n">
        <v>202</v>
      </c>
      <c r="B206" s="22" t="inlineStr">
        <is>
          <t>12. Sales cost, performance and pay</t>
        </is>
      </c>
      <c r="C206" s="28" t="n">
        <v>21</v>
      </c>
      <c r="D206" s="22" t="inlineStr">
        <is>
          <t>Sentence</t>
        </is>
      </c>
      <c r="E206" s="22" t="inlineStr">
        <is>
          <t>Below it, each person’s last six months show target against achieved.</t>
        </is>
      </c>
      <c r="F206" s="28" t="inlineStr">
        <is>
          <t>G12.08</t>
        </is>
      </c>
      <c r="G206" s="22" t="inlineStr">
        <is>
          <t>Sales › Performance (/sales/performance) — 'Last 6 months' per person: target vs achieved</t>
        </is>
      </c>
      <c r="H206" s="28" t="inlineStr">
        <is>
          <t>OK</t>
        </is>
      </c>
      <c r="I206" s="22" t="inlineStr"/>
      <c r="J206" s="29" t="n"/>
      <c r="K206" s="30" t="n"/>
    </row>
    <row r="207">
      <c r="A207" s="31" t="n">
        <v>203</v>
      </c>
      <c r="B207" s="32" t="inlineStr">
        <is>
          <t>13. Finance: P&amp;L and ledger</t>
        </is>
      </c>
      <c r="C207" s="31" t="n">
        <v>21</v>
      </c>
      <c r="D207" s="32" t="inlineStr">
        <is>
          <t>Heading</t>
        </is>
      </c>
      <c r="E207" s="32" t="inlineStr">
        <is>
          <t>13. Finance: P&amp;L and ledger</t>
        </is>
      </c>
      <c r="F207" s="31" t="inlineStr">
        <is>
          <t>G13.01–G13.03</t>
        </is>
      </c>
      <c r="G207" s="32" t="inlineStr">
        <is>
          <t>Finance › Profit &amp; loss (/finance/pnl); Finance › Ledger (/finance/ledger)</t>
        </is>
      </c>
      <c r="H207" s="31" t="inlineStr">
        <is>
          <t>OK</t>
        </is>
      </c>
      <c r="I207" s="32" t="inlineStr"/>
      <c r="J207" s="33" t="n"/>
      <c r="K207" s="34" t="n"/>
    </row>
    <row r="208">
      <c r="A208" s="28" t="n">
        <v>204</v>
      </c>
      <c r="B208" s="22" t="inlineStr">
        <is>
          <t>13. Finance: P&amp;L and ledger</t>
        </is>
      </c>
      <c r="C208" s="28" t="n">
        <v>21</v>
      </c>
      <c r="D208" s="22" t="inlineStr">
        <is>
          <t>Screenshot caption</t>
        </is>
      </c>
      <c r="E208" s="22" t="inlineStr">
        <is>
          <t>Monthly profit and loss for the last 6 months: billed, collected, payroll, other costs, net</t>
        </is>
      </c>
      <c r="F208" s="28" t="inlineStr">
        <is>
          <t>G13.01</t>
        </is>
      </c>
      <c r="G208" s="22" t="inlineStr">
        <is>
          <t>Finance › Profit &amp; loss — 'Monthly P&amp;L, last 6 months' (first card)</t>
        </is>
      </c>
      <c r="H208" s="28" t="inlineStr">
        <is>
          <t>OK — improved</t>
        </is>
      </c>
      <c r="I208" s="22" t="inlineStr">
        <is>
          <t>v6: moved to the top.</t>
        </is>
      </c>
      <c r="J208" s="29" t="n"/>
      <c r="K208" s="30" t="n"/>
    </row>
    <row r="209">
      <c r="A209" s="28" t="n">
        <v>205</v>
      </c>
      <c r="B209" s="22" t="inlineStr">
        <is>
          <t>13. Finance: P&amp;L and ledger</t>
        </is>
      </c>
      <c r="C209" s="28" t="n">
        <v>21</v>
      </c>
      <c r="D209" s="22" t="inlineStr">
        <is>
          <t>Sentence</t>
        </is>
      </c>
      <c r="E209" s="22" t="inlineStr">
        <is>
          <t>Monthly P&amp;L shows, for each of the last six months, what was billed, what was collected, payroll cost, other costs, and net (billed minus costs).</t>
        </is>
      </c>
      <c r="F209" s="28" t="inlineStr">
        <is>
          <t>G13.01</t>
        </is>
      </c>
      <c r="G209" s="22" t="inlineStr">
        <is>
          <t>Finance › Profit &amp; loss — Month / Billed / Collected / Payroll / Other costs / Net</t>
        </is>
      </c>
      <c r="H209" s="28" t="inlineStr">
        <is>
          <t>OK</t>
        </is>
      </c>
      <c r="I209" s="22" t="inlineStr">
        <is>
          <t>Current month counts only to date.</t>
        </is>
      </c>
      <c r="J209" s="29" t="n"/>
      <c r="K209" s="30" t="n"/>
    </row>
    <row r="210">
      <c r="A210" s="28" t="n">
        <v>206</v>
      </c>
      <c r="B210" s="22" t="inlineStr">
        <is>
          <t>13. Finance: P&amp;L and ledger</t>
        </is>
      </c>
      <c r="C210" s="28" t="n">
        <v>21</v>
      </c>
      <c r="D210" s="22" t="inlineStr">
        <is>
          <t>Sentence</t>
        </is>
      </c>
      <c r="E210" s="22" t="inlineStr">
        <is>
          <t>It updates as invoices, payments and expenses are recorded.</t>
        </is>
      </c>
      <c r="F210" s="28" t="inlineStr">
        <is>
          <t>G13.01</t>
        </is>
      </c>
      <c r="G210" s="22" t="inlineStr">
        <is>
          <t>Finance › Profit &amp; loss — updates live from invoices, payments, ledger and expenses</t>
        </is>
      </c>
      <c r="H210" s="28" t="inlineStr">
        <is>
          <t>OK</t>
        </is>
      </c>
      <c r="I210" s="22" t="inlineStr"/>
      <c r="J210" s="29" t="n"/>
      <c r="K210" s="30" t="n"/>
    </row>
    <row r="211">
      <c r="A211" s="28" t="n">
        <v>207</v>
      </c>
      <c r="B211" s="22" t="inlineStr">
        <is>
          <t>13. Finance: P&amp;L and ledger</t>
        </is>
      </c>
      <c r="C211" s="28" t="n">
        <v>22</v>
      </c>
      <c r="D211" s="22" t="inlineStr">
        <is>
          <t>Screenshot caption</t>
        </is>
      </c>
      <c r="E211" s="22" t="inlineStr">
        <is>
          <t>Ledger: income and expense entries, recurring ones marked, with add and remove</t>
        </is>
      </c>
      <c r="F211" s="28" t="inlineStr">
        <is>
          <t>G13.02</t>
        </is>
      </c>
      <c r="G211" s="22" t="inlineStr">
        <is>
          <t>Finance › Ledger</t>
        </is>
      </c>
      <c r="H211" s="28" t="inlineStr">
        <is>
          <t>OK</t>
        </is>
      </c>
      <c r="I211" s="22" t="inlineStr">
        <is>
          <t>Screenshot 023.</t>
        </is>
      </c>
      <c r="J211" s="29" t="n"/>
      <c r="K211" s="30" t="n"/>
    </row>
    <row r="212">
      <c r="A212" s="28" t="n">
        <v>208</v>
      </c>
      <c r="B212" s="22" t="inlineStr">
        <is>
          <t>13. Finance: P&amp;L and ledger</t>
        </is>
      </c>
      <c r="C212" s="28" t="n">
        <v>22</v>
      </c>
      <c r="D212" s="22" t="inlineStr">
        <is>
          <t>Sentence</t>
        </is>
      </c>
      <c r="E212" s="22" t="inlineStr">
        <is>
          <t>The Ledger records income and expenses that do not come from project milestones: subscriptions, consulting retainers, rent, software.</t>
        </is>
      </c>
      <c r="F212" s="28" t="inlineStr">
        <is>
          <t>G13.02</t>
        </is>
      </c>
      <c r="G212" s="22" t="inlineStr">
        <is>
          <t>Finance › Ledger — income and expenses outside milestones</t>
        </is>
      </c>
      <c r="H212" s="28" t="inlineStr">
        <is>
          <t>OK</t>
        </is>
      </c>
      <c r="I212" s="22" t="inlineStr"/>
      <c r="J212" s="29" t="n"/>
      <c r="K212" s="30" t="n"/>
    </row>
    <row r="213">
      <c r="A213" s="28" t="n">
        <v>209</v>
      </c>
      <c r="B213" s="22" t="inlineStr">
        <is>
          <t>13. Finance: P&amp;L and ledger</t>
        </is>
      </c>
      <c r="C213" s="28" t="n">
        <v>22</v>
      </c>
      <c r="D213" s="22" t="inlineStr">
        <is>
          <t>Sentence</t>
        </is>
      </c>
      <c r="E213" s="22" t="inlineStr">
        <is>
          <t>An entry can repeat monthly until an end date, so a ₹6,00,000 monthly retainer is entered once and appears in every month’s revenue.</t>
        </is>
      </c>
      <c r="F213" s="28" t="inlineStr">
        <is>
          <t>G13.02</t>
        </is>
      </c>
      <c r="G213" s="22" t="inlineStr">
        <is>
          <t>Finance › Ledger › 'Add an entry' — 'Repeats monthly' + 'Ends on'</t>
        </is>
      </c>
      <c r="H213" s="28" t="inlineStr">
        <is>
          <t>OK</t>
        </is>
      </c>
      <c r="I213" s="22" t="inlineStr"/>
      <c r="J213" s="29" t="n"/>
      <c r="K213" s="30" t="n"/>
    </row>
    <row r="214">
      <c r="A214" s="28" t="n">
        <v>210</v>
      </c>
      <c r="B214" s="22" t="inlineStr">
        <is>
          <t>13. Finance: P&amp;L and ledger</t>
        </is>
      </c>
      <c r="C214" s="28" t="n">
        <v>22</v>
      </c>
      <c r="D214" s="22" t="inlineStr">
        <is>
          <t>Sentence</t>
        </is>
      </c>
      <c r="E214" s="22" t="inlineStr">
        <is>
          <t>Milestone invoices add their income automatically.</t>
        </is>
      </c>
      <c r="F214" s="28" t="inlineStr">
        <is>
          <t>G13.03</t>
        </is>
      </c>
      <c r="G214" s="22" t="inlineStr">
        <is>
          <t>Finance › Ledger — 'Added automatically: Milestone invoices'</t>
        </is>
      </c>
      <c r="H214" s="28" t="inlineStr">
        <is>
          <t>OK</t>
        </is>
      </c>
      <c r="I214" s="22" t="inlineStr"/>
      <c r="J214" s="29" t="n"/>
      <c r="K214" s="30" t="n"/>
    </row>
    <row r="215">
      <c r="A215" s="31" t="n">
        <v>211</v>
      </c>
      <c r="B215" s="32" t="inlineStr">
        <is>
          <t>14. Project manager and operations dashboards</t>
        </is>
      </c>
      <c r="C215" s="31" t="n">
        <v>22</v>
      </c>
      <c r="D215" s="32" t="inlineStr">
        <is>
          <t>Heading</t>
        </is>
      </c>
      <c r="E215" s="32" t="inlineStr">
        <is>
          <t>14. Project manager and operations dashboards</t>
        </is>
      </c>
      <c r="F215" s="31" t="inlineStr">
        <is>
          <t>G14.01–G14.05</t>
        </is>
      </c>
      <c r="G215" s="32" t="inlineStr">
        <is>
          <t>Dashboard › Project manager (/home); Company › Operations (/operations); Dashboard › Operations (/home)</t>
        </is>
      </c>
      <c r="H215" s="31" t="inlineStr">
        <is>
          <t>OK</t>
        </is>
      </c>
      <c r="I215" s="32" t="inlineStr"/>
      <c r="J215" s="33" t="n"/>
      <c r="K215" s="34" t="n"/>
    </row>
    <row r="216">
      <c r="A216" s="28" t="n">
        <v>212</v>
      </c>
      <c r="B216" s="22" t="inlineStr">
        <is>
          <t>14. Project manager and operations dashboards</t>
        </is>
      </c>
      <c r="C216" s="28" t="n">
        <v>22</v>
      </c>
      <c r="D216" s="22" t="inlineStr">
        <is>
          <t>Screenshot caption</t>
        </is>
      </c>
      <c r="E216" s="22" t="inlineStr">
        <is>
          <t>Project manager view: delivery control numbers and the task pipeline by status</t>
        </is>
      </c>
      <c r="F216" s="28" t="inlineStr">
        <is>
          <t>G14.01, G14.02</t>
        </is>
      </c>
      <c r="G216" s="22" t="inlineStr">
        <is>
          <t>Dashboard › Project manager (/home) — 'Delivery control' and 'Task pipeline'</t>
        </is>
      </c>
      <c r="H216" s="28" t="inlineStr">
        <is>
          <t>OK</t>
        </is>
      </c>
      <c r="I216" s="22" t="inlineStr">
        <is>
          <t>Screenshot 024.</t>
        </is>
      </c>
      <c r="J216" s="29" t="n"/>
      <c r="K216" s="30" t="n"/>
    </row>
    <row r="217">
      <c r="A217" s="28" t="n">
        <v>213</v>
      </c>
      <c r="B217" s="22" t="inlineStr">
        <is>
          <t>14. Project manager and operations dashboards</t>
        </is>
      </c>
      <c r="C217" s="28" t="n">
        <v>22</v>
      </c>
      <c r="D217" s="22" t="inlineStr">
        <is>
          <t>Sentence</t>
        </is>
      </c>
      <c r="E217" s="22" t="inlineStr">
        <is>
          <t>The Project manager view starts with delivery control: active projects, critical tasks at risk, blocked or waiting tasks, tasks that should have started, tasks with no estimate, and scheduling conflicts.</t>
        </is>
      </c>
      <c r="F217" s="28" t="inlineStr">
        <is>
          <t>G14.01</t>
        </is>
      </c>
      <c r="G217" s="22" t="inlineStr">
        <is>
          <t>Dashboard › Project manager (/home) — 'Delivery control': active projects, critical tasks at risk, blocked / waiting, past planned start, no estimate, scheduling conflicts (all listed)</t>
        </is>
      </c>
      <c r="H217" s="28" t="inlineStr">
        <is>
          <t>OK — improved</t>
        </is>
      </c>
      <c r="I217" s="22" t="inlineStr">
        <is>
          <t>v6: conflicts list shows every conflict.</t>
        </is>
      </c>
      <c r="J217" s="29" t="n"/>
      <c r="K217" s="30" t="n"/>
    </row>
    <row r="218">
      <c r="A218" s="28" t="n">
        <v>214</v>
      </c>
      <c r="B218" s="22" t="inlineStr">
        <is>
          <t>14. Project manager and operations dashboards</t>
        </is>
      </c>
      <c r="C218" s="28" t="n">
        <v>22</v>
      </c>
      <c r="D218" s="22" t="inlineStr">
        <is>
          <t>Sentence</t>
        </is>
      </c>
      <c r="E218" s="22" t="inlineStr">
        <is>
          <t>The task pipeline shows how many tasks sit in each status, so a pile-up in “In review” or “Blocked” is obvious.</t>
        </is>
      </c>
      <c r="F218" s="28" t="inlineStr">
        <is>
          <t>G14.02</t>
        </is>
      </c>
      <c r="G218" s="22" t="inlineStr">
        <is>
          <t>Dashboard › Project manager (/home) — 'Task pipeline' bars incl. 'In review' and 'Blocked'</t>
        </is>
      </c>
      <c r="H218" s="28" t="inlineStr">
        <is>
          <t>OK — improved</t>
        </is>
      </c>
      <c r="I218" s="22" t="inlineStr">
        <is>
          <t>v6: 'In review' bar added.</t>
        </is>
      </c>
      <c r="J218" s="29" t="n"/>
      <c r="K218" s="30" t="n"/>
    </row>
    <row r="219">
      <c r="A219" s="28" t="n">
        <v>215</v>
      </c>
      <c r="B219" s="22" t="inlineStr">
        <is>
          <t>14. Project manager and operations dashboards</t>
        </is>
      </c>
      <c r="C219" s="28" t="n">
        <v>23</v>
      </c>
      <c r="D219" s="22" t="inlineStr">
        <is>
          <t>Screenshot caption</t>
        </is>
      </c>
      <c r="E219" s="22" t="inlineStr">
        <is>
          <t>Resource load for the next 10 working days: each person’s booked hours against capacity</t>
        </is>
      </c>
      <c r="F219" s="28" t="inlineStr">
        <is>
          <t>G14.03</t>
        </is>
      </c>
      <c r="G219" s="22" t="inlineStr">
        <is>
          <t>Dashboard › Project manager (/home) — 'Resource load, next 10 working days'</t>
        </is>
      </c>
      <c r="H219" s="28" t="inlineStr">
        <is>
          <t>OK</t>
        </is>
      </c>
      <c r="I219" s="22" t="inlineStr">
        <is>
          <t>Screenshot 025.</t>
        </is>
      </c>
      <c r="J219" s="29" t="n"/>
      <c r="K219" s="30" t="n"/>
    </row>
    <row r="220">
      <c r="A220" s="28" t="n">
        <v>216</v>
      </c>
      <c r="B220" s="22" t="inlineStr">
        <is>
          <t>14. Project manager and operations dashboards</t>
        </is>
      </c>
      <c r="C220" s="28" t="n">
        <v>23</v>
      </c>
      <c r="D220" s="22" t="inlineStr">
        <is>
          <t>Sentence</t>
        </is>
      </c>
      <c r="E220" s="22" t="inlineStr">
        <is>
          <t>Resource load shows each person’s booked hours against their capacity for the next 10 working days.</t>
        </is>
      </c>
      <c r="F220" s="28" t="inlineStr">
        <is>
          <t>G14.03</t>
        </is>
      </c>
      <c r="G220" s="22" t="inlineStr">
        <is>
          <t>Dashboard › Project manager (/home) — booked h vs capacity per person</t>
        </is>
      </c>
      <c r="H220" s="28" t="inlineStr">
        <is>
          <t>OK</t>
        </is>
      </c>
      <c r="I220" s="22" t="inlineStr">
        <is>
          <t>Capacity uses productive hours per day (Team setting).</t>
        </is>
      </c>
      <c r="J220" s="29" t="n"/>
      <c r="K220" s="30" t="n"/>
    </row>
    <row r="221">
      <c r="A221" s="28" t="n">
        <v>217</v>
      </c>
      <c r="B221" s="22" t="inlineStr">
        <is>
          <t>14. Project manager and operations dashboards</t>
        </is>
      </c>
      <c r="C221" s="28" t="n">
        <v>23</v>
      </c>
      <c r="D221" s="22" t="inlineStr">
        <is>
          <t>Sentence</t>
        </is>
      </c>
      <c r="E221" s="22" t="inlineStr">
        <is>
          <t>Over 100% means someone is double-booked; well under means spare capacity to pull work forward.</t>
        </is>
      </c>
      <c r="F221" s="28" t="inlineStr">
        <is>
          <t>G14.03</t>
        </is>
      </c>
      <c r="G221" s="22" t="inlineStr">
        <is>
          <t>Dashboard › Project manager (/home) — over 100% flagged 'Double-booked'</t>
        </is>
      </c>
      <c r="H221" s="28" t="inlineStr">
        <is>
          <t>OK</t>
        </is>
      </c>
      <c r="I221" s="22" t="inlineStr"/>
      <c r="J221" s="29" t="n"/>
      <c r="K221" s="30" t="n"/>
    </row>
    <row r="222">
      <c r="A222" s="28" t="n">
        <v>218</v>
      </c>
      <c r="B222" s="22" t="inlineStr">
        <is>
          <t>14. Project manager and operations dashboards</t>
        </is>
      </c>
      <c r="C222" s="28" t="n">
        <v>24</v>
      </c>
      <c r="D222" s="22" t="inlineStr">
        <is>
          <t>Screenshot caption</t>
        </is>
      </c>
      <c r="E222" s="22" t="inlineStr">
        <is>
          <t>Operations: recurring duties, due and overdue items with Mark done</t>
        </is>
      </c>
      <c r="F222" s="28" t="inlineStr">
        <is>
          <t>G14.04</t>
        </is>
      </c>
      <c r="G222" s="22" t="inlineStr">
        <is>
          <t>Company › Operations (/operations); Dashboard › Operations (/home) — Recurring duties</t>
        </is>
      </c>
      <c r="H222" s="28" t="inlineStr">
        <is>
          <t>OK</t>
        </is>
      </c>
      <c r="I222" s="22" t="inlineStr">
        <is>
          <t>Screenshot 026.</t>
        </is>
      </c>
      <c r="J222" s="29" t="n"/>
      <c r="K222" s="30" t="n"/>
    </row>
    <row r="223">
      <c r="A223" s="28" t="n">
        <v>219</v>
      </c>
      <c r="B223" s="22" t="inlineStr">
        <is>
          <t>14. Project manager and operations dashboards</t>
        </is>
      </c>
      <c r="C223" s="28" t="n">
        <v>24</v>
      </c>
      <c r="D223" s="22" t="inlineStr">
        <is>
          <t>Sentence</t>
        </is>
      </c>
      <c r="E223" s="22" t="inlineStr">
        <is>
          <t>The Operations view runs the company’s non-project work: recurring duties (monthly, quarterly, yearly) such as receivables follow-up, payroll processing, statutory filings and renewals, each with an owner and due date.</t>
        </is>
      </c>
      <c r="F223" s="28" t="inlineStr">
        <is>
          <t>G14.04</t>
        </is>
      </c>
      <c r="G223" s="22" t="inlineStr">
        <is>
          <t>Company › Operations (/operations); Dashboard › Operations (/home) — Recurring duties: monthly / quarterly / yearly with owner and due date</t>
        </is>
      </c>
      <c r="H223" s="28" t="inlineStr">
        <is>
          <t>OK — improved</t>
        </is>
      </c>
      <c r="I223" s="22" t="inlineStr">
        <is>
          <t>v6: yearly renewals and ROC filing seeded.</t>
        </is>
      </c>
      <c r="J223" s="29" t="n"/>
      <c r="K223" s="30" t="n"/>
    </row>
    <row r="224">
      <c r="A224" s="28" t="n">
        <v>220</v>
      </c>
      <c r="B224" s="22" t="inlineStr">
        <is>
          <t>14. Project manager and operations dashboards</t>
        </is>
      </c>
      <c r="C224" s="28" t="n">
        <v>24</v>
      </c>
      <c r="D224" s="22" t="inlineStr">
        <is>
          <t>Sentence</t>
        </is>
      </c>
      <c r="E224" s="22" t="inlineStr">
        <is>
          <t>Mark done rolls a recurring item to its next date.</t>
        </is>
      </c>
      <c r="F224" s="28" t="inlineStr">
        <is>
          <t>G14.04</t>
        </is>
      </c>
      <c r="G224" s="22" t="inlineStr">
        <is>
          <t>Company › Operations (/operations); Dashboard › Operations (/home) — 'Mark done' rolls to the next date</t>
        </is>
      </c>
      <c r="H224" s="28" t="inlineStr">
        <is>
          <t>OK</t>
        </is>
      </c>
      <c r="I224" s="22" t="inlineStr"/>
      <c r="J224" s="29" t="n"/>
      <c r="K224" s="30" t="n"/>
    </row>
    <row r="225">
      <c r="A225" s="28" t="n">
        <v>221</v>
      </c>
      <c r="B225" s="22" t="inlineStr">
        <is>
          <t>14. Project manager and operations dashboards</t>
        </is>
      </c>
      <c r="C225" s="28" t="n">
        <v>24</v>
      </c>
      <c r="D225" s="22" t="inlineStr">
        <is>
          <t>Sentence</t>
        </is>
      </c>
      <c r="E225" s="22" t="inlineStr">
        <is>
          <t>Its other tabs cover people and timesheet status, payroll, and invoicing and collections, each with a one-line description of what it is for.</t>
        </is>
      </c>
      <c r="F225" s="28" t="inlineStr">
        <is>
          <t>G14.05</t>
        </is>
      </c>
      <c r="G225" s="22" t="inlineStr">
        <is>
          <t>Company › Operations (/operations); Dashboard › Operations (/home) — tabs People &amp; timesheets, Payroll, Invoicing &amp; collections, each with a description</t>
        </is>
      </c>
      <c r="H225" s="28" t="inlineStr">
        <is>
          <t>OK</t>
        </is>
      </c>
      <c r="I225" s="22" t="inlineStr"/>
      <c r="J225" s="29" t="n"/>
      <c r="K225" s="30" t="n"/>
    </row>
    <row r="226">
      <c r="A226" s="31" t="n">
        <v>222</v>
      </c>
      <c r="B226" s="32" t="inlineStr">
        <is>
          <t>15. Insights, weekly scorecard and client view</t>
        </is>
      </c>
      <c r="C226" s="31" t="n">
        <v>25</v>
      </c>
      <c r="D226" s="32" t="inlineStr">
        <is>
          <t>Heading</t>
        </is>
      </c>
      <c r="E226" s="32" t="inlineStr">
        <is>
          <t>15. Insights, weekly scorecard and client view</t>
        </is>
      </c>
      <c r="F226" s="31" t="inlineStr">
        <is>
          <t>G15.01–G15.06</t>
        </is>
      </c>
      <c r="G226" s="32" t="inlineStr">
        <is>
          <t>Company › Insights (/insights); Company › Weekly scorecard (/scorecard); Projects &amp; WBS › Client view (/client-view)</t>
        </is>
      </c>
      <c r="H226" s="31" t="inlineStr">
        <is>
          <t>OK</t>
        </is>
      </c>
      <c r="I226" s="32" t="inlineStr"/>
      <c r="J226" s="33" t="n"/>
      <c r="K226" s="34" t="n"/>
    </row>
    <row r="227">
      <c r="A227" s="28" t="n">
        <v>223</v>
      </c>
      <c r="B227" s="22" t="inlineStr">
        <is>
          <t>15. Insights, weekly scorecard and client view</t>
        </is>
      </c>
      <c r="C227" s="28" t="n">
        <v>25</v>
      </c>
      <c r="D227" s="22" t="inlineStr">
        <is>
          <t>Screenshot caption</t>
        </is>
      </c>
      <c r="E227" s="22" t="inlineStr">
        <is>
          <t>Delivery predictions: projects and milestones with forecast dates and chance of finishing on time; tasks most likely to slip</t>
        </is>
      </c>
      <c r="F227" s="28" t="inlineStr">
        <is>
          <t>G15.01–G15.03</t>
        </is>
      </c>
      <c r="G227" s="22" t="inlineStr">
        <is>
          <t>Company › Insights (/insights) › Delivery predictions (/insights/predictions)</t>
        </is>
      </c>
      <c r="H227" s="28" t="inlineStr">
        <is>
          <t>OK</t>
        </is>
      </c>
      <c r="I227" s="22" t="inlineStr">
        <is>
          <t>Screenshot 027.</t>
        </is>
      </c>
      <c r="J227" s="29" t="n"/>
      <c r="K227" s="30" t="n"/>
    </row>
    <row r="228">
      <c r="A228" s="28" t="n">
        <v>224</v>
      </c>
      <c r="B228" s="22" t="inlineStr">
        <is>
          <t>15. Insights, weekly scorecard and client view</t>
        </is>
      </c>
      <c r="C228" s="28" t="n">
        <v>25</v>
      </c>
      <c r="D228" s="22" t="inlineStr">
        <is>
          <t>Sentence</t>
        </is>
      </c>
      <c r="E228" s="22" t="inlineStr">
        <is>
          <t>Insights looks ahead instead of back.</t>
        </is>
      </c>
      <c r="F228" s="28" t="inlineStr">
        <is>
          <t>G15.01</t>
        </is>
      </c>
      <c r="G228" s="22" t="inlineStr">
        <is>
          <t>Company › Insights (/insights) — opens on Delivery predictions ('Looking ahead' group first)</t>
        </is>
      </c>
      <c r="H228" s="28" t="inlineStr">
        <is>
          <t>OK — improved</t>
        </is>
      </c>
      <c r="I228" s="22" t="inlineStr">
        <is>
          <t>v6: Insights opens on predictions.</t>
        </is>
      </c>
      <c r="J228" s="29" t="n"/>
      <c r="K228" s="30" t="n"/>
    </row>
    <row r="229">
      <c r="A229" s="28" t="n">
        <v>225</v>
      </c>
      <c r="B229" s="22" t="inlineStr">
        <is>
          <t>15. Insights, weekly scorecard and client view</t>
        </is>
      </c>
      <c r="C229" s="28" t="n">
        <v>25</v>
      </c>
      <c r="D229" s="22" t="inlineStr">
        <is>
          <t>Sentence</t>
        </is>
      </c>
      <c r="E229" s="22" t="inlineStr">
        <is>
          <t>Delivery predictions give each project and milestone a forecast date (P50 = even odds, P80 = 80% sure) and a chance of finishing on time, and list the tasks most likely to slip with their owners.</t>
        </is>
      </c>
      <c r="F229" s="28" t="inlineStr">
        <is>
          <t>G15.01–G15.03</t>
        </is>
      </c>
      <c r="G229" s="22" t="inlineStr">
        <is>
          <t>Company › Insights (/insights) › Delivery predictions — Projects and Milestones with P50, P80, chance on time; 'Tasks most likely to slip' with owner + backup</t>
        </is>
      </c>
      <c r="H229" s="28" t="inlineStr">
        <is>
          <t>OK</t>
        </is>
      </c>
      <c r="I229" s="22" t="inlineStr"/>
      <c r="J229" s="29" t="n"/>
      <c r="K229" s="30" t="n"/>
    </row>
    <row r="230">
      <c r="A230" s="28" t="n">
        <v>226</v>
      </c>
      <c r="B230" s="22" t="inlineStr">
        <is>
          <t>15. Insights, weekly scorecard and client view</t>
        </is>
      </c>
      <c r="C230" s="28" t="n">
        <v>26</v>
      </c>
      <c r="D230" s="22" t="inlineStr">
        <is>
          <t>Screenshot caption</t>
        </is>
      </c>
      <c r="E230" s="22" t="inlineStr">
        <is>
          <t>Estimation accuracy by complexity and by person, with the suggested buffer</t>
        </is>
      </c>
      <c r="F230" s="28" t="inlineStr">
        <is>
          <t>G15.04</t>
        </is>
      </c>
      <c r="G230" s="22" t="inlineStr">
        <is>
          <t>Company › Insights (/insights) › Estimation accuracy (/insights/estimation)</t>
        </is>
      </c>
      <c r="H230" s="28" t="inlineStr">
        <is>
          <t>OK</t>
        </is>
      </c>
      <c r="I230" s="22" t="inlineStr">
        <is>
          <t>Screenshot 028.</t>
        </is>
      </c>
      <c r="J230" s="29" t="n"/>
      <c r="K230" s="30" t="n"/>
    </row>
    <row r="231">
      <c r="A231" s="28" t="n">
        <v>227</v>
      </c>
      <c r="B231" s="22" t="inlineStr">
        <is>
          <t>15. Insights, weekly scorecard and client view</t>
        </is>
      </c>
      <c r="C231" s="28" t="n">
        <v>26</v>
      </c>
      <c r="D231" s="22" t="inlineStr">
        <is>
          <t>Sentence</t>
        </is>
      </c>
      <c r="E231" s="22" t="inlineStr">
        <is>
          <t>Estimation accuracy compares estimates to actual hours, by task complexity and by person, and suggests how much buffer to add to future estimates.</t>
        </is>
      </c>
      <c r="F231" s="28" t="inlineStr">
        <is>
          <t>G15.04</t>
        </is>
      </c>
      <c r="G231" s="22" t="inlineStr">
        <is>
          <t>Company › Insights (/insights) › Estimation accuracy — by complexity and by person, 'Add N% to estimates'</t>
        </is>
      </c>
      <c r="H231" s="28" t="inlineStr">
        <is>
          <t>OK — improved</t>
        </is>
      </c>
      <c r="I231" s="22" t="inlineStr">
        <is>
          <t>v6: demo data shows the buffer suggestion.</t>
        </is>
      </c>
      <c r="J231" s="29" t="n"/>
      <c r="K231" s="30" t="n"/>
    </row>
    <row r="232">
      <c r="A232" s="28" t="n">
        <v>228</v>
      </c>
      <c r="B232" s="22" t="inlineStr">
        <is>
          <t>15. Insights, weekly scorecard and client view</t>
        </is>
      </c>
      <c r="C232" s="28" t="n">
        <v>26</v>
      </c>
      <c r="D232" s="22" t="inlineStr">
        <is>
          <t>Sentence</t>
        </is>
      </c>
      <c r="E232" s="22" t="inlineStr">
        <is>
          <t>It is how the team gets better at planning.</t>
        </is>
      </c>
      <c r="F232" s="28" t="inlineStr">
        <is>
          <t>G15.04</t>
        </is>
      </c>
      <c r="G232" s="22" t="inlineStr">
        <is>
          <t>Company › Insights (/insights) › Estimation accuracy</t>
        </is>
      </c>
      <c r="H232" s="28" t="inlineStr">
        <is>
          <t>OK</t>
        </is>
      </c>
      <c r="I232" s="22" t="inlineStr"/>
      <c r="J232" s="29" t="n"/>
      <c r="K232" s="30" t="n"/>
    </row>
    <row r="233">
      <c r="A233" s="28" t="n">
        <v>229</v>
      </c>
      <c r="B233" s="22" t="inlineStr">
        <is>
          <t>15. Insights, weekly scorecard and client view</t>
        </is>
      </c>
      <c r="C233" s="28" t="n">
        <v>26</v>
      </c>
      <c r="D233" s="22" t="inlineStr">
        <is>
          <t>Screenshot caption</t>
        </is>
      </c>
      <c r="E233" s="22" t="inlineStr">
        <is>
          <t>Weekly scorecard: each person’s delivery score for the week</t>
        </is>
      </c>
      <c r="F233" s="28" t="inlineStr">
        <is>
          <t>G15.05</t>
        </is>
      </c>
      <c r="G233" s="22" t="inlineStr">
        <is>
          <t>Company › Weekly scorecard (/scorecard)</t>
        </is>
      </c>
      <c r="H233" s="28" t="inlineStr">
        <is>
          <t>OK</t>
        </is>
      </c>
      <c r="I233" s="22" t="inlineStr">
        <is>
          <t>Screenshot 029.</t>
        </is>
      </c>
      <c r="J233" s="29" t="n"/>
      <c r="K233" s="30" t="n"/>
    </row>
    <row r="234">
      <c r="A234" s="28" t="n">
        <v>230</v>
      </c>
      <c r="B234" s="22" t="inlineStr">
        <is>
          <t>15. Insights, weekly scorecard and client view</t>
        </is>
      </c>
      <c r="C234" s="28" t="n">
        <v>27</v>
      </c>
      <c r="D234" s="22" t="inlineStr">
        <is>
          <t>Sentence</t>
        </is>
      </c>
      <c r="E234" s="22" t="inlineStr">
        <is>
          <t>The Weekly scorecard gives each person a score for the week from on-time delivery, effort accuracy, daily updates and the Friday demo.</t>
        </is>
      </c>
      <c r="F234" s="28" t="inlineStr">
        <is>
          <t>G15.05</t>
        </is>
      </c>
      <c r="G234" s="22" t="inlineStr">
        <is>
          <t>Company › Weekly scorecard — components On-time delivery, Effort accuracy, Daily updates, Friday demo, Timesheet, Early warning</t>
        </is>
      </c>
      <c r="H234" s="28" t="inlineStr">
        <is>
          <t>Intentional difference</t>
        </is>
      </c>
      <c r="I234" s="22" t="inlineStr">
        <is>
          <t>Adds Timesheet and Early warning components alongside the guide's four.</t>
        </is>
      </c>
      <c r="J234" s="29" t="n"/>
      <c r="K234" s="30" t="n"/>
    </row>
    <row r="235">
      <c r="A235" s="28" t="n">
        <v>231</v>
      </c>
      <c r="B235" s="22" t="inlineStr">
        <is>
          <t>15. Insights, weekly scorecard and client view</t>
        </is>
      </c>
      <c r="C235" s="28" t="n">
        <v>27</v>
      </c>
      <c r="D235" s="22" t="inlineStr">
        <is>
          <t>Sentence</t>
        </is>
      </c>
      <c r="E235" s="22" t="inlineStr">
        <is>
          <t>Managers also carry their approval KPI (section 9).</t>
        </is>
      </c>
      <c r="F235" s="28" t="inlineStr">
        <is>
          <t>G15.05</t>
        </is>
      </c>
      <c r="G235" s="22" t="inlineStr">
        <is>
          <t>Company › Weekly scorecard — Approval KPI component for managers</t>
        </is>
      </c>
      <c r="H235" s="28" t="inlineStr">
        <is>
          <t>OK</t>
        </is>
      </c>
      <c r="I235" s="22" t="inlineStr"/>
      <c r="J235" s="29" t="n"/>
      <c r="K235" s="30" t="n"/>
    </row>
    <row r="236">
      <c r="A236" s="28" t="n">
        <v>232</v>
      </c>
      <c r="B236" s="22" t="inlineStr">
        <is>
          <t>15. Insights, weekly scorecard and client view</t>
        </is>
      </c>
      <c r="C236" s="28" t="n">
        <v>27</v>
      </c>
      <c r="D236" s="22" t="inlineStr">
        <is>
          <t>Screenshot caption</t>
        </is>
      </c>
      <c r="E236" s="22" t="inlineStr">
        <is>
          <t>Client view: milestone progress, what was completed, what is coming, and decisions needed from the client</t>
        </is>
      </c>
      <c r="F236" s="28" t="inlineStr">
        <is>
          <t>G15.06</t>
        </is>
      </c>
      <c r="G236" s="22" t="inlineStr">
        <is>
          <t>Projects &amp; WBS › Client view (/client-view)</t>
        </is>
      </c>
      <c r="H236" s="28" t="inlineStr">
        <is>
          <t>OK</t>
        </is>
      </c>
      <c r="I236" s="22" t="inlineStr">
        <is>
          <t>Screenshot 030.</t>
        </is>
      </c>
      <c r="J236" s="29" t="n"/>
      <c r="K236" s="30" t="n"/>
    </row>
    <row r="237">
      <c r="A237" s="28" t="n">
        <v>233</v>
      </c>
      <c r="B237" s="22" t="inlineStr">
        <is>
          <t>15. Insights, weekly scorecard and client view</t>
        </is>
      </c>
      <c r="C237" s="28" t="n">
        <v>27</v>
      </c>
      <c r="D237" s="22" t="inlineStr">
        <is>
          <t>Sentence</t>
        </is>
      </c>
      <c r="E237" s="22" t="inlineStr">
        <is>
          <t>The Client view is a clean, money-free page per project to share with the client: milestone progress, what was completed in the last two weeks, what is coming in the next two, and the decisions or inputs needed from them.</t>
        </is>
      </c>
      <c r="F237" s="28" t="inlineStr">
        <is>
          <t>G15.06</t>
        </is>
      </c>
      <c r="G237" s="22" t="inlineStr">
        <is>
          <t>Projects &amp; WBS › Client view — project picker; milestones with Progress, completed last 2 weeks, next 2 weeks, decisions needed; no money; 'Download report' PDF 'Client status report'</t>
        </is>
      </c>
      <c r="H237" s="28" t="inlineStr">
        <is>
          <t>OK — improved</t>
        </is>
      </c>
      <c r="I237" s="22" t="inlineStr">
        <is>
          <t>v6: progress column and PDF title fixed.</t>
        </is>
      </c>
      <c r="J237" s="29" t="n"/>
      <c r="K237" s="30" t="n"/>
    </row>
    <row r="238">
      <c r="A238" s="31" t="n">
        <v>234</v>
      </c>
      <c r="B238" s="32" t="inlineStr">
        <is>
          <t>16. Team and settings</t>
        </is>
      </c>
      <c r="C238" s="31" t="n">
        <v>28</v>
      </c>
      <c r="D238" s="32" t="inlineStr">
        <is>
          <t>Heading</t>
        </is>
      </c>
      <c r="E238" s="32" t="inlineStr">
        <is>
          <t>16. Team and settings</t>
        </is>
      </c>
      <c r="F238" s="31" t="inlineStr">
        <is>
          <t>G16.01–G16.06</t>
        </is>
      </c>
      <c r="G238" s="32" t="inlineStr">
        <is>
          <t>Admin › Team &amp; settings (/settings) — group 'Team &amp; settings': Team, Working hours &amp; calendar, Holidays, Leave, Delegations</t>
        </is>
      </c>
      <c r="H238" s="31" t="inlineStr">
        <is>
          <t>OK — improved</t>
        </is>
      </c>
      <c r="I238" s="32" t="inlineStr">
        <is>
          <t>v6: menu item and group named as in the guide; v7: under Admin › Team &amp; settings.</t>
        </is>
      </c>
      <c r="J238" s="33" t="n"/>
      <c r="K238" s="34" t="n"/>
    </row>
    <row r="239">
      <c r="A239" s="28" t="n">
        <v>235</v>
      </c>
      <c r="B239" s="22" t="inlineStr">
        <is>
          <t>16. Team and settings</t>
        </is>
      </c>
      <c r="C239" s="28" t="n">
        <v>28</v>
      </c>
      <c r="D239" s="22" t="inlineStr">
        <is>
          <t>Screenshot caption</t>
        </is>
      </c>
      <c r="E239" s="22" t="inlineStr">
        <is>
          <t>Team: each person’s role, function, joining date, reports-to, access level, hours per day and monthly CTC</t>
        </is>
      </c>
      <c r="F239" s="28" t="inlineStr">
        <is>
          <t>G16.01</t>
        </is>
      </c>
      <c r="G239" s="22" t="inlineStr">
        <is>
          <t>Admin › Team &amp; settings › Team (/settings/team)</t>
        </is>
      </c>
      <c r="H239" s="28" t="inlineStr">
        <is>
          <t>OK</t>
        </is>
      </c>
      <c r="I239" s="22" t="inlineStr">
        <is>
          <t>Screenshot 031.</t>
        </is>
      </c>
      <c r="J239" s="29" t="n"/>
      <c r="K239" s="30" t="n"/>
    </row>
    <row r="240">
      <c r="A240" s="28" t="n">
        <v>236</v>
      </c>
      <c r="B240" s="22" t="inlineStr">
        <is>
          <t>16. Team and settings</t>
        </is>
      </c>
      <c r="C240" s="28" t="n">
        <v>28</v>
      </c>
      <c r="D240" s="22" t="inlineStr">
        <is>
          <t>Sentence</t>
        </is>
      </c>
      <c r="E240" s="22" t="inlineStr">
        <is>
          <t>Team holds everyone who uses the board: name, role, function, joining date, who they report to (this decides who approves their timesheet), access level (which decides their dashboard view), working hours per day and monthly CTC (visible to the CEO only; it drives cost per hour and payroll).</t>
        </is>
      </c>
      <c r="F240" s="28" t="inlineStr">
        <is>
          <t>G16.01</t>
        </is>
      </c>
      <c r="G240" s="22" t="inlineStr">
        <is>
          <t>Admin › Team &amp; settings › Team — Name, Role, Function, Joined, Reports to, Access, Hours/day, Monthly CTC (+ ₹/hour)</t>
        </is>
      </c>
      <c r="H240" s="28" t="inlineStr">
        <is>
          <t>Intentional difference</t>
        </is>
      </c>
      <c r="I240" s="22" t="inlineStr">
        <is>
          <t>CTC is visible to holders of the salary permission (CEO and HR Manager by default), not the CEO only; it drives cost per hour as the guide says.</t>
        </is>
      </c>
      <c r="J240" s="29" t="n"/>
      <c r="K240" s="30" t="n"/>
    </row>
    <row r="241">
      <c r="A241" s="28" t="n">
        <v>237</v>
      </c>
      <c r="B241" s="22" t="inlineStr">
        <is>
          <t>16. Team and settings</t>
        </is>
      </c>
      <c r="C241" s="28" t="n">
        <v>28</v>
      </c>
      <c r="D241" s="22" t="inlineStr">
        <is>
          <t>Screenshot caption</t>
        </is>
      </c>
      <c r="E241" s="22" t="inlineStr">
        <is>
          <t>Working hours and calendar: minimum hours, whether breaks count, weekly off days, which Saturdays are off, and the approval deadline</t>
        </is>
      </c>
      <c r="F241" s="28" t="inlineStr">
        <is>
          <t>G16.02</t>
        </is>
      </c>
      <c r="G241" s="22" t="inlineStr">
        <is>
          <t>Admin › Team &amp; settings › Working hours &amp; calendar (/settings/company#calendar)</t>
        </is>
      </c>
      <c r="H241" s="28" t="inlineStr">
        <is>
          <t>OK</t>
        </is>
      </c>
      <c r="I241" s="22" t="inlineStr">
        <is>
          <t>Screenshot 032.</t>
        </is>
      </c>
      <c r="J241" s="29" t="n"/>
      <c r="K241" s="30" t="n"/>
    </row>
    <row r="242">
      <c r="A242" s="28" t="n">
        <v>238</v>
      </c>
      <c r="B242" s="22" t="inlineStr">
        <is>
          <t>16. Team and settings</t>
        </is>
      </c>
      <c r="C242" s="28" t="n">
        <v>29</v>
      </c>
      <c r="D242" s="22" t="inlineStr">
        <is>
          <t>Sentence</t>
        </is>
      </c>
      <c r="E242" s="22" t="inlineStr">
        <is>
          <t>Working hours and calendar sets the company rules everything else calculates from: minimum hours per working day (9), whether lunch and tea breaks count toward it, the weekly off (Sunday), which Saturdays are off (2nd and 4th), and the manager’s approval deadline in working days (2).</t>
        </is>
      </c>
      <c r="F242" s="28" t="inlineStr">
        <is>
          <t>G16.02</t>
        </is>
      </c>
      <c r="G242" s="22" t="inlineStr">
        <is>
          <t>Admin › Team &amp; settings › Working hours &amp; calendar — min hours 9, breaks count, weekly off Sunday, 2nd + 4th Saturday off, approval deadline 2 days</t>
        </is>
      </c>
      <c r="H242" s="28" t="inlineStr">
        <is>
          <t>OK</t>
        </is>
      </c>
      <c r="I242" s="22" t="inlineStr"/>
      <c r="J242" s="29" t="n"/>
      <c r="K242" s="30" t="n"/>
    </row>
    <row r="243">
      <c r="A243" s="28" t="n">
        <v>239</v>
      </c>
      <c r="B243" s="22" t="inlineStr">
        <is>
          <t>16. Team and settings</t>
        </is>
      </c>
      <c r="C243" s="28" t="n">
        <v>29</v>
      </c>
      <c r="D243" s="22" t="inlineStr">
        <is>
          <t>Sentence</t>
        </is>
      </c>
      <c r="E243" s="22" t="inlineStr">
        <is>
          <t>The holiday calendar below it lists public holidays for the year.</t>
        </is>
      </c>
      <c r="F243" s="28" t="inlineStr">
        <is>
          <t>G16.03</t>
        </is>
      </c>
      <c r="G243" s="22" t="inlineStr">
        <is>
          <t>Admin › Team &amp; settings › Working hours &amp; calendar — 'Holiday calendar 2026' card directly below; Holidays page</t>
        </is>
      </c>
      <c r="H243" s="28" t="inlineStr">
        <is>
          <t>OK — improved</t>
        </is>
      </c>
      <c r="I243" s="22" t="inlineStr">
        <is>
          <t>v6: holiday list placed below the calendar rules.</t>
        </is>
      </c>
      <c r="J243" s="29" t="n"/>
      <c r="K243" s="30" t="n"/>
    </row>
    <row r="244">
      <c r="A244" s="28" t="n">
        <v>240</v>
      </c>
      <c r="B244" s="22" t="inlineStr">
        <is>
          <t>16. Team and settings</t>
        </is>
      </c>
      <c r="C244" s="28" t="n">
        <v>29</v>
      </c>
      <c r="D244" s="22" t="inlineStr">
        <is>
          <t>Screenshot caption</t>
        </is>
      </c>
      <c r="E244" s="22" t="inlineStr">
        <is>
          <t>Leave: record leave for a person and date range, and leave taken this financial year by type</t>
        </is>
      </c>
      <c r="F244" s="28" t="inlineStr">
        <is>
          <t>G16.04</t>
        </is>
      </c>
      <c r="G244" s="22" t="inlineStr">
        <is>
          <t>Admin › Team &amp; settings › Leave (/leave?tab=hr)</t>
        </is>
      </c>
      <c r="H244" s="28" t="inlineStr">
        <is>
          <t>OK</t>
        </is>
      </c>
      <c r="I244" s="22" t="inlineStr">
        <is>
          <t>Screenshot 033.</t>
        </is>
      </c>
      <c r="J244" s="29" t="n"/>
      <c r="K244" s="30" t="n"/>
    </row>
    <row r="245">
      <c r="A245" s="28" t="n">
        <v>241</v>
      </c>
      <c r="B245" s="22" t="inlineStr">
        <is>
          <t>16. Team and settings</t>
        </is>
      </c>
      <c r="C245" s="28" t="n">
        <v>29</v>
      </c>
      <c r="D245" s="22" t="inlineStr">
        <is>
          <t>Sentence</t>
        </is>
      </c>
      <c r="E245" s="22" t="inlineStr">
        <is>
          <t>Leave records leave for a person and a date range.</t>
        </is>
      </c>
      <c r="F245" s="28" t="inlineStr">
        <is>
          <t>G16.04</t>
        </is>
      </c>
      <c r="G245" s="22" t="inlineStr">
        <is>
          <t>Leave › Record leave: person + from / to + type</t>
        </is>
      </c>
      <c r="H245" s="28" t="inlineStr">
        <is>
          <t>OK</t>
        </is>
      </c>
      <c r="I245" s="22" t="inlineStr"/>
      <c r="J245" s="29" t="n"/>
      <c r="K245" s="30" t="n"/>
    </row>
    <row r="246">
      <c r="A246" s="28" t="n">
        <v>242</v>
      </c>
      <c r="B246" s="22" t="inlineStr">
        <is>
          <t>16. Team and settings</t>
        </is>
      </c>
      <c r="C246" s="28" t="n">
        <v>29</v>
      </c>
      <c r="D246" s="22" t="inlineStr">
        <is>
          <t>Sentence</t>
        </is>
      </c>
      <c r="E246" s="22" t="inlineStr">
        <is>
          <t>Leave also comes in from the timesheet’s leave row, so either route keeps both in step.</t>
        </is>
      </c>
      <c r="F246" s="28" t="inlineStr">
        <is>
          <t>G16.04</t>
        </is>
      </c>
      <c r="G246" s="22" t="inlineStr">
        <is>
          <t>Leave ↔ Timesheet &amp; log '+ Leave or holiday' stay in step</t>
        </is>
      </c>
      <c r="H246" s="28" t="inlineStr">
        <is>
          <t>OK</t>
        </is>
      </c>
      <c r="I246" s="22" t="inlineStr"/>
      <c r="J246" s="29" t="n"/>
      <c r="K246" s="30" t="n"/>
    </row>
    <row r="247">
      <c r="A247" s="28" t="n">
        <v>243</v>
      </c>
      <c r="B247" s="22" t="inlineStr">
        <is>
          <t>16. Team and settings</t>
        </is>
      </c>
      <c r="C247" s="28" t="n">
        <v>29</v>
      </c>
      <c r="D247" s="22" t="inlineStr">
        <is>
          <t>Sentence</t>
        </is>
      </c>
      <c r="E247" s="22" t="inlineStr">
        <is>
          <t>The table shows leave taken this financial year by type (casual, sick, earned, compensatory, leave without pay).</t>
        </is>
      </c>
      <c r="F247" s="28" t="inlineStr">
        <is>
          <t>G16.04</t>
        </is>
      </c>
      <c r="G247" s="22" t="inlineStr">
        <is>
          <t>Leave — 'Leave taken this financial year' by type (taken ≤ today; planned separately)</t>
        </is>
      </c>
      <c r="H247" s="28" t="inlineStr">
        <is>
          <t>OK — improved</t>
        </is>
      </c>
      <c r="I247" s="22" t="inlineStr">
        <is>
          <t>v6: future leave shown as planned, not taken.</t>
        </is>
      </c>
      <c r="J247" s="29" t="n"/>
      <c r="K247" s="30" t="n"/>
    </row>
    <row r="248">
      <c r="A248" s="28" t="n">
        <v>244</v>
      </c>
      <c r="B248" s="22" t="inlineStr">
        <is>
          <t>16. Team and settings</t>
        </is>
      </c>
      <c r="C248" s="28" t="n">
        <v>29</v>
      </c>
      <c r="D248" s="22" t="inlineStr">
        <is>
          <t>Screenshot caption</t>
        </is>
      </c>
      <c r="E248" s="22" t="inlineStr">
        <is>
          <t>Delegations: hand approvals to another person for a date range</t>
        </is>
      </c>
      <c r="F248" s="28" t="inlineStr">
        <is>
          <t>G16.05</t>
        </is>
      </c>
      <c r="G248" s="22" t="inlineStr">
        <is>
          <t>Admin › Team &amp; settings › Delegations (/settings/delegations)</t>
        </is>
      </c>
      <c r="H248" s="28" t="inlineStr">
        <is>
          <t>OK</t>
        </is>
      </c>
      <c r="I248" s="22" t="inlineStr">
        <is>
          <t>Screenshot 034.</t>
        </is>
      </c>
      <c r="J248" s="29" t="n"/>
      <c r="K248" s="30" t="n"/>
    </row>
    <row r="249">
      <c r="A249" s="28" t="n">
        <v>245</v>
      </c>
      <c r="B249" s="22" t="inlineStr">
        <is>
          <t>16. Team and settings</t>
        </is>
      </c>
      <c r="C249" s="28" t="n">
        <v>29</v>
      </c>
      <c r="D249" s="22" t="inlineStr">
        <is>
          <t>Sentence</t>
        </is>
      </c>
      <c r="E249" s="22" t="inlineStr">
        <is>
          <t>Delegations let a manager hand their approvals (and optionally their task follow-ups) to another person for a date range, typically while on leave.</t>
        </is>
      </c>
      <c r="F249" s="28" t="inlineStr">
        <is>
          <t>G16.05</t>
        </is>
      </c>
      <c r="G249" s="22" t="inlineStr">
        <is>
          <t>Admin › Team &amp; settings › Delegations — from, to, scope, dates, note, 'Include task follow-ups'</t>
        </is>
      </c>
      <c r="H249" s="28" t="inlineStr">
        <is>
          <t>Intentional difference</t>
        </is>
      </c>
      <c r="I249" s="22" t="inlineStr">
        <is>
          <t>One-project delegations hand over task follow-ups only; approvals need an all-projects delegation.</t>
        </is>
      </c>
      <c r="J249" s="29" t="n"/>
      <c r="K249" s="30" t="n"/>
    </row>
    <row r="250">
      <c r="A250" s="28" t="n">
        <v>246</v>
      </c>
      <c r="B250" s="22" t="inlineStr">
        <is>
          <t>16. Team and settings</t>
        </is>
      </c>
      <c r="C250" s="28" t="n">
        <v>29</v>
      </c>
      <c r="D250" s="22" t="inlineStr">
        <is>
          <t>Sentence</t>
        </is>
      </c>
      <c r="E250" s="22" t="inlineStr">
        <is>
          <t>Approvals made by the delegate count toward the delegate’s approval KPI.</t>
        </is>
      </c>
      <c r="F250" s="28" t="inlineStr">
        <is>
          <t>G9.05, G16.05</t>
        </is>
      </c>
      <c r="G250" s="22" t="inlineStr">
        <is>
          <t>Tasks › Timesheet approvals (/approvals) — delegate's approvals credited to the delegate's KPI</t>
        </is>
      </c>
      <c r="H250" s="28" t="inlineStr">
        <is>
          <t>OK</t>
        </is>
      </c>
      <c r="I250" s="22" t="inlineStr"/>
      <c r="J250" s="29" t="n"/>
      <c r="K250" s="30" t="n"/>
    </row>
    <row r="251">
      <c r="A251" s="28" t="n">
        <v>247</v>
      </c>
      <c r="B251" s="22" t="inlineStr">
        <is>
          <t>16. Team and settings</t>
        </is>
      </c>
      <c r="C251" s="28" t="n">
        <v>29</v>
      </c>
      <c r="D251" s="22" t="inlineStr">
        <is>
          <t>Sentence</t>
        </is>
      </c>
      <c r="E251" s="22" t="inlineStr">
        <is>
          <t>The SaaS version groups every company setting in one place, with the default and allowed range shown next to each; the Technical Design (section 15) lists them all.</t>
        </is>
      </c>
      <c r="F251" s="28" t="inlineStr">
        <is>
          <t>G16.06</t>
        </is>
      </c>
      <c r="G251" s="22" t="inlineStr">
        <is>
          <t>Admin › Team &amp; settings › Company &amp; rules — default and allowed range next to each setting; Restore defaults</t>
        </is>
      </c>
      <c r="H251" s="28" t="inlineStr">
        <is>
          <t>OK</t>
        </is>
      </c>
      <c r="I251" s="22" t="inlineStr"/>
      <c r="J251" s="29" t="n"/>
      <c r="K251" s="30" t="n"/>
    </row>
    <row r="252">
      <c r="A252" s="31" t="n">
        <v>248</v>
      </c>
      <c r="B252" s="32" t="inlineStr">
        <is>
          <t>17. Rules and KPI definitions</t>
        </is>
      </c>
      <c r="C252" s="31" t="n">
        <v>30</v>
      </c>
      <c r="D252" s="32" t="inlineStr">
        <is>
          <t>Heading</t>
        </is>
      </c>
      <c r="E252" s="32" t="inlineStr">
        <is>
          <t>17. Rules and KPI definitions</t>
        </is>
      </c>
      <c r="F252" s="31" t="inlineStr">
        <is>
          <t>G17.01, G17.02</t>
        </is>
      </c>
      <c r="G252" s="32" t="inlineStr">
        <is>
          <t>Company › Rules (/rules)</t>
        </is>
      </c>
      <c r="H252" s="31" t="inlineStr">
        <is>
          <t>OK</t>
        </is>
      </c>
      <c r="I252" s="32" t="inlineStr">
        <is>
          <t>Menu item 'Rules' (Company group) as in the guide.</t>
        </is>
      </c>
      <c r="J252" s="33" t="n"/>
      <c r="K252" s="34" t="n"/>
    </row>
    <row r="253">
      <c r="A253" s="28" t="n">
        <v>249</v>
      </c>
      <c r="B253" s="22" t="inlineStr">
        <is>
          <t>17. Rules and KPI definitions</t>
        </is>
      </c>
      <c r="C253" s="28" t="n">
        <v>30</v>
      </c>
      <c r="D253" s="22" t="inlineStr">
        <is>
          <t>Sentence</t>
        </is>
      </c>
      <c r="E253" s="22" t="inlineStr">
        <is>
          <t>The Rules tab is the board’s rulebook: the non-negotiable working rules, how the weekly score is built, how the schedule forecast works, and the consequences of breaking a rule.</t>
        </is>
      </c>
      <c r="F253" s="28" t="inlineStr">
        <is>
          <t>G17.01</t>
        </is>
      </c>
      <c r="G253" s="22" t="inlineStr">
        <is>
          <t>Company › Rules (/rules) — working rules, how the weekly score is built, how the forecast works, consequences (live values)</t>
        </is>
      </c>
      <c r="H253" s="28" t="inlineStr">
        <is>
          <t>OK</t>
        </is>
      </c>
      <c r="I253" s="22" t="inlineStr"/>
      <c r="J253" s="29" t="n"/>
      <c r="K253" s="30" t="n"/>
    </row>
    <row r="254">
      <c r="A254" s="28" t="n">
        <v>250</v>
      </c>
      <c r="B254" s="22" t="inlineStr">
        <is>
          <t>17. Rules and KPI definitions</t>
        </is>
      </c>
      <c r="C254" s="28" t="n">
        <v>30</v>
      </c>
      <c r="D254" s="22" t="inlineStr">
        <is>
          <t>Sentence</t>
        </is>
      </c>
      <c r="E254" s="22" t="inlineStr">
        <is>
          <t>Every number on the board is defined here, so nobody argues about what a metric means.</t>
        </is>
      </c>
      <c r="F254" s="28" t="inlineStr">
        <is>
          <t>G17.02</t>
        </is>
      </c>
      <c r="G254" s="22" t="inlineStr">
        <is>
          <t>Company › Rules (/rules) — KPI definitions (searchable)</t>
        </is>
      </c>
      <c r="H254" s="28" t="inlineStr">
        <is>
          <t>OK</t>
        </is>
      </c>
      <c r="I254" s="22" t="inlineStr"/>
      <c r="J254" s="29" t="n"/>
      <c r="K254" s="30" t="n"/>
    </row>
    <row r="255">
      <c r="A255" s="28" t="n">
        <v>251</v>
      </c>
      <c r="B255" s="22" t="inlineStr">
        <is>
          <t>17. Rules and KPI definitions</t>
        </is>
      </c>
      <c r="C255" s="28" t="n">
        <v>30</v>
      </c>
      <c r="D255" s="22" t="inlineStr">
        <is>
          <t>Screenshot caption</t>
        </is>
      </c>
      <c r="E255" s="22" t="inlineStr">
        <is>
          <t>KPI definitions: on-time delivery, effort ratio, markup and margin, sales cycle, cost per hour, working days and every other measure the board uses</t>
        </is>
      </c>
      <c r="F255" s="28" t="inlineStr">
        <is>
          <t>G17.02</t>
        </is>
      </c>
      <c r="G255" s="22" t="inlineStr">
        <is>
          <t>Company › Rules (/rules) — KPI definitions</t>
        </is>
      </c>
      <c r="H255" s="28" t="inlineStr">
        <is>
          <t>OK</t>
        </is>
      </c>
      <c r="I255" s="22" t="inlineStr">
        <is>
          <t>Screenshot 035.</t>
        </is>
      </c>
      <c r="J255" s="29" t="n"/>
      <c r="K255" s="30" t="n"/>
    </row>
    <row r="256">
      <c r="A256" s="28" t="n">
        <v>252</v>
      </c>
      <c r="B256" s="22" t="inlineStr">
        <is>
          <t>17. Rules and KPI definitions</t>
        </is>
      </c>
      <c r="C256" s="28" t="n">
        <v>30</v>
      </c>
      <c r="D256" s="22" t="inlineStr">
        <is>
          <t>Sentence</t>
        </is>
      </c>
      <c r="E256" s="22" t="inlineStr">
        <is>
          <t>The measures people ask about most:</t>
        </is>
      </c>
      <c r="F256" s="28" t="inlineStr">
        <is>
          <t>G17.02</t>
        </is>
      </c>
      <c r="G256" s="22" t="inlineStr">
        <is>
          <t>Company › Rules (/rules) — KPI definitions</t>
        </is>
      </c>
      <c r="H256" s="28" t="inlineStr">
        <is>
          <t>OK</t>
        </is>
      </c>
      <c r="I256" s="22" t="inlineStr"/>
      <c r="J256" s="29" t="n"/>
      <c r="K256" s="30" t="n"/>
    </row>
    <row r="257">
      <c r="A257" s="28" t="n">
        <v>253</v>
      </c>
      <c r="B257" s="22" t="inlineStr">
        <is>
          <t>17. Rules and KPI definitions</t>
        </is>
      </c>
      <c r="C257" s="28" t="n">
        <v>30</v>
      </c>
      <c r="D257" s="22" t="inlineStr">
        <is>
          <t>Table row</t>
        </is>
      </c>
      <c r="E257" s="22" t="inlineStr">
        <is>
          <t>KPI table — columns: Measure | Plain meaning</t>
        </is>
      </c>
      <c r="F257" s="28" t="inlineStr">
        <is>
          <t>G17.02</t>
        </is>
      </c>
      <c r="G257" s="22" t="inlineStr">
        <is>
          <t>Company › Rules (/rules) — KPI definitions table</t>
        </is>
      </c>
      <c r="H257" s="28" t="inlineStr">
        <is>
          <t>OK</t>
        </is>
      </c>
      <c r="I257" s="22" t="inlineStr"/>
      <c r="J257" s="29" t="n"/>
      <c r="K257" s="30" t="n"/>
    </row>
    <row r="258">
      <c r="A258" s="28" t="n">
        <v>254</v>
      </c>
      <c r="B258" s="22" t="inlineStr">
        <is>
          <t>17. Rules and KPI definitions</t>
        </is>
      </c>
      <c r="C258" s="28" t="n">
        <v>30</v>
      </c>
      <c r="D258" s="22" t="inlineStr">
        <is>
          <t>Table row</t>
        </is>
      </c>
      <c r="E258" s="22" t="inlineStr">
        <is>
          <t>On-time delivery | Share of tasks finished on or before their due date</t>
        </is>
      </c>
      <c r="F258" s="28" t="inlineStr">
        <is>
          <t>G17.02</t>
        </is>
      </c>
      <c r="G258" s="22" t="inlineStr">
        <is>
          <t>Company › Rules (/rules) — 'On-time delivery'</t>
        </is>
      </c>
      <c r="H258" s="28" t="inlineStr">
        <is>
          <t>OK</t>
        </is>
      </c>
      <c r="I258" s="22" t="inlineStr"/>
      <c r="J258" s="29" t="n"/>
      <c r="K258" s="30" t="n"/>
    </row>
    <row r="259">
      <c r="A259" s="28" t="n">
        <v>255</v>
      </c>
      <c r="B259" s="22" t="inlineStr">
        <is>
          <t>17. Rules and KPI definitions</t>
        </is>
      </c>
      <c r="C259" s="28" t="n">
        <v>31</v>
      </c>
      <c r="D259" s="22" t="inlineStr">
        <is>
          <t>Table row</t>
        </is>
      </c>
      <c r="E259" s="22" t="inlineStr">
        <is>
          <t>Effort ratio | Actual hours ÷ estimated hours; above 1.0 means it took longer than planned</t>
        </is>
      </c>
      <c r="F259" s="28" t="inlineStr">
        <is>
          <t>G17.02</t>
        </is>
      </c>
      <c r="G259" s="22" t="inlineStr">
        <is>
          <t>Company › Rules (/rules) — 'Effort ratio'</t>
        </is>
      </c>
      <c r="H259" s="28" t="inlineStr">
        <is>
          <t>OK</t>
        </is>
      </c>
      <c r="I259" s="22" t="inlineStr"/>
      <c r="J259" s="29" t="n"/>
      <c r="K259" s="30" t="n"/>
    </row>
    <row r="260">
      <c r="A260" s="28" t="n">
        <v>256</v>
      </c>
      <c r="B260" s="22" t="inlineStr">
        <is>
          <t>17. Rules and KPI definitions</t>
        </is>
      </c>
      <c r="C260" s="28" t="n">
        <v>31</v>
      </c>
      <c r="D260" s="22" t="inlineStr">
        <is>
          <t>Table row</t>
        </is>
      </c>
      <c r="E260" s="22" t="inlineStr">
        <is>
          <t>SPI | Schedule performance: work done ÷ work planned by today; below 1.0 means behind</t>
        </is>
      </c>
      <c r="F260" s="28" t="inlineStr">
        <is>
          <t>G17.02</t>
        </is>
      </c>
      <c r="G260" s="22" t="inlineStr">
        <is>
          <t>Company › Rules (/rules) — 'SPI'</t>
        </is>
      </c>
      <c r="H260" s="28" t="inlineStr">
        <is>
          <t>OK</t>
        </is>
      </c>
      <c r="I260" s="22" t="inlineStr"/>
      <c r="J260" s="29" t="n"/>
      <c r="K260" s="30" t="n"/>
    </row>
    <row r="261">
      <c r="A261" s="28" t="n">
        <v>257</v>
      </c>
      <c r="B261" s="22" t="inlineStr">
        <is>
          <t>17. Rules and KPI definitions</t>
        </is>
      </c>
      <c r="C261" s="28" t="n">
        <v>31</v>
      </c>
      <c r="D261" s="22" t="inlineStr">
        <is>
          <t>Table row</t>
        </is>
      </c>
      <c r="E261" s="22" t="inlineStr">
        <is>
          <t>Margin | Profit ÷ revenue</t>
        </is>
      </c>
      <c r="F261" s="28" t="inlineStr">
        <is>
          <t>G17.02</t>
        </is>
      </c>
      <c r="G261" s="22" t="inlineStr">
        <is>
          <t>Company › Rules (/rules) — 'Margin: Profit ÷ revenue'</t>
        </is>
      </c>
      <c r="H261" s="28" t="inlineStr">
        <is>
          <t>OK — improved</t>
        </is>
      </c>
      <c r="I261" s="22" t="inlineStr">
        <is>
          <t>v6: standalone Margin entry added.</t>
        </is>
      </c>
      <c r="J261" s="29" t="n"/>
      <c r="K261" s="30" t="n"/>
    </row>
    <row r="262">
      <c r="A262" s="28" t="n">
        <v>258</v>
      </c>
      <c r="B262" s="22" t="inlineStr">
        <is>
          <t>17. Rules and KPI definitions</t>
        </is>
      </c>
      <c r="C262" s="28" t="n">
        <v>31</v>
      </c>
      <c r="D262" s="22" t="inlineStr">
        <is>
          <t>Table row</t>
        </is>
      </c>
      <c r="E262" s="22" t="inlineStr">
        <is>
          <t>Markup | Profit ÷ cost (a 50% markup is a 33% margin)</t>
        </is>
      </c>
      <c r="F262" s="28" t="inlineStr">
        <is>
          <t>G17.02</t>
        </is>
      </c>
      <c r="G262" s="22" t="inlineStr">
        <is>
          <t>Company › Rules (/rules) — 'Markup: (Price − cost) ÷ cost'</t>
        </is>
      </c>
      <c r="H262" s="28" t="inlineStr">
        <is>
          <t>OK — improved</t>
        </is>
      </c>
      <c r="I262" s="22" t="inlineStr">
        <is>
          <t>v6: formula brackets fixed.</t>
        </is>
      </c>
      <c r="J262" s="29" t="n"/>
      <c r="K262" s="30" t="n"/>
    </row>
    <row r="263">
      <c r="A263" s="28" t="n">
        <v>259</v>
      </c>
      <c r="B263" s="22" t="inlineStr">
        <is>
          <t>17. Rules and KPI definitions</t>
        </is>
      </c>
      <c r="C263" s="28" t="n">
        <v>31</v>
      </c>
      <c r="D263" s="22" t="inlineStr">
        <is>
          <t>Table row</t>
        </is>
      </c>
      <c r="E263" s="22" t="inlineStr">
        <is>
          <t>Cost per hour | Monthly CTC ÷ (working days × minimum hours)</t>
        </is>
      </c>
      <c r="F263" s="28" t="inlineStr">
        <is>
          <t>G17.02</t>
        </is>
      </c>
      <c r="G263" s="22" t="inlineStr">
        <is>
          <t>Company › Rules (/rules) — 'Cost per hour'</t>
        </is>
      </c>
      <c r="H263" s="28" t="inlineStr">
        <is>
          <t>OK</t>
        </is>
      </c>
      <c r="I263" s="22" t="inlineStr">
        <is>
          <t>No cost loading.</t>
        </is>
      </c>
      <c r="J263" s="29" t="n"/>
      <c r="K263" s="30" t="n"/>
    </row>
    <row r="264">
      <c r="A264" s="28" t="n">
        <v>260</v>
      </c>
      <c r="B264" s="22" t="inlineStr">
        <is>
          <t>17. Rules and KPI definitions</t>
        </is>
      </c>
      <c r="C264" s="28" t="n">
        <v>31</v>
      </c>
      <c r="D264" s="22" t="inlineStr">
        <is>
          <t>Table row</t>
        </is>
      </c>
      <c r="E264" s="22" t="inlineStr">
        <is>
          <t>Win rate | Deals won ÷ (won + lost)</t>
        </is>
      </c>
      <c r="F264" s="28" t="inlineStr">
        <is>
          <t>G17.02</t>
        </is>
      </c>
      <c r="G264" s="22" t="inlineStr">
        <is>
          <t>Company › Rules (/rules) — 'Win rate'</t>
        </is>
      </c>
      <c r="H264" s="28" t="inlineStr">
        <is>
          <t>OK</t>
        </is>
      </c>
      <c r="I264" s="22" t="inlineStr"/>
      <c r="J264" s="29" t="n"/>
      <c r="K264" s="30" t="n"/>
    </row>
    <row r="265">
      <c r="A265" s="28" t="n">
        <v>261</v>
      </c>
      <c r="B265" s="22" t="inlineStr">
        <is>
          <t>17. Rules and KPI definitions</t>
        </is>
      </c>
      <c r="C265" s="28" t="n">
        <v>31</v>
      </c>
      <c r="D265" s="22" t="inlineStr">
        <is>
          <t>Table row</t>
        </is>
      </c>
      <c r="E265" s="22" t="inlineStr">
        <is>
          <t>Approval KPI | Approvals made on time; late or missed approvals count against the manager</t>
        </is>
      </c>
      <c r="F265" s="28" t="inlineStr">
        <is>
          <t>G17.02</t>
        </is>
      </c>
      <c r="G265" s="22" t="inlineStr">
        <is>
          <t>Company › Rules (/rules) — 'Approval KPI'</t>
        </is>
      </c>
      <c r="H265" s="28" t="inlineStr">
        <is>
          <t>OK</t>
        </is>
      </c>
      <c r="I265" s="22" t="inlineStr"/>
      <c r="J265" s="29" t="n"/>
      <c r="K265" s="30" t="n"/>
    </row>
    <row r="266">
      <c r="A266" s="28" t="n">
        <v>262</v>
      </c>
      <c r="B266" s="22" t="inlineStr">
        <is>
          <t>17. Rules and KPI definitions</t>
        </is>
      </c>
      <c r="C266" s="28" t="n">
        <v>31</v>
      </c>
      <c r="D266" s="22" t="inlineStr">
        <is>
          <t>Table row</t>
        </is>
      </c>
      <c r="E266" s="22" t="inlineStr">
        <is>
          <t>P50 / P80 date | The date a task or milestone has an even or 80% chance of finishing by</t>
        </is>
      </c>
      <c r="F266" s="28" t="inlineStr">
        <is>
          <t>G17.02</t>
        </is>
      </c>
      <c r="G266" s="22" t="inlineStr">
        <is>
          <t>Company › Rules (/rules) — 'P50 / P80 date'</t>
        </is>
      </c>
      <c r="H266" s="28" t="inlineStr">
        <is>
          <t>OK</t>
        </is>
      </c>
      <c r="I266" s="22" t="inlineStr"/>
      <c r="J266" s="29" t="n"/>
      <c r="K266" s="30" t="n"/>
    </row>
    <row r="267">
      <c r="A267" s="28" t="n">
        <v>263</v>
      </c>
      <c r="B267" s="22" t="inlineStr">
        <is>
          <t>17. Rules and KPI definitions</t>
        </is>
      </c>
      <c r="C267" s="28" t="n">
        <v>31</v>
      </c>
      <c r="D267" s="22" t="inlineStr">
        <is>
          <t>Sentence</t>
        </is>
      </c>
      <c r="E267" s="22" t="inlineStr">
        <is>
          <t>When the board and a spreadsheet disagree, the definitions here decide which is right.</t>
        </is>
      </c>
      <c r="F267" s="28" t="inlineStr">
        <is>
          <t>G17.02</t>
        </is>
      </c>
      <c r="G267" s="22" t="inlineStr">
        <is>
          <t>Company › Rules (/rules) — sentence under KPI definitions</t>
        </is>
      </c>
      <c r="H267" s="28" t="inlineStr">
        <is>
          <t>OK</t>
        </is>
      </c>
      <c r="I267" s="22" t="inlineStr"/>
      <c r="J267" s="29" t="n"/>
      <c r="K267" s="30" t="n"/>
    </row>
  </sheetData>
  <autoFilter ref="A4:K267"/>
  <conditionalFormatting sqref="H5:H267">
    <cfRule type="cellIs" priority="1" operator="equal" dxfId="0">
      <formula>"OK"</formula>
    </cfRule>
    <cfRule type="cellIs" priority="2" operator="equal" dxfId="3">
      <formula>"OK — improved"</formula>
    </cfRule>
    <cfRule type="cellIs" priority="3" operator="equal" dxfId="4">
      <formula>"Intentional difference"</formula>
    </cfRule>
    <cfRule type="cellIs" priority="4" operator="equal" dxfId="2">
      <formula>"Different — open"</formula>
    </cfRule>
  </conditionalFormatting>
  <conditionalFormatting sqref="J5:J267">
    <cfRule type="cellIs" priority="5" operator="equal" dxfId="0">
      <formula>"Yes"</formula>
    </cfRule>
    <cfRule type="cellIs" priority="6" operator="equal" dxfId="1">
      <formula>"Query"</formula>
    </cfRule>
    <cfRule type="cellIs" priority="7" operator="equal" dxfId="2">
      <formula>"No"</formula>
    </cfRule>
  </conditionalFormatting>
  <dataValidations count="2">
    <dataValidation sqref="J5:J267" showDropDown="0" showInputMessage="1" showErrorMessage="1" allowBlank="1" errorTitle="Invalid" error="Choose Yes, No or Query" promptTitle="Checked by Santosh" prompt="Pick Yes, No or Query" type="list">
      <formula1>"Yes,No,Query"</formula1>
    </dataValidation>
    <dataValidation sqref="H5:H267" showDropDown="0" showInputMessage="0" showErrorMessage="0" allowBlank="0" type="list">
      <formula1>"OK,OK — improved,Intentional difference,Different — open"</formula1>
    </dataValidation>
  </dataValidations>
  <printOptions gridLines="0"/>
  <pageMargins left="0.75" right="0.75" top="1" bottom="1" header="0.5" footer="0.5"/>
  <pageSetup orientation="landscape" paperSize="9" fitToHeight="0" fitToWidth="1"/>
  <headerFooter>
    <oddHeader>&amp;C&amp;"Arial,Bold"Feature Guide — line-by-line check</oddHeader>
    <oddFooter>&amp;LSeereonOS v6 · Feature Guide cross-reference · 2 Oct 2026&amp;RPage &amp;P of &amp;N</oddFooter>
    <evenHeader/>
    <evenFooter/>
    <firstHeader/>
    <firstFooter/>
  </headerFooter>
</worksheet>
</file>

<file path=xl/worksheets/sheet3.xml><?xml version="1.0" encoding="utf-8"?>
<worksheet xmlns="http://schemas.openxmlformats.org/spreadsheetml/2006/main">
  <sheetPr>
    <tabColor rgb="000C6B4E"/>
    <outlinePr summaryBelow="1" summaryRight="1"/>
    <pageSetUpPr fitToPage="1"/>
  </sheetPr>
  <dimension ref="A1:J122"/>
  <sheetViews>
    <sheetView zoomScale="100" workbookViewId="0">
      <pane ySplit="4" topLeftCell="A5" activePane="bottomLeft" state="frozen"/>
      <selection pane="bottomLeft" activeCell="A1" sqref="A1"/>
    </sheetView>
  </sheetViews>
  <sheetFormatPr baseColWidth="8" defaultRowHeight="15"/>
  <cols>
    <col width="24" customWidth="1" min="1" max="1"/>
    <col width="8" customWidth="1" min="2" max="2"/>
    <col width="52" customWidth="1" min="3" max="3"/>
    <col width="30" customWidth="1" min="4" max="4"/>
    <col width="11" customWidth="1" min="5" max="5"/>
    <col width="58" customWidth="1" min="6" max="6"/>
    <col width="34" customWidth="1" min="7" max="7"/>
    <col width="40" customWidth="1" min="8" max="8"/>
    <col width="14" customWidth="1" min="9" max="9"/>
    <col width="30" customWidth="1" min="10" max="10"/>
  </cols>
  <sheetData>
    <row r="1">
      <c r="A1" s="24" t="inlineStr">
        <is>
          <t>Feature Guide vs SeereonOS build</t>
        </is>
      </c>
    </row>
    <row r="2">
      <c r="A2" s="25" t="inlineStr">
        <is>
          <t>One row per Feature Guide item (checklist G1.01–G17.02). Fill in 'Checked by Santosh' (Yes / No / Query) and 'Comments' — the only columns to edit.</t>
        </is>
      </c>
      <c r="B2" s="26" t="n"/>
      <c r="C2" s="26" t="n"/>
      <c r="D2" s="26" t="n"/>
      <c r="E2" s="26" t="n"/>
      <c r="F2" s="26" t="n"/>
      <c r="G2" s="26" t="n"/>
      <c r="H2" s="26" t="n"/>
      <c r="I2" s="26" t="n"/>
      <c r="J2" s="26" t="n"/>
    </row>
    <row r="4">
      <c r="A4" s="27" t="inlineStr">
        <is>
          <t>Guide section</t>
        </is>
      </c>
      <c r="B4" s="27" t="inlineStr">
        <is>
          <t>ID</t>
        </is>
      </c>
      <c r="C4" s="27" t="inlineStr">
        <is>
          <t>Guide feature (checklist wording)</t>
        </is>
      </c>
      <c r="D4" s="27" t="inlineStr">
        <is>
          <t>Guide page / screenshot reference</t>
        </is>
      </c>
      <c r="E4" s="27" t="inlineStr">
        <is>
          <t>In build?</t>
        </is>
      </c>
      <c r="F4" s="27" t="inlineStr">
        <is>
          <t>Where in the build (screen / route)</t>
        </is>
      </c>
      <c r="G4" s="27" t="inlineStr">
        <is>
          <t>API endpoint</t>
        </is>
      </c>
      <c r="H4" s="27" t="inlineStr">
        <is>
          <t>Notes / improvements</t>
        </is>
      </c>
      <c r="I4" s="27" t="inlineStr">
        <is>
          <t>Checked by Santosh</t>
        </is>
      </c>
      <c r="J4" s="27" t="inlineStr">
        <is>
          <t>Comments</t>
        </is>
      </c>
    </row>
    <row r="5">
      <c r="A5" s="22" t="inlineStr">
        <is>
          <t>1. Roles and views</t>
        </is>
      </c>
      <c r="B5" s="28" t="inlineStr">
        <is>
          <t>G1.01</t>
        </is>
      </c>
      <c r="C5" s="22" t="inlineStr">
        <is>
          <t>Header: company name, week switcher (prev/next week arrows, "This week" label) that drives the week shown on dashboards/timesheet/scorecard</t>
        </is>
      </c>
      <c r="D5" s="22" t="inlineStr">
        <is>
          <t>§1 Roles and views · p.1 · screenshot 000</t>
        </is>
      </c>
      <c r="E5" s="28" t="inlineStr">
        <is>
          <t>Present</t>
        </is>
      </c>
      <c r="F5" s="22" t="inlineStr">
        <is>
          <t>Top bar (every page) + left menu — Top bar: company name, week switcher ‹ 28 Sept – 2 Oct › with 'This week'; drives Dashboard, Tasks, Timesheet &amp; log, Weekly scorecard, Pipeline. Menu names now match the guide tabs: Dashboard, Projects &amp; WBS, Tasks, Timesheet &amp; log, Weekly scorecard, Insights, Client view, Team &amp; settings, Rules</t>
        </is>
      </c>
      <c r="G5" s="22" t="inlineStr">
        <is>
          <t>?week= on GET /dashboards/ceo, /dashboards/pm, /dashboards/employee, /scorecard, /timesheets/:week, /sales/summary</t>
        </is>
      </c>
      <c r="H5" s="22" t="inlineStr">
        <is>
          <t>v6: menu renamed to the guide's tab names.</t>
        </is>
      </c>
      <c r="I5" s="29" t="n"/>
      <c r="J5" s="30" t="n"/>
    </row>
    <row r="6">
      <c r="A6" s="22" t="inlineStr">
        <is>
          <t>1. Roles and views</t>
        </is>
      </c>
      <c r="B6" s="28" t="inlineStr">
        <is>
          <t>G1.02</t>
        </is>
      </c>
      <c r="C6" s="22" t="inlineStr">
        <is>
          <t>Tabs visible per role</t>
        </is>
      </c>
      <c r="D6" s="22" t="inlineStr">
        <is>
          <t>§1 Roles and views · p.1 · screenshot 000</t>
        </is>
      </c>
      <c r="E6" s="28" t="inlineStr">
        <is>
          <t>Present</t>
        </is>
      </c>
      <c r="F6" s="22" t="inlineStr">
        <is>
          <t>Left menu (v7 groups with submenus), More sheet, phone tab bar — Left menu, More sheet and phone tab bar filtered by permission, using the guide's tab names; every route guarded</t>
        </is>
      </c>
      <c r="G6" s="22" t="inlineStr">
        <is>
          <t>GET /me (permissions)</t>
        </is>
      </c>
      <c r="H6" s="22" t="inlineStr">
        <is>
          <t>Roles are configurable permissions (9 default roles).</t>
        </is>
      </c>
      <c r="I6" s="29" t="n"/>
      <c r="J6" s="30" t="n"/>
    </row>
    <row r="7">
      <c r="A7" s="22" t="inlineStr">
        <is>
          <t>1. Roles and views</t>
        </is>
      </c>
      <c r="B7" s="28" t="inlineStr">
        <is>
          <t>G1.03</t>
        </is>
      </c>
      <c r="C7" s="22" t="inlineStr">
        <is>
          <t>View as (admin): switch to any role, read-only</t>
        </is>
      </c>
      <c r="D7" s="22" t="inlineStr">
        <is>
          <t>§1 Roles and views · p.1 · screenshot 000</t>
        </is>
      </c>
      <c r="E7" s="28" t="inlineStr">
        <is>
          <t>Present</t>
        </is>
      </c>
      <c r="F7" s="22" t="inlineStr">
        <is>
          <t>Top bar › View as — View as (top bar and More sheet) lists the 9 configurable roles; banner 'Viewing as X — read-only'</t>
        </is>
      </c>
      <c r="G7" s="22" t="inlineStr">
        <is>
          <t>GET /roles; X-View-As header; writes refused 403 VIEW_AS_READ_ONLY</t>
        </is>
      </c>
      <c r="H7" s="22" t="inlineStr">
        <is>
          <t>Intentional difference: View as offers the 9 configurable roles (guide had 5 fixed roles); read-only as the guide says.</t>
        </is>
      </c>
      <c r="I7" s="29" t="n"/>
      <c r="J7" s="30" t="n"/>
    </row>
    <row r="8">
      <c r="A8" s="22" t="inlineStr">
        <is>
          <t>1. Roles and views</t>
        </is>
      </c>
      <c r="B8" s="28" t="inlineStr">
        <is>
          <t>G1.04</t>
        </is>
      </c>
      <c r="C8" s="22" t="inlineStr">
        <is>
          <t>Five dashboard views CEO / PM / Sales / Operations / Employee; each role lands on its own; employee cannot open others; CEO can switch between the 5 dashboards (segmented switch) and CEO dashboard has sub-tabs Overview / Projects / Sales / Finance / Operations</t>
        </is>
      </c>
      <c r="D8" s="22" t="inlineStr">
        <is>
          <t>§1 Roles and views · p.1 · screenshot 000</t>
        </is>
      </c>
      <c r="E8" s="28" t="inlineStr">
        <is>
          <t>Present</t>
        </is>
      </c>
      <c r="F8" s="22" t="inlineStr">
        <is>
          <t>Dashboard (/home) — Home /home: each person lands on own view; switch CEO · Project manager · Sales · Operations · Employee for people allowed several; CEO sub-tabs Overview / Projects / Sales / Finance / Operations</t>
        </is>
      </c>
      <c r="G8" s="22" t="inlineStr">
        <is>
          <t>GET /dashboards/ceo|pm|sales|ops|employee (403 without permission) |</t>
        </is>
      </c>
      <c r="H8" s="22" t="inlineStr"/>
      <c r="I8" s="29" t="n"/>
      <c r="J8" s="30" t="n"/>
    </row>
    <row r="9">
      <c r="A9" s="22" t="inlineStr">
        <is>
          <t>1. Roles and views</t>
        </is>
      </c>
      <c r="B9" s="28" t="inlineStr">
        <is>
          <t>G1.05</t>
        </is>
      </c>
      <c r="C9" s="22" t="inlineStr">
        <is>
          <t>Role matrix: PM sees own projects, tasks, allocation, approves team timesheets, no salaries/payroll/finance (margins only if granted); Sales own leads; Ops register, openings, leave entries; Employee own tasks' status, own timesheet, comments</t>
        </is>
      </c>
      <c r="D9" s="22" t="inlineStr">
        <is>
          <t>§1 Roles and views · p.1 · text only (no screenshot)</t>
        </is>
      </c>
      <c r="E9" s="28" t="inlineStr">
        <is>
          <t>Present</t>
        </is>
      </c>
      <c r="F9" s="22" t="inlineStr">
        <is>
          <t>Admin › Organisation setup › Roles &amp; permissions (/setup/roles) — Default roles: Project Manager = own projects, tasks, allocation, approves team timesheets, no salaries/payroll/finance, margins only with an extra grant; Sales own deals; HR Manager / HR Executive = ops register, openings, leave entries; Employee self-service</t>
        </is>
      </c>
      <c r="G9" s="22" t="inlineStr">
        <is>
          <t>permission catalogue; server scoping</t>
        </is>
      </c>
      <c r="H9" s="22" t="inlineStr">
        <is>
          <t>Intentional difference: HR Manager can prepare payroll and see the ledger (CEO finalises via maker-checker). Project Manager sees own projects only.</t>
        </is>
      </c>
      <c r="I9" s="29" t="n"/>
      <c r="J9" s="30" t="n"/>
    </row>
    <row r="10">
      <c r="A10" s="22" t="inlineStr">
        <is>
          <t>1. Roles and views</t>
        </is>
      </c>
      <c r="B10" s="28" t="inlineStr">
        <is>
          <t>G1.06</t>
        </is>
      </c>
      <c r="C10" s="22" t="inlineStr">
        <is>
          <t>Employee view: person picker (for CEO/PM), "Tagged you" list (mention comments with Open task), "Covering" tasks for colleagues on leave, own numbers: this week's score, on-time delivery, effort ratio, utilisation next 10 working days, + more (open tasks, avg lateness, overdue, etc.)</t>
        </is>
      </c>
      <c r="D10" s="22" t="inlineStr">
        <is>
          <t>§1 Roles and views · p.2 · screenshot 001</t>
        </is>
      </c>
      <c r="E10" s="28" t="inlineStr">
        <is>
          <t>Present</t>
        </is>
      </c>
      <c r="F10" s="22" t="inlineStr">
        <is>
          <t>Dashboard › Employee (/home) — Employee view (Home → Employee): person picker for CEO/PM; "Tagged you" with Open task; "Covering"; week score, on-time, effort ratio, utilisation next 10 days, open, overdue, average lateness, forecast to breach</t>
        </is>
      </c>
      <c r="G10" s="22" t="inlineStr">
        <is>
          <t>GET /dashboards/employee?user=&amp;week=; GET /tasks/mentions |</t>
        </is>
      </c>
      <c r="H10" s="22" t="inlineStr"/>
      <c r="I10" s="29" t="n"/>
      <c r="J10" s="30" t="n"/>
    </row>
    <row r="11">
      <c r="A11" s="22" t="inlineStr">
        <is>
          <t>2. CEO dashboard: revenue first</t>
        </is>
      </c>
      <c r="B11" s="28" t="inlineStr">
        <is>
          <t>G2.01</t>
        </is>
      </c>
      <c r="C11" s="22" t="inlineStr">
        <is>
          <t>Top 4: revenue this month, quarter, FY (Apr–Mar), net earnings FY, each with change arrow vs previous period</t>
        </is>
      </c>
      <c r="D11" s="22" t="inlineStr">
        <is>
          <t>§2 CEO dashboard: revenue first · p.3 · screenshot 002</t>
        </is>
      </c>
      <c r="E11" s="28" t="inlineStr">
        <is>
          <t>Present</t>
        </is>
      </c>
      <c r="F11" s="22" t="inlineStr">
        <is>
          <t>Dashboard › CEO › Overview (/home) — CEO Overview "Revenue and earnings": revenue month / quarter / FY and net earnings FY, each with change arrow</t>
        </is>
      </c>
      <c r="G11" s="22" t="inlineStr">
        <is>
          <t>GET /dashboards/ceo |</t>
        </is>
      </c>
      <c r="H11" s="22" t="inlineStr">
        <is>
          <t>v6: month and quarter count only income to date.</t>
        </is>
      </c>
      <c r="I11" s="29" t="n"/>
      <c r="J11" s="30" t="n"/>
    </row>
    <row r="12">
      <c r="A12" s="22" t="inlineStr">
        <is>
          <t>2. CEO dashboard: revenue first</t>
        </is>
      </c>
      <c r="B12" s="28" t="inlineStr">
        <is>
          <t>G2.02</t>
        </is>
      </c>
      <c r="C12" s="22" t="inlineStr">
        <is>
          <t>Period table: billed, collected, costs (salaries + expenses), net earnings, net margin, revenue change for month/quarter/FY</t>
        </is>
      </c>
      <c r="D12" s="22" t="inlineStr">
        <is>
          <t>§2 CEO dashboard: revenue first · p.3 · screenshot 002</t>
        </is>
      </c>
      <c r="E12" s="28" t="inlineStr">
        <is>
          <t>Present</t>
        </is>
      </c>
      <c r="F12" s="22" t="inlineStr">
        <is>
          <t>Dashboard › CEO › Overview (/home) — CEO Overview fixed table This month / This quarter / This FY: billed, collected, costs (salaries + expenses), net earnings, net margin, revenue change</t>
        </is>
      </c>
      <c r="G12" s="22" t="inlineStr">
        <is>
          <t>GET /dashboards/ceo</t>
        </is>
      </c>
      <c r="H12" s="22" t="inlineStr">
        <is>
          <t>v6: one salary basis, so the dashboard and the P&amp;L agree.</t>
        </is>
      </c>
      <c r="I12" s="29" t="n"/>
      <c r="J12" s="30" t="n"/>
    </row>
    <row r="13">
      <c r="A13" s="22" t="inlineStr">
        <is>
          <t>2. CEO dashboard: revenue first</t>
        </is>
      </c>
      <c r="B13" s="28" t="inlineStr">
        <is>
          <t>G2.03</t>
        </is>
      </c>
      <c r="C13" s="22" t="inlineStr">
        <is>
          <t>12-month chart billed vs collected</t>
        </is>
      </c>
      <c r="D13" s="22" t="inlineStr">
        <is>
          <t>§2 CEO dashboard: revenue first · p.3 · screenshot 002</t>
        </is>
      </c>
      <c r="E13" s="28" t="inlineStr">
        <is>
          <t>Present</t>
        </is>
      </c>
      <c r="F13" s="22" t="inlineStr">
        <is>
          <t>Dashboard › CEO › Overview (/home) — "Monthly revenue, last 12 months" billed vs collected chart (+ table toggle, export)</t>
        </is>
      </c>
      <c r="G13" s="22" t="inlineStr">
        <is>
          <t>GET /dashboards/ceo |</t>
        </is>
      </c>
      <c r="H13" s="22" t="inlineStr"/>
      <c r="I13" s="29" t="n"/>
      <c r="J13" s="30" t="n"/>
    </row>
    <row r="14">
      <c r="A14" s="22" t="inlineStr">
        <is>
          <t>2. CEO dashboard: revenue first</t>
        </is>
      </c>
      <c r="B14" s="28" t="inlineStr">
        <is>
          <t>G2.04</t>
        </is>
      </c>
      <c r="C14" s="22" t="inlineStr">
        <is>
          <t>Revenue by stream (SAP consulting, project milestones/products, services, subscriptions/AMC, AMS) with % share</t>
        </is>
      </c>
      <c r="D14" s="22" t="inlineStr">
        <is>
          <t>§2 CEO dashboard: revenue first · p.3 · screenshot 002</t>
        </is>
      </c>
      <c r="E14" s="28" t="inlineStr">
        <is>
          <t>Present</t>
        </is>
      </c>
      <c r="F14" s="22" t="inlineStr">
        <is>
          <t>Dashboard › CEO › Overview (/home) — 'Where revenue came from, this financial year': SAP consulting, Products, Services, Subscriptions, AMS with ₹ and % (same names on the P&amp;L)</t>
        </is>
      </c>
      <c r="G14" s="22" t="inlineStr">
        <is>
          <t>GET /dashboards/ceo |</t>
        </is>
      </c>
      <c r="H14" s="22" t="inlineStr">
        <is>
          <t>v6: stream names match the guide.</t>
        </is>
      </c>
      <c r="I14" s="29" t="n"/>
      <c r="J14" s="30" t="n"/>
    </row>
    <row r="15">
      <c r="A15" s="22" t="inlineStr">
        <is>
          <t>2. CEO dashboard: revenue first</t>
        </is>
      </c>
      <c r="B15" s="28" t="inlineStr">
        <is>
          <t>G2.05</t>
        </is>
      </c>
      <c r="C15" s="22" t="inlineStr">
        <is>
          <t>Revenue ahead: milestones billable in 30/60/90 days + weighted sales pipeline</t>
        </is>
      </c>
      <c r="D15" s="22" t="inlineStr">
        <is>
          <t>§2 CEO dashboard: revenue first · p.3 · screenshot 002</t>
        </is>
      </c>
      <c r="E15" s="28" t="inlineStr">
        <is>
          <t>Present</t>
        </is>
      </c>
      <c r="F15" s="22" t="inlineStr">
        <is>
          <t>Dashboard › CEO › Overview (/home) — "Revenue ahead": milestones billable in 30 / 60 / 90 days + weighted sales pipeline</t>
        </is>
      </c>
      <c r="G15" s="22" t="inlineStr">
        <is>
          <t>GET /dashboards/ceo |</t>
        </is>
      </c>
      <c r="H15" s="22" t="inlineStr"/>
      <c r="I15" s="29" t="n"/>
      <c r="J15" s="30" t="n"/>
    </row>
    <row r="16">
      <c r="A16" s="22" t="inlineStr">
        <is>
          <t>2. CEO dashboard: revenue first</t>
        </is>
      </c>
      <c r="B16" s="28" t="inlineStr">
        <is>
          <t>G2.06</t>
        </is>
      </c>
      <c r="C16" s="22" t="inlineStr">
        <is>
          <t>Delivery KPIs: on-time delivery, avg SPI, avg CPI, utilisation next 10 days, active projects in red, open tasks already breached, tasks forecast to breach, tasks done last 4 weeks (vs previous 4), team weekly score</t>
        </is>
      </c>
      <c r="D16" s="22" t="inlineStr">
        <is>
          <t>§2 CEO dashboard: revenue first · p.4 · screenshot 003</t>
        </is>
      </c>
      <c r="E16" s="28" t="inlineStr">
        <is>
          <t>Present</t>
        </is>
      </c>
      <c r="F16" s="22" t="inlineStr">
        <is>
          <t>Dashboard › CEO › Overview (/home) — 'Delivery': milestones hit on time, SPI, average lateness, overdue tasks, plus CPI, utilisation next 10 days, projects in red, forecast to breach, done last 4 weeks, team weekly score</t>
        </is>
      </c>
      <c r="G16" s="22" t="inlineStr">
        <is>
          <t>GET /dashboards/ceo |</t>
        </is>
      </c>
      <c r="H16" s="22" t="inlineStr">
        <is>
          <t>v6: added average lateness and overdue tasks.</t>
        </is>
      </c>
      <c r="I16" s="29" t="n"/>
      <c r="J16" s="30" t="n"/>
    </row>
    <row r="17">
      <c r="A17" s="22" t="inlineStr">
        <is>
          <t>2. CEO dashboard: revenue first</t>
        </is>
      </c>
      <c r="B17" s="28" t="inlineStr">
        <is>
          <t>G2.07</t>
        </is>
      </c>
      <c r="C17" s="22" t="inlineStr">
        <is>
          <t>Milestones and cash: milestones achieved on time %, achieved-not-invoiced ₹, invoiced-awaiting-payment ₹, billable next 30 days; table of milestones due in 30 days with deadline, forecast, status, billing</t>
        </is>
      </c>
      <c r="D17" s="22" t="inlineStr">
        <is>
          <t>§2 CEO dashboard: revenue first · p.4 · screenshot 003</t>
        </is>
      </c>
      <c r="E17" s="28" t="inlineStr">
        <is>
          <t>Present</t>
        </is>
      </c>
      <c r="F17" s="22" t="inlineStr">
        <is>
          <t>Dashboard › CEO › Overview (/home) — "Milestones and cash": milestones on time %, achieved not invoiced ₹, invoiced awaiting payment ₹, billable next 30 days; table due in 30 days with deadline, forecast (red when late), status, billing</t>
        </is>
      </c>
      <c r="G17" s="22" t="inlineStr">
        <is>
          <t>GET /dashboards/ceo |</t>
        </is>
      </c>
      <c r="H17" s="22" t="inlineStr"/>
      <c r="I17" s="29" t="n"/>
      <c r="J17" s="30" t="n"/>
    </row>
    <row r="18">
      <c r="A18" s="22" t="inlineStr">
        <is>
          <t>2. CEO dashboard: revenue first</t>
        </is>
      </c>
      <c r="B18" s="28" t="inlineStr">
        <is>
          <t>G2.08</t>
        </is>
      </c>
      <c r="C18" s="22" t="inlineStr">
        <is>
          <t>Footnote definitions of revenue / costs / net earnings</t>
        </is>
      </c>
      <c r="D18" s="22" t="inlineStr">
        <is>
          <t>§2 CEO dashboard: revenue first · p.3 · screenshot 002</t>
        </is>
      </c>
      <c r="E18" s="28" t="inlineStr">
        <is>
          <t>Present</t>
        </is>
      </c>
      <c r="F18" s="22" t="inlineStr">
        <is>
          <t>Dashboard › CEO › Overview (/home) — Footnote defining revenue, costs, net earnings (also in exports)</t>
        </is>
      </c>
      <c r="G18" s="22" t="inlineStr">
        <is>
          <t>— |</t>
        </is>
      </c>
      <c r="H18" s="22" t="inlineStr"/>
      <c r="I18" s="29" t="n"/>
      <c r="J18" s="30" t="n"/>
    </row>
    <row r="19">
      <c r="A19" s="22" t="inlineStr">
        <is>
          <t>3. Projects: list, status, type</t>
        </is>
      </c>
      <c r="B19" s="28" t="inlineStr">
        <is>
          <t>G3.01</t>
        </is>
      </c>
      <c r="C19" s="22" t="inlineStr">
        <is>
          <t>Status chips All/Initiated/Active/On hold/NPA/Completed/Closed with counts, filter</t>
        </is>
      </c>
      <c r="D19" s="22" t="inlineStr">
        <is>
          <t>§3 Projects: list, status, type · p.4 · screenshot 004</t>
        </is>
      </c>
      <c r="E19" s="28" t="inlineStr">
        <is>
          <t>Present</t>
        </is>
      </c>
      <c r="F19" s="22" t="inlineStr">
        <is>
          <t>Projects &amp; WBS › All projects (/projects) — Projects /projects: status chips All / Initiated / Active / On hold / NPA / Completed / Closed with counts</t>
        </is>
      </c>
      <c r="G19" s="22" t="inlineStr">
        <is>
          <t>GET /projects |</t>
        </is>
      </c>
      <c r="H19" s="22" t="inlineStr"/>
      <c r="I19" s="29" t="n"/>
      <c r="J19" s="30" t="n"/>
    </row>
    <row r="20">
      <c r="A20" s="22" t="inlineStr">
        <is>
          <t>3. Projects: list, status, type</t>
        </is>
      </c>
      <c r="B20" s="28" t="inlineStr">
        <is>
          <t>G3.02</t>
        </is>
      </c>
      <c r="C20" s="22" t="inlineStr">
        <is>
          <t>Status/health column: health badge (On track/At risk/Off track) + inline status dropdown</t>
        </is>
      </c>
      <c r="D20" s="22" t="inlineStr">
        <is>
          <t>§3 Projects: list, status, type · p.4 · screenshot 004</t>
        </is>
      </c>
      <c r="E20" s="28" t="inlineStr">
        <is>
          <t>Present</t>
        </is>
      </c>
      <c r="F20" s="22" t="inlineStr">
        <is>
          <t>Projects &amp; WBS › All projects (/projects) — Status column: health badge + inline status dropdown; 'What the statuses mean' popover next to the chips and meanings in the dropdown and reason dialog</t>
        </is>
      </c>
      <c r="G20" s="22" t="inlineStr">
        <is>
          <t>POST /projects/:id/status |</t>
        </is>
      </c>
      <c r="H20" s="22" t="inlineStr">
        <is>
          <t>v6: status meanings popover added.</t>
        </is>
      </c>
      <c r="I20" s="29" t="n"/>
      <c r="J20" s="30" t="n"/>
    </row>
    <row r="21">
      <c r="A21" s="22" t="inlineStr">
        <is>
          <t>3. Projects: list, status, type</t>
        </is>
      </c>
      <c r="B21" s="28" t="inlineStr">
        <is>
          <t>G3.03</t>
        </is>
      </c>
      <c r="C21" s="22" t="inlineStr">
        <is>
          <t>Moving to On hold / NPA / Closed requires reason; status history kept</t>
        </is>
      </c>
      <c r="D21" s="22" t="inlineStr">
        <is>
          <t>§3 Projects: list, status, type · p.4 · screenshot 004</t>
        </is>
      </c>
      <c r="E21" s="28" t="inlineStr">
        <is>
          <t>Present</t>
        </is>
      </c>
      <c r="F21" s="22" t="inlineStr">
        <is>
          <t>Projects &amp; WBS › All projects (/projects) — Reason required for On hold / NPA / Closed; status history in project Activity tab</t>
        </is>
      </c>
      <c r="G21" s="22" t="inlineStr">
        <is>
          <t>POST /projects/:id/status (422 if no reason); GET /projects/:id/activity |</t>
        </is>
      </c>
      <c r="H21" s="22" t="inlineStr"/>
      <c r="I21" s="29" t="n"/>
      <c r="J21" s="30" t="n"/>
    </row>
    <row r="22">
      <c r="A22" s="22" t="inlineStr">
        <is>
          <t>3. Projects: list, status, type</t>
        </is>
      </c>
      <c r="B22" s="28" t="inlineStr">
        <is>
          <t>G3.04</t>
        </is>
      </c>
      <c r="C22" s="22" t="inlineStr">
        <is>
          <t>Columns: PM, commercial model (Fixed / T&amp;M), type, progress (% and x/y tasks), planned end, forecast end (red when late, "+Nd late"/"Nd early"), next milestone (Mx date name), contract value, projected margin</t>
        </is>
      </c>
      <c r="D22" s="22" t="inlineStr">
        <is>
          <t>§3 Projects: list, status, type · p.4 · screenshot 004</t>
        </is>
      </c>
      <c r="E22" s="28" t="inlineStr">
        <is>
          <t>Present</t>
        </is>
      </c>
      <c r="F22" s="22" t="inlineStr">
        <is>
          <t>Projects &amp; WBS › All projects (/projects) — Columns PM, model ('Fixed price' / 'Time &amp; material') + type, progress, planned end, forecast end, next milestone, contract, projected margin — all fit at 1280 px+ without scrolling</t>
        </is>
      </c>
      <c r="G22" s="22" t="inlineStr">
        <is>
          <t>GET /projects (row) |</t>
        </is>
      </c>
      <c r="H22" s="22" t="inlineStr">
        <is>
          <t>v6: columns fit without scrolling; 'Fixed price' everywhere.</t>
        </is>
      </c>
      <c r="I22" s="29" t="n"/>
      <c r="J22" s="30" t="n"/>
    </row>
    <row r="23">
      <c r="A23" s="22" t="inlineStr">
        <is>
          <t>3. Projects: list, status, type</t>
        </is>
      </c>
      <c r="B23" s="28" t="inlineStr">
        <is>
          <t>G3.05</t>
        </is>
      </c>
      <c r="C23" s="22" t="inlineStr">
        <is>
          <t>Expand row inline (click again to close)</t>
        </is>
      </c>
      <c r="D23" s="22" t="inlineStr">
        <is>
          <t>§3 Projects: list, status, type · p.4 · screenshot 004</t>
        </is>
      </c>
      <c r="E23" s="28" t="inlineStr">
        <is>
          <t>Present</t>
        </is>
      </c>
      <c r="F23" s="22" t="inlineStr">
        <is>
          <t>Projects &amp; WBS › All projects (/projects) — Row expands inline (click again closes): milestones, PM, dates, open tasks, critical risks, Open project / Client view</t>
        </is>
      </c>
      <c r="G23" s="22" t="inlineStr">
        <is>
          <t>GET /projects/:id/summary |</t>
        </is>
      </c>
      <c r="H23" s="22" t="inlineStr"/>
      <c r="I23" s="29" t="n"/>
      <c r="J23" s="30" t="n"/>
    </row>
    <row r="24">
      <c r="A24" s="22" t="inlineStr">
        <is>
          <t>3. Projects: list, status, type</t>
        </is>
      </c>
      <c r="B24" s="28" t="inlineStr">
        <is>
          <t>G3.06</t>
        </is>
      </c>
      <c r="C24" s="22" t="inlineStr">
        <is>
          <t>Project types Product / Service / SaaS / AMS</t>
        </is>
      </c>
      <c r="D24" s="22" t="inlineStr">
        <is>
          <t>§3 Projects: list, status, type · p.4 · screenshot 004</t>
        </is>
      </c>
      <c r="E24" s="28" t="inlineStr">
        <is>
          <t>Present</t>
        </is>
      </c>
      <c r="F24" s="22" t="inlineStr">
        <is>
          <t>Projects &amp; WBS › All projects (/projects) — Types Product / Service / SaaS / AMS</t>
        </is>
      </c>
      <c r="G24" s="22" t="inlineStr">
        <is>
          <t>POST /projects |</t>
        </is>
      </c>
      <c r="H24" s="22" t="inlineStr"/>
      <c r="I24" s="29" t="n"/>
      <c r="J24" s="30" t="n"/>
    </row>
    <row r="25">
      <c r="A25" s="22" t="inlineStr">
        <is>
          <t>3. Projects: list, status, type</t>
        </is>
      </c>
      <c r="B25" s="28" t="inlineStr">
        <is>
          <t>G3.07</t>
        </is>
      </c>
      <c r="C25" s="22" t="inlineStr">
        <is>
          <t>Create project form: name, client, PM, start, planned end, working-days/weekends/holidays summary for the date range, type, commercial model, priority (1..n with labels), auto project code</t>
        </is>
      </c>
      <c r="D25" s="22" t="inlineStr">
        <is>
          <t>§3 Projects: list, status, type · p.6 · screenshot 005</t>
        </is>
      </c>
      <c r="E25" s="28" t="inlineStr">
        <is>
          <t>Present</t>
        </is>
      </c>
      <c r="F25" s="22" t="inlineStr">
        <is>
          <t>Projects &amp; WBS › Create project (/projects/new) — Create project: name, client, PM, start, planned end, calendar line (calendar days, weekends, holidays named, working days), type, commercial model, priority 1–5 with labels, auto code shown</t>
        </is>
      </c>
      <c r="G25" s="22" t="inlineStr">
        <is>
          <t>GET /projects/next-code; POST /projects/costing/preview; POST /projects |</t>
        </is>
      </c>
      <c r="H25" s="22" t="inlineStr"/>
      <c r="I25" s="29" t="n"/>
      <c r="J25" s="30" t="n"/>
    </row>
    <row r="26">
      <c r="A26" s="22" t="inlineStr">
        <is>
          <t>3. Projects: list, status, type</t>
        </is>
      </c>
      <c r="B26" s="28" t="inlineStr">
        <is>
          <t>G3.08</t>
        </is>
      </c>
      <c r="C26" s="22" t="inlineStr">
        <is>
          <t>AUTO MILESTONE SETUP in create form: milestones one per line "name | billing amount" → M1..Mn created in order with billing amounts</t>
        </is>
      </c>
      <c r="D26" s="22" t="inlineStr">
        <is>
          <t>§3 Projects: list, status, type · p.6 · screenshot 005</t>
        </is>
      </c>
      <c r="E26" s="28" t="inlineStr">
        <is>
          <t>Present</t>
        </is>
      </c>
      <c r="F26" s="22" t="inlineStr">
        <is>
          <t>Projects &amp; WBS › Create project (/projects/new) — AUTO MILESTONE SETUP: "one per line, name</t>
        </is>
      </c>
      <c r="G26" s="22" t="inlineStr">
        <is>
          <t>amount" textarea → live M1..Mn preview (bad amounts / duplicates flagged, 3L / 75K shorthand) or "Edit as rows"; deadlines auto-spread over working days until tasks exist</t>
        </is>
      </c>
      <c r="H26" s="22" t="inlineStr">
        <is>
          <t>POST /projects (milestones[]) |</t>
        </is>
      </c>
      <c r="I26" s="29" t="n"/>
      <c r="J26" s="30" t="n"/>
    </row>
    <row r="27">
      <c r="A27" s="22" t="inlineStr">
        <is>
          <t>3. Projects: list, status, type</t>
        </is>
      </c>
      <c r="B27" s="28" t="inlineStr">
        <is>
          <t>G3.09</t>
        </is>
      </c>
      <c r="C27" s="22" t="inlineStr">
        <is>
          <t>Documents upload in create form (PDF, images, text, CSV up to 20 MB each)</t>
        </is>
      </c>
      <c r="D27" s="22" t="inlineStr">
        <is>
          <t>§3 Projects: list, status, type · p.6 · screenshot 005</t>
        </is>
      </c>
      <c r="E27" s="28" t="inlineStr">
        <is>
          <t>Present</t>
        </is>
      </c>
      <c r="F27" s="22" t="inlineStr">
        <is>
          <t>Projects &amp; WBS › Create project (/projects/new) — Documents in create form: PDF, images, text, CSV, 20 MB each, multiple → project Documents</t>
        </is>
      </c>
      <c r="G27" s="22" t="inlineStr">
        <is>
          <t>POST /projects (documents[]) |</t>
        </is>
      </c>
      <c r="H27" s="22" t="inlineStr"/>
      <c r="I27" s="29" t="n"/>
      <c r="J27" s="30" t="n"/>
    </row>
    <row r="28">
      <c r="A28" s="22" t="inlineStr">
        <is>
          <t>3. Projects: list, status, type</t>
        </is>
      </c>
      <c r="B28" s="28" t="inlineStr">
        <is>
          <t>G3.10</t>
        </is>
      </c>
      <c r="C28" s="22" t="inlineStr">
        <is>
          <t>PROJECT COST CALCULATOR in create form (editors only): Resources rows (resource, milestone or All, alloc %, from*, to* default to milestone dates, working days, man-days, cost/day, cost, remove), same person multiple rows; Additional costs (category, description, amount); Maintenance/support cost; Contingency % of resources+additional; Markup %; Project price (computed both ways); planned margin; totals</t>
        </is>
      </c>
      <c r="D28" s="22" t="inlineStr">
        <is>
          <t>§3 Projects: list, status, type · p.6 · screenshot 005</t>
        </is>
      </c>
      <c r="E28" s="28" t="inlineStr">
        <is>
          <t>Present</t>
        </is>
      </c>
      <c r="F28" s="22" t="inlineStr">
        <is>
          <t>Projects &amp; WBS › Create project (/projects/new); Projects &amp; WBS › All projects › project › Costing &amp; margin (/projects/:id/costing); direct: Projects &amp; WBS › Costing &amp; margin — Project cost calculator in the create form and on the Costing &amp; margin tab: resources (person, milestone, %, from/to, working days, hours, cost/day, cost), additional costs, maintenance, contingency %, markup ⇄ price, totals and planned margin; cost per hour = CTC ÷ (working days in the month × minimum hours)</t>
        </is>
      </c>
      <c r="G28" s="22" t="inlineStr">
        <is>
          <t>POST /projects/costing/preview; POST /projects; PUT /projects/:id/costing |</t>
        </is>
      </c>
      <c r="H28" s="22" t="inlineStr">
        <is>
          <t>v6: cost loading removed.</t>
        </is>
      </c>
      <c r="I28" s="29" t="n"/>
      <c r="J28" s="30" t="n"/>
    </row>
    <row r="29">
      <c r="A29" s="22" t="inlineStr">
        <is>
          <t>3. Projects: list, status, type</t>
        </is>
      </c>
      <c r="B29" s="28" t="inlineStr">
        <is>
          <t>G3.11</t>
        </is>
      </c>
      <c r="C29" s="22" t="inlineStr">
        <is>
          <t>Cost per day = CTC ÷ average working days per month × (1 + cost loading %); cost loading set in Finance</t>
        </is>
      </c>
      <c r="D29" s="22" t="inlineStr">
        <is>
          <t>§3 Projects: list, status, type · p.6 · screenshot 005</t>
        </is>
      </c>
      <c r="E29" s="28" t="inlineStr">
        <is>
          <t>Present</t>
        </is>
      </c>
      <c r="F29" s="22" t="inlineStr">
        <is>
          <t>Projects &amp; WBS › Create project (/projects/new) (Project cost calculator); Admin › Team &amp; settings › Cost rates (/settings/cost-rates) — Cost per day = minimum hours × cost per hour, where cost per hour = CTC ÷ (working days in the month × minimum hours); shown in the calculator and on Cost rates</t>
        </is>
      </c>
      <c r="G29" s="22" t="inlineStr">
        <is>
          <t>GET /costing/rates; POST /projects/costing/preview</t>
        </is>
      </c>
      <c r="H29" s="22" t="inlineStr">
        <is>
          <t>v6: formula changed to the guide's cost per hour; cost loading removed.</t>
        </is>
      </c>
      <c r="I29" s="29" t="n"/>
      <c r="J29" s="30" t="n"/>
    </row>
    <row r="30">
      <c r="A30" s="22" t="inlineStr">
        <is>
          <t>4. Project page: milestones, tasks and WBS</t>
        </is>
      </c>
      <c r="B30" s="28" t="inlineStr">
        <is>
          <t>G4.01</t>
        </is>
      </c>
      <c r="C30" s="22" t="inlineStr">
        <is>
          <t>Milestones numbered M1.. in creation order; tasks 2.1, 2.2; numbers never change / never reused</t>
        </is>
      </c>
      <c r="D30" s="22" t="inlineStr">
        <is>
          <t>§4 Project page: milestones, tasks and WBS · p.7 · screenshot 006</t>
        </is>
      </c>
      <c r="E30" s="28" t="inlineStr">
        <is>
          <t>Present</t>
        </is>
      </c>
      <c r="F30" s="22" t="inlineStr">
        <is>
          <t>Projects &amp; WBS › All projects › project › WBS (/projects/:id/wbs); direct: Projects &amp; WBS › Milestones &amp; billing / WBS — M1.. and 1.1, 1.2 numbering from sequences; a task keeps its number when its milestone is deleted or it moves (4.1 stays 4.1 under 'No milestone')</t>
        </is>
      </c>
      <c r="G30" s="22" t="inlineStr">
        <is>
          <t>POST /projects/:id/milestones; POST /projects/:id/tasks |</t>
        </is>
      </c>
      <c r="H30" s="22" t="inlineStr">
        <is>
          <t>v6: task numbers survive milestone deletion.</t>
        </is>
      </c>
      <c r="I30" s="29" t="n"/>
      <c r="J30" s="30" t="n"/>
    </row>
    <row r="31">
      <c r="A31" s="22" t="inlineStr">
        <is>
          <t>4. Project page: milestones, tasks and WBS</t>
        </is>
      </c>
      <c r="B31" s="28" t="inlineStr">
        <is>
          <t>G4.02</t>
        </is>
      </c>
      <c r="C31" s="22" t="inlineStr">
        <is>
          <t>Milestone deadline = target end of its last task (auto); baseline date shown; slip shown in red (+5d)</t>
        </is>
      </c>
      <c r="D31" s="22" t="inlineStr">
        <is>
          <t>§4 Project page: milestones, tasks and WBS · p.7 · screenshot 006</t>
        </is>
      </c>
      <c r="E31" s="28" t="inlineStr">
        <is>
          <t>Present</t>
        </is>
      </c>
      <c r="F31" s="22" t="inlineStr">
        <is>
          <t>Projects &amp; WBS › All projects › project › WBS (/projects/:id/wbs); direct: Projects &amp; WBS › Milestones &amp; billing / WBS — Milestone deadline = target end of its last task (automatic), baseline under it, red slip "+Nd"; provisional until tasks exist</t>
        </is>
      </c>
      <c r="G31" s="22" t="inlineStr">
        <is>
          <t>syncMilestoneDates; PATCH /milestones/:id refuses manual dates once tasks exist |</t>
        </is>
      </c>
      <c r="H31" s="22" t="inlineStr"/>
      <c r="I31" s="29" t="n"/>
      <c r="J31" s="30" t="n"/>
    </row>
    <row r="32">
      <c r="A32" s="22" t="inlineStr">
        <is>
          <t>4. Project page: milestones, tasks and WBS</t>
        </is>
      </c>
      <c r="B32" s="28" t="inlineStr">
        <is>
          <t>G4.03</t>
        </is>
      </c>
      <c r="C32" s="22" t="inlineStr">
        <is>
          <t>Milestone status: Achieved on time / Achieved late / On track / At risk; End column (actual achieved or forecast)</t>
        </is>
      </c>
      <c r="D32" s="22" t="inlineStr">
        <is>
          <t>§4 Project page: milestones, tasks and WBS · p.7 · screenshot 006</t>
        </is>
      </c>
      <c r="E32" s="28" t="inlineStr">
        <is>
          <t>Present</t>
        </is>
      </c>
      <c r="F32" s="22" t="inlineStr">
        <is>
          <t>Projects &amp; WBS › All projects › project › WBS (/projects/:id/wbs); direct: Projects &amp; WBS › Milestones &amp; billing / WBS — Milestones table: Status (Achieved on time / Achieved late / On track / At risk, + Overdue / Not started) and End (achieved or forecast)</t>
        </is>
      </c>
      <c r="G32" s="22" t="inlineStr">
        <is>
          <t>GET /projects/:id |</t>
        </is>
      </c>
      <c r="H32" s="22" t="inlineStr"/>
      <c r="I32" s="29" t="n"/>
      <c r="J32" s="30" t="n"/>
    </row>
    <row r="33">
      <c r="A33" s="22" t="inlineStr">
        <is>
          <t>4. Project page: milestones, tasks and WBS</t>
        </is>
      </c>
      <c r="B33" s="28" t="inlineStr">
        <is>
          <t>G4.04</t>
        </is>
      </c>
      <c r="C33" s="22" t="inlineStr">
        <is>
          <t>Milestone progress bar %, task count</t>
        </is>
      </c>
      <c r="D33" s="22" t="inlineStr">
        <is>
          <t>§4 Project page: milestones, tasks and WBS · p.7 · screenshot 006</t>
        </is>
      </c>
      <c r="E33" s="28" t="inlineStr">
        <is>
          <t>Present</t>
        </is>
      </c>
      <c r="F33" s="22" t="inlineStr">
        <is>
          <t>Projects &amp; WBS › All projects › project › WBS (/projects/:id/wbs); direct: Projects &amp; WBS › Milestones &amp; billing / WBS — Progress bar % + N tasks</t>
        </is>
      </c>
      <c r="G33" s="22" t="inlineStr">
        <is>
          <t>GET /projects/:id |</t>
        </is>
      </c>
      <c r="H33" s="22" t="inlineStr"/>
      <c r="I33" s="29" t="n"/>
      <c r="J33" s="30" t="n"/>
    </row>
    <row r="34">
      <c r="A34" s="22" t="inlineStr">
        <is>
          <t>4. Project page: milestones, tasks and WBS</t>
        </is>
      </c>
      <c r="B34" s="28" t="inlineStr">
        <is>
          <t>G4.05</t>
        </is>
      </c>
      <c r="C34" s="22" t="inlineStr">
        <is>
          <t>Billing per milestone: amount + state dropdown (Not due / Invoiced / Paid); summary line paid / invoiced-unpaid / achieved-not-invoiced of total</t>
        </is>
      </c>
      <c r="D34" s="22" t="inlineStr">
        <is>
          <t>§4 Project page: milestones, tasks and WBS · p.7 · screenshot 006</t>
        </is>
      </c>
      <c r="E34" s="28" t="inlineStr">
        <is>
          <t>Present</t>
        </is>
      </c>
      <c r="F34" s="22" t="inlineStr">
        <is>
          <t>Projects &amp; WBS › All projects › project › WBS (/projects/:id/wbs); direct: Projects &amp; WBS › Milestones &amp; billing / WBS — Billing amount + Not due / Invoiced / Paid dropdown (raises invoice / records payment); summary "paid / invoiced and unpaid / achieved not invoiced of total"</t>
        </is>
      </c>
      <c r="G34" s="22" t="inlineStr">
        <is>
          <t>POST /milestones/:id/invoice; POST /invoices/:id/payments |</t>
        </is>
      </c>
      <c r="H34" s="22" t="inlineStr"/>
      <c r="I34" s="29" t="n"/>
      <c r="J34" s="30" t="n"/>
    </row>
    <row r="35">
      <c r="A35" s="22" t="inlineStr">
        <is>
          <t>4. Project page: milestones, tasks and WBS</t>
        </is>
      </c>
      <c r="B35" s="28" t="inlineStr">
        <is>
          <t>G4.06</t>
        </is>
      </c>
      <c r="C35" s="22" t="inlineStr">
        <is>
          <t>Edit milestone (name, dates, amount); Delete blocked if invoiced; deleting moves tasks to "No milestone"</t>
        </is>
      </c>
      <c r="D35" s="22" t="inlineStr">
        <is>
          <t>§4 Project page: milestones, tasks and WBS · p.7 · screenshot 006</t>
        </is>
      </c>
      <c r="E35" s="28" t="inlineStr">
        <is>
          <t>Present</t>
        </is>
      </c>
      <c r="F35" s="22" t="inlineStr">
        <is>
          <t>Projects &amp; WBS › All projects › project › WBS (/projects/:id/wbs); direct: Projects &amp; WBS › Milestones &amp; billing / WBS — Edit (name, amount; dates locked once tasks exist), Delete blocked when invoiced, tasks move to "No milestone"</t>
        </is>
      </c>
      <c r="G35" s="22" t="inlineStr">
        <is>
          <t>PATCH / DELETE /milestones/:id |</t>
        </is>
      </c>
      <c r="H35" s="22" t="inlineStr">
        <is>
          <t>Dates follow the last task once a milestone has tasks (editable while it has none).</t>
        </is>
      </c>
      <c r="I35" s="29" t="n"/>
      <c r="J35" s="30" t="n"/>
    </row>
    <row r="36">
      <c r="A36" s="22" t="inlineStr">
        <is>
          <t>4. Project page: milestones, tasks and WBS</t>
        </is>
      </c>
      <c r="B36" s="28" t="inlineStr">
        <is>
          <t>G4.07</t>
        </is>
      </c>
      <c r="C36" s="22" t="inlineStr">
        <is>
          <t>Auto-cleanup: milestone with no tasks for 7 days removed automatically unless invoiced</t>
        </is>
      </c>
      <c r="D36" s="22" t="inlineStr">
        <is>
          <t>§4 Project page: milestones, tasks and WBS · p.7 · screenshot 006</t>
        </is>
      </c>
      <c r="E36" s="28" t="inlineStr">
        <is>
          <t>Present</t>
        </is>
      </c>
      <c r="F36" s="22" t="inlineStr">
        <is>
          <t>Projects &amp; WBS › All projects › project › WBS (/projects/:id/wbs); direct: Projects &amp; WBS › Milestones &amp; billing / WBS — Auto-cleanup of milestones with no tasks for 7 days unless invoiced ("no tasks: removed {date}")</t>
        </is>
      </c>
      <c r="G36" s="22" t="inlineStr">
        <is>
          <t>sweepMilestones on project, list and dashboard reads; setting projects.empty_milestone_days |</t>
        </is>
      </c>
      <c r="H36" s="22" t="inlineStr"/>
      <c r="I36" s="29" t="n"/>
      <c r="J36" s="30" t="n"/>
    </row>
    <row r="37">
      <c r="A37" s="22" t="inlineStr">
        <is>
          <t>4. Project page: milestones, tasks and WBS</t>
        </is>
      </c>
      <c r="B37" s="28" t="inlineStr">
        <is>
          <t>G4.08</t>
        </is>
      </c>
      <c r="C37" s="22" t="inlineStr">
        <is>
          <t>Add milestone inline: name + optional billing amount</t>
        </is>
      </c>
      <c r="D37" s="22" t="inlineStr">
        <is>
          <t>§4 Project page: milestones, tasks and WBS · p.7 · screenshot 006</t>
        </is>
      </c>
      <c r="E37" s="28" t="inlineStr">
        <is>
          <t>Present</t>
        </is>
      </c>
      <c r="F37" s="22" t="inlineStr">
        <is>
          <t>Projects &amp; WBS › All projects › project › WBS (/projects/:id/wbs); direct: Projects &amp; WBS › Milestones &amp; billing / WBS — Inline add: name + optional billing amount, no dates needed</t>
        </is>
      </c>
      <c r="G37" s="22" t="inlineStr">
        <is>
          <t>POST /projects/:id/milestones |</t>
        </is>
      </c>
      <c r="H37" s="22" t="inlineStr"/>
      <c r="I37" s="29" t="n"/>
      <c r="J37" s="30" t="n"/>
    </row>
    <row r="38">
      <c r="A38" s="22" t="inlineStr">
        <is>
          <t>4. Project page: milestones, tasks and WBS</t>
        </is>
      </c>
      <c r="B38" s="28" t="inlineStr">
        <is>
          <t>G4.09</t>
        </is>
      </c>
      <c r="C38" s="22" t="inlineStr">
        <is>
          <t>WBS table: milestone rows with rollups (done %, effort est/actual, start, target end, end) and +Task per milestone; task rows: number, title, "after x.y" dependencies, owner, done %, effort est/actual, start plan/actual, target end (with revisions), end actual/forecast (green/red), float to milestone; critical tasks marked</t>
        </is>
      </c>
      <c r="D38" s="22" t="inlineStr">
        <is>
          <t>§4 Project page: milestones, tasks and WBS · p.8 · screenshot 007</t>
        </is>
      </c>
      <c r="E38" s="28" t="inlineStr">
        <is>
          <t>Present</t>
        </is>
      </c>
      <c r="F38" s="22" t="inlineStr">
        <is>
          <t>Projects &amp; WBS › All projects › project › WBS (/projects/:id/wbs); direct: Projects &amp; WBS › Milestones &amp; billing / WBS — WBS table: milestone rollups + '+ Task'; task rows WBS no., title, 'after x.y', owner, stage, done %, effort est/actual, start plan/actual, target end (rev), end actual/forecast, float to milestone with 'project: Nd' (float to project end) underneath; critical rows red</t>
        </is>
      </c>
      <c r="G38" s="22" t="inlineStr">
        <is>
          <t>GET /projects/:id |</t>
        </is>
      </c>
      <c r="H38" s="22" t="inlineStr">
        <is>
          <t>v6: float cell shows float to milestone plus 'project: Nd' (working days before the project end slips, as the guide defines float).</t>
        </is>
      </c>
      <c r="I38" s="29" t="n"/>
      <c r="J38" s="30" t="n"/>
    </row>
    <row r="39">
      <c r="A39" s="22" t="inlineStr">
        <is>
          <t>4. Project page: milestones, tasks and WBS</t>
        </is>
      </c>
      <c r="B39" s="28" t="inlineStr">
        <is>
          <t>G4.10</t>
        </is>
      </c>
      <c r="C39" s="22" t="inlineStr">
        <is>
          <t>WBS import: paste rows or upload CSV (Milestone, Task, Owner, Estimated hours, Start, End, Complexity, Depends on, Milestone billing); template download; preview with row errors (unknown owner, bad date, unknown dependency); all-or-nothing save</t>
        </is>
      </c>
      <c r="D39" s="22" t="inlineStr">
        <is>
          <t>§4 Project page: milestones, tasks and WBS · p.6 · text only (no screenshot)</t>
        </is>
      </c>
      <c r="E39" s="28" t="inlineStr">
        <is>
          <t>Present</t>
        </is>
      </c>
      <c r="F39" s="22" t="inlineStr">
        <is>
          <t>Projects &amp; WBS › Import WBS (/delivery/import); project › Import WBS (/projects/:id/import) — WBS import: paste / CSV, template download, preview with row errors, all-or-nothing</t>
        </is>
      </c>
      <c r="G39" s="22" t="inlineStr">
        <is>
          <t>POST /projects/:id/import?mode=preview|commit |</t>
        </is>
      </c>
      <c r="H39" s="22" t="inlineStr"/>
      <c r="I39" s="29" t="n"/>
      <c r="J39" s="30" t="n"/>
    </row>
    <row r="40">
      <c r="A40" s="22" t="inlineStr">
        <is>
          <t>5. Schedule, critical path and change requests</t>
        </is>
      </c>
      <c r="B40" s="28" t="inlineStr">
        <is>
          <t>G5.01</t>
        </is>
      </c>
      <c r="C40" s="22" t="inlineStr">
        <is>
          <t>Gantt: bar per task grouped by milestone, planned vs actual/forecast bars, critical in red, milestone deadline and forecast diamonds, today line, baseline</t>
        </is>
      </c>
      <c r="D40" s="22" t="inlineStr">
        <is>
          <t>§5 Schedule, critical path and change requests · p.9 · screenshot 008</t>
        </is>
      </c>
      <c r="E40" s="28" t="inlineStr">
        <is>
          <t>Present</t>
        </is>
      </c>
      <c r="F40" s="22" t="inlineStr">
        <is>
          <t>Projects &amp; WBS › All projects › project › Schedule (/projects/:id/schedule); direct: Projects &amp; WBS › Schedule &amp; critical path — Schedule tab Gantt: bars by milestone, planned vs actual/forecast, critical red, deadline &amp; forecast diamonds, today line, baselines, zoom; scrolls inside its card on phones</t>
        </is>
      </c>
      <c r="G40" s="22" t="inlineStr">
        <is>
          <t>GET /projects/:id/schedule |</t>
        </is>
      </c>
      <c r="H40" s="22" t="inlineStr"/>
      <c r="I40" s="29" t="n"/>
      <c r="J40" s="30" t="n"/>
    </row>
    <row r="41">
      <c r="A41" s="22" t="inlineStr">
        <is>
          <t>5. Schedule, critical path and change requests</t>
        </is>
      </c>
      <c r="B41" s="28" t="inlineStr">
        <is>
          <t>G5.02</t>
        </is>
      </c>
      <c r="C41" s="22" t="inlineStr">
        <is>
          <t>Critical path text summary (chain with dates, end date)</t>
        </is>
      </c>
      <c r="D41" s="22" t="inlineStr">
        <is>
          <t>§5 Schedule, critical path and change requests · p.9 · screenshot 008</t>
        </is>
      </c>
      <c r="E41" s="28" t="inlineStr">
        <is>
          <t>Present</t>
        </is>
      </c>
      <c r="F41" s="22" t="inlineStr">
        <is>
          <t>Projects &amp; WBS › All projects › project › Schedule (/projects/:id/schedule); direct: Projects &amp; WBS › Schedule &amp; critical path — "Critical path: 1.1 (dates) › 1.2 … Ends {date}"</t>
        </is>
      </c>
      <c r="G41" s="22" t="inlineStr">
        <is>
          <t>GET /projects/:id/schedule |</t>
        </is>
      </c>
      <c r="H41" s="22" t="inlineStr"/>
      <c r="I41" s="29" t="n"/>
      <c r="J41" s="30" t="n"/>
    </row>
    <row r="42">
      <c r="A42" s="22" t="inlineStr">
        <is>
          <t>5. Schedule, critical path and change requests</t>
        </is>
      </c>
      <c r="B42" s="28" t="inlineStr">
        <is>
          <t>G5.03</t>
        </is>
      </c>
      <c r="C42" s="22" t="inlineStr">
        <is>
          <t>Critical path and breach risks list: each at-risk task with status, risk badges (Breached / High risk / Critical), project/milestone/owner/complexity/est/logged/backup, planned vs actual, waiting on / blocks with owners and dates, forecast vs target; actions: status dropdown, Update progress, Flag slip, Reassign, Details and comments (count), Remove</t>
        </is>
      </c>
      <c r="D42" s="22" t="inlineStr">
        <is>
          <t>§5 Schedule, critical path and change requests · p.10 · screenshot 009</t>
        </is>
      </c>
      <c r="E42" s="28" t="inlineStr">
        <is>
          <t>Present</t>
        </is>
      </c>
      <c r="F42" s="22" t="inlineStr">
        <is>
          <t>Projects &amp; WBS › All projects › project › Schedule (/projects/:id/schedule); direct: Projects &amp; WBS › Schedule &amp; critical path; Dashboard › Project manager — 'Critical path and breach risks' list (Schedule tab and PM dashboard): Breached / High risk / Critical badges (Breached count equals the KPI strip), waiting on / blocks with owners, forecast vs target; stage dropdown, Update progress, Flag slip, Reassign, Details and comments (n), Remove (Cancel when hours are logged)</t>
        </is>
      </c>
      <c r="G42" s="22" t="inlineStr">
        <is>
          <t>GET /delivery/risks; POST /tasks/:id/stage|progress|flag-slip|cancel |</t>
        </is>
      </c>
      <c r="H42" s="22" t="inlineStr">
        <is>
          <t>Intentional difference: Remove on a task with logged hours becomes Cancel. v6: Breached count consistent.</t>
        </is>
      </c>
      <c r="I42" s="29" t="n"/>
      <c r="J42" s="30" t="n"/>
    </row>
    <row r="43">
      <c r="A43" s="22" t="inlineStr">
        <is>
          <t>5. Schedule, critical path and change requests</t>
        </is>
      </c>
      <c r="B43" s="28" t="inlineStr">
        <is>
          <t>G5.04</t>
        </is>
      </c>
      <c r="C43" s="22" t="inlineStr">
        <is>
          <t>Change requests: KPIs raised, awaiting decision, approved extra effort hours, scope growth vs baseline %; CR rows (CR-n title, status, requested by, date, effort, working-days impact, billable value, note); Approve / Reject; approved CR adds value to contract and "Add its tasks to the WBS"; raise CR form</t>
        </is>
      </c>
      <c r="D43" s="22" t="inlineStr">
        <is>
          <t>§5 Schedule, critical path and change requests · p.11 · screenshot 010</t>
        </is>
      </c>
      <c r="E43" s="28" t="inlineStr">
        <is>
          <t>Present</t>
        </is>
      </c>
      <c r="F43" s="22" t="inlineStr">
        <is>
          <t>Projects &amp; WBS › All projects › project › Changes (/projects/:id/changes); direct: Projects &amp; WBS › Change requests — Changes tab: KPIs, CR-n rows, Approve (adds value to contract) / Reject with reason, 'Add its tasks to the WBS' (tasks start today or a chosen start; the new milestone's deadline follows its last task), raise form</t>
        </is>
      </c>
      <c r="G43" s="22" t="inlineStr">
        <is>
          <t>/projects/:id/change-requests; /change-requests/:id/decision|add-tasks |</t>
        </is>
      </c>
      <c r="H43" s="22" t="inlineStr">
        <is>
          <t>v6: CR tasks start today.</t>
        </is>
      </c>
      <c r="I43" s="29" t="n"/>
      <c r="J43" s="30" t="n"/>
    </row>
    <row r="44">
      <c r="A44" s="22" t="inlineStr">
        <is>
          <t>6. Costing, allocation and margins</t>
        </is>
      </c>
      <c r="B44" s="28" t="inlineStr">
        <is>
          <t>G6.01</t>
        </is>
      </c>
      <c r="C44" s="22" t="inlineStr">
        <is>
          <t>Resource allocation by milestone (person, milestone or All, %, from, to all required)</t>
        </is>
      </c>
      <c r="D44" s="22" t="inlineStr">
        <is>
          <t>§6 Costing, allocation and margins · p.12 · screenshot 011</t>
        </is>
      </c>
      <c r="E44" s="28" t="inlineStr">
        <is>
          <t>Present</t>
        </is>
      </c>
      <c r="F44" s="22" t="inlineStr">
        <is>
          <t>Projects &amp; WBS › All projects › project › Costing &amp; margin (/projects/:id/costing); direct: Projects &amp; WBS › Costing &amp; margin (Resource allocation by milestone); Team &amp; allocation tab — 'Resource allocation by milestone' section on Costing &amp; margin (and Team &amp; allocation tab): Person, Milestone * (M1 code), % of time *, From *, To * — all required, no 'All milestones' option; server 422 ALLOC_INVALID</t>
        </is>
      </c>
      <c r="G44" s="22" t="inlineStr">
        <is>
          <t>POST/PATCH/DELETE /allocations (422 ALLOC_INVALID without milestone); PUT /projects/:id/costing</t>
        </is>
      </c>
      <c r="H44" s="22" t="inlineStr">
        <is>
          <t>v6: section added to the Costing &amp; margin tab; 'All milestones' option removed to follow 'all four are required'.</t>
        </is>
      </c>
      <c r="I44" s="29" t="n"/>
      <c r="J44" s="30" t="n"/>
    </row>
    <row r="45">
      <c r="A45" s="22" t="inlineStr">
        <is>
          <t>6. Costing, allocation and margins</t>
        </is>
      </c>
      <c r="B45" s="28" t="inlineStr">
        <is>
          <t>G6.02</t>
        </is>
      </c>
      <c r="C45" s="22" t="inlineStr">
        <is>
          <t>Cost per hour = CTC ÷ (working days × min hours) example</t>
        </is>
      </c>
      <c r="D45" s="22" t="inlineStr">
        <is>
          <t>§6 Costing, allocation and margins · p.11 · text only (no screenshot)</t>
        </is>
      </c>
      <c r="E45" s="28" t="inlineStr">
        <is>
          <t>Present</t>
        </is>
      </c>
      <c r="F45" s="22" t="inlineStr">
        <is>
          <t>Projects &amp; WBS › All projects › project › Costing &amp; margin (/projects/:id/costing); direct: Projects &amp; WBS › Costing &amp; margin; Admin › Team &amp; settings › Cost rates; Rules — Cost per hour = CTC ÷ (working days in the month × minimum hours) everywhere (calculator, Costing &amp; margin, Cost rates, Team, Rules); example ₹60,000 ÷ (22 × 9) = ₹303; cost loading removed</t>
        </is>
      </c>
      <c r="G45" s="22" t="inlineStr">
        <is>
          <t>GET /cost-rates; GET /costing/rates</t>
        </is>
      </c>
      <c r="H45" s="22" t="inlineStr">
        <is>
          <t>v6: cost per hour everywhere; cost loading removed.</t>
        </is>
      </c>
      <c r="I45" s="29" t="n"/>
      <c r="J45" s="30" t="n"/>
    </row>
    <row r="46">
      <c r="A46" s="22" t="inlineStr">
        <is>
          <t>6. Costing, allocation and margins</t>
        </is>
      </c>
      <c r="B46" s="28" t="inlineStr">
        <is>
          <t>G6.03</t>
        </is>
      </c>
      <c r="C46" s="22" t="inlineStr">
        <is>
          <t>Costing &amp; margin table: Planned / Projected / Actual to date for revenue, cost, profit, margin (projected revenue incl CRs, actual earned = contract × % complete)</t>
        </is>
      </c>
      <c r="D46" s="22" t="inlineStr">
        <is>
          <t>§6 Costing, allocation and margins · p.12 · screenshot 011</t>
        </is>
      </c>
      <c r="E46" s="28" t="inlineStr">
        <is>
          <t>Present</t>
        </is>
      </c>
      <c r="F46" s="22" t="inlineStr">
        <is>
          <t>Projects &amp; WBS › All projects › project › Costing &amp; margin (/projects/:id/costing); direct: Projects &amp; WBS › Costing &amp; margin — Costing &amp; margin › 'Costing and margin': Planned / Projected / Actual × revenue, cost, profit, margin, markup, with the guide's 'Three margins' legend (Revenue used / Cost used / Answers). Actual = invoiced amount vs approved hours only</t>
        </is>
      </c>
      <c r="G46" s="22" t="inlineStr">
        <is>
          <t>GET /projects/:id/money |</t>
        </is>
      </c>
      <c r="H46" s="22" t="inlineStr">
        <is>
          <t>v6: Actual margin = invoiced amount vs approved hours only (was earned value).</t>
        </is>
      </c>
      <c r="I46" s="29" t="n"/>
      <c r="J46" s="30" t="n"/>
    </row>
    <row r="47">
      <c r="A47" s="22" t="inlineStr">
        <is>
          <t>6. Costing, allocation and margins</t>
        </is>
      </c>
      <c r="B47" s="28" t="inlineStr">
        <is>
          <t>G6.04</t>
        </is>
      </c>
      <c r="C47" s="22" t="inlineStr">
        <is>
          <t>Margin vs markup shown side by side</t>
        </is>
      </c>
      <c r="D47" s="22" t="inlineStr">
        <is>
          <t>§6 Costing, allocation and margins · p.12 · screenshot 011</t>
        </is>
      </c>
      <c r="E47" s="28" t="inlineStr">
        <is>
          <t>Present</t>
        </is>
      </c>
      <c r="F47" s="22" t="inlineStr">
        <is>
          <t>Projects &amp; WBS › All projects › project › Costing &amp; margin (/projects/:id/costing); direct: Projects &amp; WBS › Costing &amp; margin — Costing &amp; margin › 'Margin vs markup': guide text and the ₹1,00,000 / ₹1,50,000 example; margin and markup side by side</t>
        </is>
      </c>
      <c r="G47" s="22" t="inlineStr">
        <is>
          <t>GET /projects/:id/money |</t>
        </is>
      </c>
      <c r="H47" s="22" t="inlineStr"/>
      <c r="I47" s="29" t="n"/>
      <c r="J47" s="30" t="n"/>
    </row>
    <row r="48">
      <c r="A48" s="22" t="inlineStr">
        <is>
          <t>6. Costing, allocation and margins</t>
        </is>
      </c>
      <c r="B48" s="28" t="inlineStr">
        <is>
          <t>G6.05</t>
        </is>
      </c>
      <c r="C48" s="22" t="inlineStr">
        <is>
          <t>Effort ratio per task, milestone, project; &gt;1.2 flagged</t>
        </is>
      </c>
      <c r="D48" s="22" t="inlineStr">
        <is>
          <t>§6 Costing, allocation and margins · p.12 · screenshot 011</t>
        </is>
      </c>
      <c r="E48" s="28" t="inlineStr">
        <is>
          <t>Present</t>
        </is>
      </c>
      <c r="F48" s="22" t="inlineStr">
        <is>
          <t>Projects &amp; WBS › All projects › project › Costing &amp; margin (/projects/:id/costing); direct: Projects &amp; WBS › Costing &amp; margin — Costing &amp; margin › 'Effort ratio' = actual ÷ estimated hours per project, milestone and task; above 1.2 flagged red 'Over 1.2'</t>
        </is>
      </c>
      <c r="G48" s="22" t="inlineStr">
        <is>
          <t>GET /projects/:id/money |</t>
        </is>
      </c>
      <c r="H48" s="22" t="inlineStr">
        <is>
          <t>v6: effort ratio = actual ÷ estimated (was actual ÷ earned).</t>
        </is>
      </c>
      <c r="I48" s="29" t="n"/>
      <c r="J48" s="30" t="n"/>
    </row>
    <row r="49">
      <c r="A49" s="22" t="inlineStr">
        <is>
          <t>6. Costing, allocation and margins</t>
        </is>
      </c>
      <c r="B49" s="28" t="inlineStr">
        <is>
          <t>G6.06</t>
        </is>
      </c>
      <c r="C49" s="22" t="inlineStr">
        <is>
          <t>What moved the margin: planned profit, approved CRs, breach cost (people held on late milestones), early-finish saving, projected profit; contingency note (released at close)</t>
        </is>
      </c>
      <c r="D49" s="22" t="inlineStr">
        <is>
          <t>§6 Costing, allocation and margins · p.12 · screenshot 011</t>
        </is>
      </c>
      <c r="E49" s="28" t="inlineStr">
        <is>
          <t>Present</t>
        </is>
      </c>
      <c r="F49" s="22" t="inlineStr">
        <is>
          <t>Projects &amp; WBS › All projects › project › Costing &amp; margin (/projects/:id/costing); direct: Projects &amp; WBS › Costing &amp; margin — Costing &amp; margin › 'What moved the margin': planned profit → approved CRs, extra hours on late milestones, breach cost, early-finish saving, hours vs allocation → projected profit (adds up exactly); contingency note</t>
        </is>
      </c>
      <c r="G49" s="22" t="inlineStr">
        <is>
          <t>GET /projects/:id/money |</t>
        </is>
      </c>
      <c r="H49" s="22" t="inlineStr"/>
      <c r="I49" s="29" t="n"/>
      <c r="J49" s="30" t="n"/>
    </row>
    <row r="50">
      <c r="A50" s="22" t="inlineStr">
        <is>
          <t>6. Costing, allocation and margins</t>
        </is>
      </c>
      <c r="B50" s="28" t="inlineStr">
        <is>
          <t>G6.07</t>
        </is>
      </c>
      <c r="C50" s="22" t="inlineStr">
        <is>
          <t>Milestone variance: deadline, forecast/actual, slip (working days), planned cost, projected cost, change</t>
        </is>
      </c>
      <c r="D50" s="22" t="inlineStr">
        <is>
          <t>§6 Costing, allocation and margins · p.12 · screenshot 011</t>
        </is>
      </c>
      <c r="E50" s="28" t="inlineStr">
        <is>
          <t>Present</t>
        </is>
      </c>
      <c r="F50" s="22" t="inlineStr">
        <is>
          <t>Projects &amp; WBS › All projects › project › Costing &amp; margin (/projects/:id/costing); direct: Projects &amp; WBS › Costing &amp; margin — Costing &amp; margin › 'Milestone variance': deadline, forecast/actual, slip, planned cost, projected cost, change</t>
        </is>
      </c>
      <c r="G50" s="22" t="inlineStr">
        <is>
          <t>GET /projects/:id/money |</t>
        </is>
      </c>
      <c r="H50" s="22" t="inlineStr"/>
      <c r="I50" s="29" t="n"/>
      <c r="J50" s="30" t="n"/>
    </row>
    <row r="51">
      <c r="A51" s="22" t="inlineStr">
        <is>
          <t>6. Costing, allocation and margins</t>
        </is>
      </c>
      <c r="B51" s="28" t="inlineStr">
        <is>
          <t>G6.08</t>
        </is>
      </c>
      <c r="C51" s="22" t="inlineStr">
        <is>
          <t>Resources: allocated vs logged (allocated man-days, allocated to date, logged days to date, allocation used %, planned cost; "unplanned" for people who logged without allocation)</t>
        </is>
      </c>
      <c r="D51" s="22" t="inlineStr">
        <is>
          <t>§6 Costing, allocation and margins · p.12 · screenshot 011</t>
        </is>
      </c>
      <c r="E51" s="28" t="inlineStr">
        <is>
          <t>Present</t>
        </is>
      </c>
      <c r="F51" s="22" t="inlineStr">
        <is>
          <t>Projects &amp; WBS › All projects › project › Costing &amp; margin (/projects/:id/costing); direct: Projects &amp; WBS › Costing &amp; margin — Costing &amp; margin › 'Resources: allocated vs logged' in hours: planned hours, planned to date, logged (approved) hours, allocation used %, man-days (secondary), planned cost; 'unplanned' rows</t>
        </is>
      </c>
      <c r="G51" s="22" t="inlineStr">
        <is>
          <t>GET /projects/:id/money |</t>
        </is>
      </c>
      <c r="H51" s="22" t="inlineStr">
        <is>
          <t>v6: shown in hours (was man-days).</t>
        </is>
      </c>
      <c r="I51" s="29" t="n"/>
      <c r="J51" s="30" t="n"/>
    </row>
    <row r="52">
      <c r="A52" s="22" t="inlineStr">
        <is>
          <t>6. Costing, allocation and margins</t>
        </is>
      </c>
      <c r="B52" s="28" t="inlineStr">
        <is>
          <t>G6.09</t>
        </is>
      </c>
      <c r="C52" s="22" t="inlineStr">
        <is>
          <t>Planned costing summary (calendar days, weekend days, holidays, working days, total man-days, resource count) + editable resource rows on the project</t>
        </is>
      </c>
      <c r="D52" s="22" t="inlineStr">
        <is>
          <t>§6 Costing, allocation and margins · p.12 · screenshot 011</t>
        </is>
      </c>
      <c r="E52" s="28" t="inlineStr">
        <is>
          <t>Present</t>
        </is>
      </c>
      <c r="F52" s="22" t="inlineStr">
        <is>
          <t>Projects &amp; WBS › All projects › project › Costing &amp; margin (/projects/:id/costing); direct: Projects &amp; WBS › Costing &amp; margin — Costing &amp; margin › 'Planned costing': calendar, weekend, holiday and working days, hours, resources + editable calculator</t>
        </is>
      </c>
      <c r="G52" s="22" t="inlineStr">
        <is>
          <t>GET/PUT /projects/:id/costing</t>
        </is>
      </c>
      <c r="H52" s="22" t="inlineStr"/>
      <c r="I52" s="29" t="n"/>
      <c r="J52" s="30" t="n"/>
    </row>
    <row r="53">
      <c r="A53" s="22" t="inlineStr">
        <is>
          <t>6. Costing, allocation and margins</t>
        </is>
      </c>
      <c r="B53" s="28" t="inlineStr">
        <is>
          <t>G6.10</t>
        </is>
      </c>
      <c r="C53" s="22" t="inlineStr">
        <is>
          <t>CEO profit-margins table across projects: contract, planned margin, projected margin (+pts), actual to date, projected profit, cost to date, projected cost; KPIs contract value, projected gross profit, projected gross margin, actual margin to date; drill into project</t>
        </is>
      </c>
      <c r="D53" s="22" t="inlineStr">
        <is>
          <t>§6 Costing, allocation and margins · p.13 · screenshot 012</t>
        </is>
      </c>
      <c r="E53" s="28" t="inlineStr">
        <is>
          <t>Present</t>
        </is>
      </c>
      <c r="F53" s="22" t="inlineStr">
        <is>
          <t>Finance › Profit margins (/finance/margins); Projects &amp; WBS › Costing &amp; margin (All projects); Dashboard › CEO › Projects — Finance › Profit margins and Dashboard › CEO › Projects card share one table (contract, planned, projected ±pts, actual = invoiced vs approved hours, projected profit, cost to date, projected cost); row opens the Costing &amp; margin tab</t>
        </is>
      </c>
      <c r="G53" s="22" t="inlineStr">
        <is>
          <t>GET /finance/margins |</t>
        </is>
      </c>
      <c r="H53" s="22" t="inlineStr"/>
      <c r="I53" s="29" t="n"/>
      <c r="J53" s="30" t="n"/>
    </row>
    <row r="54">
      <c r="A54" s="22" t="inlineStr">
        <is>
          <t>6. Costing, allocation and margins</t>
        </is>
      </c>
      <c r="B54" s="28" t="inlineStr">
        <is>
          <t>G6.11</t>
        </is>
      </c>
      <c r="C54" s="22" t="inlineStr">
        <is>
          <t>Margins visible only to CEO and margin-permission holders</t>
        </is>
      </c>
      <c r="D54" s="22" t="inlineStr">
        <is>
          <t>§6 Costing, allocation and margins · p.13 · screenshot 012</t>
        </is>
      </c>
      <c r="E54" s="28" t="inlineStr">
        <is>
          <t>Present</t>
        </is>
      </c>
      <c r="F54" s="22" t="inlineStr">
        <is>
          <t>Finance › Profit margins; Projects &amp; WBS › All projects › project › Costing &amp; margin (/projects/:id/costing); direct: Projects &amp; WBS › Costing &amp; margin — Costing &amp; margin tab and Profit margins only with 'See project margins' (CEO by default); server returns null / 403 otherwise</t>
        </is>
      </c>
      <c r="G54" s="22" t="inlineStr">
        <is>
          <t>server checks |</t>
        </is>
      </c>
      <c r="H54" s="22" t="inlineStr">
        <is>
          <t>v6: the PM demo user no longer has margins by default.</t>
        </is>
      </c>
      <c r="I54" s="29" t="n"/>
      <c r="J54" s="30" t="n"/>
    </row>
    <row r="55">
      <c r="A55" s="22" t="inlineStr">
        <is>
          <t>7. Tasks: owners, dependencies, backup and threads</t>
        </is>
      </c>
      <c r="B55" s="28" t="inlineStr">
        <is>
          <t>G7.01</t>
        </is>
      </c>
      <c r="C55" s="22" t="inlineStr">
        <is>
          <t>Tasks tab with filters by person, project, status</t>
        </is>
      </c>
      <c r="D55" s="22" t="inlineStr">
        <is>
          <t>§7 Tasks: owners, dependencies, backup and threads · p.13 · text only (no screenshot)</t>
        </is>
      </c>
      <c r="E55" s="28" t="inlineStr">
        <is>
          <t>Present</t>
        </is>
      </c>
      <c r="F55" s="22" t="inlineStr">
        <is>
          <t>Tasks › All tasks (/tasks) — Tasks › All tasks (/tasks, page title 'Tasks') for everyone: filters Person, Project, Status (+ Stage sub-filter, search); chips All / Mine / Covering / Tagged me / Overdue / Blocked. v7 (CEO point 5): employees see only tasks they own, cover, back up, review or are tagged on; tasks.view_all (CEO, admin, PM, HR, sales manager) sees every task and filters by employee</t>
        </is>
      </c>
      <c r="G55" s="22" t="inlineStr">
        <is>
          <t>GET /tasks</t>
        </is>
      </c>
      <c r="H55" s="22" t="inlineStr">
        <is>
          <t>v6: Tasks tab for everyone (was managers only).</t>
        </is>
      </c>
      <c r="I55" s="29" t="n"/>
      <c r="J55" s="30" t="n"/>
    </row>
    <row r="56">
      <c r="A56" s="22" t="inlineStr">
        <is>
          <t>7. Tasks: owners, dependencies, backup and threads</t>
        </is>
      </c>
      <c r="B56" s="28" t="inlineStr">
        <is>
          <t>G7.02</t>
        </is>
      </c>
      <c r="C56" s="22" t="inlineStr">
        <is>
          <t>One owner + optional backup; on owner's leave days the task appears in backup's "Covering" list and backup can log time</t>
        </is>
      </c>
      <c r="D56" s="22" t="inlineStr">
        <is>
          <t>§7 Tasks: owners, dependencies, backup and threads · p.13 · text only (no screenshot)</t>
        </is>
      </c>
      <c r="E56" s="28" t="inlineStr">
        <is>
          <t>Present</t>
        </is>
      </c>
      <c r="F56" s="22" t="inlineStr">
        <is>
          <t>Tasks › All tasks (/tasks; task page /tasks/:id) — Row shows owner + backup; task page 'Owner and backup'; Covering chip for the backup when the owner is on leave; 'Log time' opens Timesheet &amp; log with the task row</t>
        </is>
      </c>
      <c r="G56" s="22" t="inlineStr">
        <is>
          <t>GET /tasks/:id</t>
        </is>
      </c>
      <c r="H56" s="22" t="inlineStr">
        <is>
          <t>v6: full task page /tasks/:id.</t>
        </is>
      </c>
      <c r="I56" s="29" t="n"/>
      <c r="J56" s="30" t="n"/>
    </row>
    <row r="57">
      <c r="A57" s="22" t="inlineStr">
        <is>
          <t>7. Tasks: owners, dependencies, backup and threads</t>
        </is>
      </c>
      <c r="B57" s="28" t="inlineStr">
        <is>
          <t>G7.03</t>
        </is>
      </c>
      <c r="C57" s="22" t="inlineStr">
        <is>
          <t>Estimated hours, start, due, complexity (low/medium/high/very high) feeding estimation accuracy</t>
        </is>
      </c>
      <c r="D57" s="22" t="inlineStr">
        <is>
          <t>§7 Tasks: owners, dependencies, backup and threads · p.13 · text only (no screenshot)</t>
        </is>
      </c>
      <c r="E57" s="28" t="inlineStr">
        <is>
          <t>Present</t>
        </is>
      </c>
      <c r="F57" s="22" t="inlineStr">
        <is>
          <t>Tasks › All tasks (/tasks; task page /tasks/:id) — Est. / actual, Start · due, Complexity Low / Medium / High (Very high as an extra) with estimate hint and link to Insights › Estimation accuracy</t>
        </is>
      </c>
      <c r="G57" s="22" t="inlineStr">
        <is>
          <t>PATCH /tasks/:id; GET /tasks/estimate-hint |</t>
        </is>
      </c>
      <c r="H57" s="22" t="inlineStr"/>
      <c r="I57" s="29" t="n"/>
      <c r="J57" s="30" t="n"/>
    </row>
    <row r="58">
      <c r="A58" s="22" t="inlineStr">
        <is>
          <t>7. Tasks: owners, dependencies, backup and threads</t>
        </is>
      </c>
      <c r="B58" s="28" t="inlineStr">
        <is>
          <t>G7.04</t>
        </is>
      </c>
      <c r="C58" s="22" t="inlineStr">
        <is>
          <t>Status: New, Selected for development, In development, Unit testing, Functional testing, UAT, Waiting for feedback, On hold, Blocked, Completed (guide summary To do / In progress / Blocked / In review / Done); moving to testing stage raises progress to ≥60/75/90%; progress %</t>
        </is>
      </c>
      <c r="D58" s="22" t="inlineStr">
        <is>
          <t>§7 Tasks: owners, dependencies, backup and threads · p.13 · text only (no screenshot)</t>
        </is>
      </c>
      <c r="E58" s="28" t="inlineStr">
        <is>
          <t>Present</t>
        </is>
      </c>
      <c r="F58" s="22" t="inlineStr">
        <is>
          <t>Tasks › All tasks (/tasks; task page /tasks/:id) — Status To do / In progress / Blocked / In review / Done with 10 detailed stages and progress % underneath; testing stages raise progress to 60 / 75 / 90%</t>
        </is>
      </c>
      <c r="G58" s="22" t="inlineStr">
        <is>
          <t>POST /tasks/:id/stage |</t>
        </is>
      </c>
      <c r="H58" s="22" t="inlineStr"/>
      <c r="I58" s="29" t="n"/>
      <c r="J58" s="30" t="n"/>
    </row>
    <row r="59">
      <c r="A59" s="22" t="inlineStr">
        <is>
          <t>7. Tasks: owners, dependencies, backup and threads</t>
        </is>
      </c>
      <c r="B59" s="28" t="inlineStr">
        <is>
          <t>G7.05</t>
        </is>
      </c>
      <c r="C59" s="22" t="inlineStr">
        <is>
          <t>Depends on: cannot start while a dependency is open; names blocking task and owner</t>
        </is>
      </c>
      <c r="D59" s="22" t="inlineStr">
        <is>
          <t>§7 Tasks: owners, dependencies, backup and threads · p.13 · text only (no screenshot)</t>
        </is>
      </c>
      <c r="E59" s="28" t="inlineStr">
        <is>
          <t>Present</t>
        </is>
      </c>
      <c r="F59" s="22" t="inlineStr">
        <is>
          <t>Tasks › All tasks (/tasks; task page /tasks/:id) — 'Depends on' with Add dependency (loops blocked); red 'Blocked by 1.2 — owner Jagannath Nayak'; start refused naming the blocking task and owner</t>
        </is>
      </c>
      <c r="G59" s="22" t="inlineStr">
        <is>
          <t>PUT /tasks/:id/dependencies; 409 TASK_BLOCKED / DEP_CYCLE</t>
        </is>
      </c>
      <c r="H59" s="22" t="inlineStr"/>
      <c r="I59" s="29" t="n"/>
      <c r="J59" s="30" t="n"/>
    </row>
    <row r="60">
      <c r="A60" s="22" t="inlineStr">
        <is>
          <t>7. Tasks: owners, dependencies, backup and threads</t>
        </is>
      </c>
      <c r="B60" s="28" t="inlineStr">
        <is>
          <t>G7.06</t>
        </is>
      </c>
      <c r="C60" s="22" t="inlineStr">
        <is>
          <t>Thread comments with @mentions → notification + "Tagged you" on dashboard</t>
        </is>
      </c>
      <c r="D60" s="22" t="inlineStr">
        <is>
          <t>§7 Tasks: owners, dependencies, backup and threads · p.13 · text only (no screenshot)</t>
        </is>
      </c>
      <c r="E60" s="28" t="inlineStr">
        <is>
          <t>Present</t>
        </is>
      </c>
      <c r="F60" s="22" t="inlineStr">
        <is>
          <t>Tasks › All tasks (/tasks; task page /tasks/:id) › Thread; Dashboard › Employee (Tagged you) — Task page 'Thread' with @ autocomplete → notification + 'Tagged you' on Dashboard › Employee and Tasks chip 'Tagged me'</t>
        </is>
      </c>
      <c r="G60" s="22" t="inlineStr">
        <is>
          <t>POST /tasks/:id/comments; GET /tasks/mentions |</t>
        </is>
      </c>
      <c r="H60" s="22" t="inlineStr"/>
      <c r="I60" s="29" t="n"/>
      <c r="J60" s="30" t="n"/>
    </row>
    <row r="61">
      <c r="A61" s="22" t="inlineStr">
        <is>
          <t>7. Tasks: owners, dependencies, backup and threads</t>
        </is>
      </c>
      <c r="B61" s="28" t="inlineStr">
        <is>
          <t>G7.07</t>
        </is>
      </c>
      <c r="C61" s="22" t="inlineStr">
        <is>
          <t>Task kind tag e.g. Bug</t>
        </is>
      </c>
      <c r="D61" s="22" t="inlineStr">
        <is>
          <t>§7 Tasks: owners, dependencies, backup and threads · p.8 · screenshot 007</t>
        </is>
      </c>
      <c r="E61" s="28" t="inlineStr">
        <is>
          <t>Present</t>
        </is>
      </c>
      <c r="F61" s="22" t="inlineStr">
        <is>
          <t>Tasks › All tasks (/tasks; task page /tasks/:id) — Tag badge (Bug, Feature …) on rows and the task page</t>
        </is>
      </c>
      <c r="G61" s="22" t="inlineStr">
        <is>
          <t>PATCH /tasks/:id |</t>
        </is>
      </c>
      <c r="H61" s="22" t="inlineStr"/>
      <c r="I61" s="29" t="n"/>
      <c r="J61" s="30" t="n"/>
    </row>
    <row r="62">
      <c r="A62" s="22" t="inlineStr">
        <is>
          <t>8. Timesheet and daily update</t>
        </is>
      </c>
      <c r="B62" s="28" t="inlineStr">
        <is>
          <t>G8.01</t>
        </is>
      </c>
      <c r="C62" s="22" t="inlineStr">
        <is>
          <t>Weekly timesheet Mon–Sat for header week; holidays/weekly offs greyed and labelled</t>
        </is>
      </c>
      <c r="D62" s="22" t="inlineStr">
        <is>
          <t>§8 Timesheet and daily update · p.14 · screenshot 013</t>
        </is>
      </c>
      <c r="E62" s="28" t="inlineStr">
        <is>
          <t>Present</t>
        </is>
      </c>
      <c r="F62" s="22" t="inlineStr">
        <is>
          <t>My work › Timesheet &amp; log (/timesheet) — Timesheet &amp; log › 'Timesheet' card: Mon–Sat for the header week (Sunday only if a working day); holidays / weekly offs greyed and labelled</t>
        </is>
      </c>
      <c r="G62" s="22" t="inlineStr">
        <is>
          <t>GET /timesheets/:week |</t>
        </is>
      </c>
      <c r="H62" s="22" t="inlineStr">
        <is>
          <t>Intentional difference: Sunday column shown only if it is a working day.</t>
        </is>
      </c>
      <c r="I62" s="29" t="n"/>
      <c r="J62" s="30" t="n"/>
    </row>
    <row r="63">
      <c r="A63" s="22" t="inlineStr">
        <is>
          <t>8. Timesheet and daily update</t>
        </is>
      </c>
      <c r="B63" s="28" t="inlineStr">
        <is>
          <t>G8.02</t>
        </is>
      </c>
      <c r="C63" s="22" t="inlineStr">
        <is>
          <t>Always one empty row; pick task/activity (+ project for activities) + note; new empty row appears; rows with no hours disappear; sections Tasks / Activities</t>
        </is>
      </c>
      <c r="D63" s="22" t="inlineStr">
        <is>
          <t>§8 Timesheet and daily update · p.14 · screenshot 013</t>
        </is>
      </c>
      <c r="E63" s="28" t="inlineStr">
        <is>
          <t>Present</t>
        </is>
      </c>
      <c r="F63" s="22" t="inlineStr">
        <is>
          <t>My work › Timesheet &amp; log (/timesheet) — Tasks / Activities sections; always one empty row; zero-hour rows removed (also copied rows left at 0 h)</t>
        </is>
      </c>
      <c r="G63" s="22" t="inlineStr">
        <is>
          <t>PUT /timesheets/:week |</t>
        </is>
      </c>
      <c r="H63" s="22" t="inlineStr"/>
      <c r="I63" s="29" t="n"/>
      <c r="J63" s="30" t="n"/>
    </row>
    <row r="64">
      <c r="A64" s="22" t="inlineStr">
        <is>
          <t>8. Timesheet and daily update</t>
        </is>
      </c>
      <c r="B64" s="28" t="inlineStr">
        <is>
          <t>G8.03</t>
        </is>
      </c>
      <c r="C64" s="22" t="inlineStr">
        <is>
          <t>Day total vs minimum (9h) with short days highlighted; week summary "logged / target to date / %"</t>
        </is>
      </c>
      <c r="D64" s="22" t="inlineStr">
        <is>
          <t>§8 Timesheet and daily update · p.14 · screenshot 013</t>
        </is>
      </c>
      <c r="E64" s="28" t="inlineStr">
        <is>
          <t>Present</t>
        </is>
      </c>
      <c r="F64" s="22" t="inlineStr">
        <is>
          <t>My work › Timesheet &amp; log (/timesheet) — Day totals "of 9h", short days red; "This week: Xh logged. Target to date Yh … Z%"</t>
        </is>
      </c>
      <c r="G64" s="22" t="inlineStr">
        <is>
          <t>GET /timesheets/:week |</t>
        </is>
      </c>
      <c r="H64" s="22" t="inlineStr"/>
      <c r="I64" s="29" t="n"/>
      <c r="J64" s="30" t="n"/>
    </row>
    <row r="65">
      <c r="A65" s="22" t="inlineStr">
        <is>
          <t>8. Timesheet and daily update</t>
        </is>
      </c>
      <c r="B65" s="28" t="inlineStr">
        <is>
          <t>G8.04</t>
        </is>
      </c>
      <c r="C65" s="22" t="inlineStr">
        <is>
          <t>Quick rows: + Leave or holiday (full day marks leave; half day allowed), + Lunch, tea and stand-up, Copy rows from last week</t>
        </is>
      </c>
      <c r="D65" s="22" t="inlineStr">
        <is>
          <t>§8 Timesheet and daily update · p.14 · screenshot 013</t>
        </is>
      </c>
      <c r="E65" s="28" t="inlineStr">
        <is>
          <t>Present</t>
        </is>
      </c>
      <c r="F65" s="22" t="inlineStr">
        <is>
          <t>My work › Timesheet &amp; log (/timesheet) — "+ Leave or holiday" (type incl. optional holiday, full/half day), "+ Lunch, tea and stand-up", "Copy rows from last week"</t>
        </is>
      </c>
      <c r="G65" s="22" t="inlineStr">
        <is>
          <t>PUT /timesheets/:week; POST /timesheets/:week/copy-previous |</t>
        </is>
      </c>
      <c r="H65" s="22" t="inlineStr"/>
      <c r="I65" s="29" t="n"/>
      <c r="J65" s="30" t="n"/>
    </row>
    <row r="66">
      <c r="A66" s="22" t="inlineStr">
        <is>
          <t>8. Timesheet and daily update</t>
        </is>
      </c>
      <c r="B66" s="28" t="inlineStr">
        <is>
          <t>G8.05</t>
        </is>
      </c>
      <c r="C66" s="22" t="inlineStr">
        <is>
          <t>Save draft; Submit for approval → read-only</t>
        </is>
      </c>
      <c r="D66" s="22" t="inlineStr">
        <is>
          <t>§8 Timesheet and daily update · p.14 · screenshot 013</t>
        </is>
      </c>
      <c r="E66" s="28" t="inlineStr">
        <is>
          <t>Present</t>
        </is>
      </c>
      <c r="F66" s="22" t="inlineStr">
        <is>
          <t>My work › Timesheet &amp; log (/timesheet) — Save draft; Submit for approval → read-only</t>
        </is>
      </c>
      <c r="G66" s="22" t="inlineStr">
        <is>
          <t>PUT / POST submit |</t>
        </is>
      </c>
      <c r="H66" s="22" t="inlineStr"/>
      <c r="I66" s="29" t="n"/>
      <c r="J66" s="30" t="n"/>
    </row>
    <row r="67">
      <c r="A67" s="22" t="inlineStr">
        <is>
          <t>8. Timesheet and daily update</t>
        </is>
      </c>
      <c r="B67" s="28" t="inlineStr">
        <is>
          <t>G8.06</t>
        </is>
      </c>
      <c r="C67" s="22" t="inlineStr">
        <is>
          <t>Weekly lock banner with deadline; locks when week ends; unlock only by manager/CEO for N days after request with reason</t>
        </is>
      </c>
      <c r="D67" s="22" t="inlineStr">
        <is>
          <t>§8 Timesheet and daily update · p.14 · screenshot 013</t>
        </is>
      </c>
      <c r="E67" s="28" t="inlineStr">
        <is>
          <t>Present</t>
        </is>
      </c>
      <c r="F67" s="22" t="inlineStr">
        <is>
          <t>My work › Timesheet &amp; log (/timesheet) — Banner "submit by Sun, 4 Oct… locks"; lock at week end; unlock request with reason; manager/CEO unlock for N days</t>
        </is>
      </c>
      <c r="G67" s="22" t="inlineStr">
        <is>
          <t>/timesheets/:week/unlock-request; /approvals/:id/unlock |</t>
        </is>
      </c>
      <c r="H67" s="22" t="inlineStr"/>
      <c r="I67" s="29" t="n"/>
      <c r="J67" s="30" t="n"/>
    </row>
    <row r="68">
      <c r="A68" s="22" t="inlineStr">
        <is>
          <t>8. Timesheet and daily update</t>
        </is>
      </c>
      <c r="B68" s="28" t="inlineStr">
        <is>
          <t>G8.07</t>
        </is>
      </c>
      <c r="C68" s="22" t="inlineStr">
        <is>
          <t>Task hours become actual hours and cost</t>
        </is>
      </c>
      <c r="D68" s="22" t="inlineStr">
        <is>
          <t>§8 Timesheet and daily update · p.14 · screenshot 013</t>
        </is>
      </c>
      <c r="E68" s="28" t="inlineStr">
        <is>
          <t>Present</t>
        </is>
      </c>
      <c r="F68" s="22" t="inlineStr">
        <is>
          <t>My work › Timesheet &amp; log (/timesheet) — Task hours become actual hours and cost (WBS, margins, payroll)</t>
        </is>
      </c>
      <c r="G68" s="22" t="inlineStr">
        <is>
          <t>taskActuals / costedEntries |</t>
        </is>
      </c>
      <c r="H68" s="22" t="inlineStr"/>
      <c r="I68" s="29" t="n"/>
      <c r="J68" s="30" t="n"/>
    </row>
    <row r="69">
      <c r="A69" s="22" t="inlineStr">
        <is>
          <t>8. Timesheet and daily update</t>
        </is>
      </c>
      <c r="B69" s="28" t="inlineStr">
        <is>
          <t>G8.08</t>
        </is>
      </c>
      <c r="C69" s="22" t="inlineStr">
        <is>
          <t>End-of-day update: date, what I finished, proof link (required), blockers</t>
        </is>
      </c>
      <c r="D69" s="22" t="inlineStr">
        <is>
          <t>§8 Timesheet and daily update · p.15 · screenshot 014</t>
        </is>
      </c>
      <c r="E69" s="28" t="inlineStr">
        <is>
          <t>Present</t>
        </is>
      </c>
      <c r="F69" s="22" t="inlineStr">
        <is>
          <t>My work › Timesheet &amp; log (/timesheet) › End-of-day update — Timesheet &amp; log › 'End-of-day update' below the timesheet: Date, What I finished, Proof link (required), Blockers; /daily opens this section</t>
        </is>
      </c>
      <c r="G69" s="22" t="inlineStr">
        <is>
          <t>POST /daily</t>
        </is>
      </c>
      <c r="H69" s="22" t="inlineStr">
        <is>
          <t>v6: End-of-day update moved onto Timesheet &amp; log.</t>
        </is>
      </c>
      <c r="I69" s="29" t="n"/>
      <c r="J69" s="30" t="n"/>
    </row>
    <row r="70">
      <c r="A70" s="22" t="inlineStr">
        <is>
          <t>8. Timesheet and daily update</t>
        </is>
      </c>
      <c r="B70" s="28" t="inlineStr">
        <is>
          <t>G8.09</t>
        </is>
      </c>
      <c r="C70" s="22" t="inlineStr">
        <is>
          <t>Friday demo: showed working software checkbox + what was demoed</t>
        </is>
      </c>
      <c r="D70" s="22" t="inlineStr">
        <is>
          <t>§8 Timesheet and daily update · p.15 · screenshot 014</t>
        </is>
      </c>
      <c r="E70" s="28" t="inlineStr">
        <is>
          <t>Present</t>
        </is>
      </c>
      <c r="F70" s="22" t="inlineStr">
        <is>
          <t>My work › Timesheet &amp; log (/timesheet) › Friday demo — Timesheet &amp; log › 'Friday demo': Showed working software to the team + What was demoed</t>
        </is>
      </c>
      <c r="G70" s="22" t="inlineStr">
        <is>
          <t>POST /daily/demo |</t>
        </is>
      </c>
      <c r="H70" s="22" t="inlineStr">
        <is>
          <t>v6: Friday demo moved onto Timesheet &amp; log.</t>
        </is>
      </c>
      <c r="I70" s="29" t="n"/>
      <c r="J70" s="30" t="n"/>
    </row>
    <row r="71">
      <c r="A71" s="22" t="inlineStr">
        <is>
          <t>9. Approvals and the manager's approval KPI</t>
        </is>
      </c>
      <c r="B71" s="28" t="inlineStr">
        <is>
          <t>G9.01</t>
        </is>
      </c>
      <c r="C71" s="22" t="inlineStr">
        <is>
          <t>Submitted weeks go to reports-to manager; 2 working-day deadline (setting)</t>
        </is>
      </c>
      <c r="D71" s="22" t="inlineStr">
        <is>
          <t>§9 Approvals and the manager's approval KPI · p.16 · screenshot 015</t>
        </is>
      </c>
      <c r="E71" s="28" t="inlineStr">
        <is>
          <t>Present</t>
        </is>
      </c>
      <c r="F71" s="22" t="inlineStr">
        <is>
          <t>Tasks › Timesheet approvals (/approvals) — Submitted week → reports-to manager; deadline setting (2 working days)</t>
        </is>
      </c>
      <c r="G71" s="22" t="inlineStr">
        <is>
          <t>submitWeek; GET /approvals |</t>
        </is>
      </c>
      <c r="H71" s="22" t="inlineStr"/>
      <c r="I71" s="29" t="n"/>
      <c r="J71" s="30" t="n"/>
    </row>
    <row r="72">
      <c r="A72" s="22" t="inlineStr">
        <is>
          <t>9. Approvals and the manager's approval KPI</t>
        </is>
      </c>
      <c r="B72" s="28" t="inlineStr">
        <is>
          <t>G9.02</t>
        </is>
      </c>
      <c r="C72" s="22" t="inlineStr">
        <is>
          <t>KPI strip: approvals on time last 30 days %, approval lapses (negative KPI), overdue now, waiting within deadline</t>
        </is>
      </c>
      <c r="D72" s="22" t="inlineStr">
        <is>
          <t>§9 Approvals and the manager's approval KPI · p.16 · screenshot 015</t>
        </is>
      </c>
      <c r="E72" s="28" t="inlineStr">
        <is>
          <t>Present</t>
        </is>
      </c>
      <c r="F72" s="22" t="inlineStr">
        <is>
          <t>Tasks › Timesheet approvals (/approvals) — Approvals KPI strip: on time last 30 days %, approval lapses (negative KPI), overdue now, waiting within deadline</t>
        </is>
      </c>
      <c r="G72" s="22" t="inlineStr">
        <is>
          <t>GET /approvals (kpi) |</t>
        </is>
      </c>
      <c r="H72" s="22" t="inlineStr"/>
      <c r="I72" s="29" t="n"/>
      <c r="J72" s="30" t="n"/>
    </row>
    <row r="73">
      <c r="A73" s="22" t="inlineStr">
        <is>
          <t>9. Approvals and the manager's approval KPI</t>
        </is>
      </c>
      <c r="B73" s="28" t="inlineStr">
        <is>
          <t>G9.03</t>
        </is>
      </c>
      <c r="C73" s="22" t="inlineStr">
        <is>
          <t>Waiting list: person, submitted date, week, hours by day (short days red), total + short-day count, due by (overdue red), Approve, Reject with reason inline</t>
        </is>
      </c>
      <c r="D73" s="22" t="inlineStr">
        <is>
          <t>§9 Approvals and the manager's approval KPI · p.16 · screenshot 015</t>
        </is>
      </c>
      <c r="E73" s="28" t="inlineStr">
        <is>
          <t>Present</t>
        </is>
      </c>
      <c r="F73" s="22" t="inlineStr">
        <is>
          <t>Tasks › Timesheet approvals (/approvals) — Waiting list: person, submitted, week, hours by day (short red), total + short days, due by (overdue red), Approve, inline reject reason</t>
        </is>
      </c>
      <c r="G73" s="22" t="inlineStr">
        <is>
          <t>GET /approvals; POST approve / reject |</t>
        </is>
      </c>
      <c r="H73" s="22" t="inlineStr"/>
      <c r="I73" s="29" t="n"/>
      <c r="J73" s="30" t="n"/>
    </row>
    <row r="74">
      <c r="A74" s="22" t="inlineStr">
        <is>
          <t>9. Approvals and the manager's approval KPI</t>
        </is>
      </c>
      <c r="B74" s="28" t="inlineStr">
        <is>
          <t>G9.04</t>
        </is>
      </c>
      <c r="C74" s="22" t="inlineStr">
        <is>
          <t>My team's timesheets: 4 weeks per person coloured by status (Approved/Submitted/Locked/Draft), Unlock action</t>
        </is>
      </c>
      <c r="D74" s="22" t="inlineStr">
        <is>
          <t>§9 Approvals and the manager's approval KPI · p.16 · screenshot 015</t>
        </is>
      </c>
      <c r="E74" s="28" t="inlineStr">
        <is>
          <t>Present</t>
        </is>
      </c>
      <c r="F74" s="22" t="inlineStr">
        <is>
          <t>Tasks › Timesheet approvals (/approvals) — My team's timesheets: 4 weeks per person, status chips, Unlock</t>
        </is>
      </c>
      <c r="G74" s="22" t="inlineStr">
        <is>
          <t>GET /approvals/team; POST unlock |</t>
        </is>
      </c>
      <c r="H74" s="22" t="inlineStr"/>
      <c r="I74" s="29" t="n"/>
      <c r="J74" s="30" t="n"/>
    </row>
    <row r="75">
      <c r="A75" s="22" t="inlineStr">
        <is>
          <t>9. Approvals and the manager's approval KPI</t>
        </is>
      </c>
      <c r="B75" s="28" t="inlineStr">
        <is>
          <t>G9.05</t>
        </is>
      </c>
      <c r="C75" s="22" t="inlineStr">
        <is>
          <t>Delegation of approvals for a date range; delegate's approvals count to delegate's KPI</t>
        </is>
      </c>
      <c r="D75" s="22" t="inlineStr">
        <is>
          <t>§9 Approvals and the manager's approval KPI · p.29 · screenshot 034</t>
        </is>
      </c>
      <c r="E75" s="28" t="inlineStr">
        <is>
          <t>Present</t>
        </is>
      </c>
      <c r="F75" s="22" t="inlineStr">
        <is>
          <t>Admin › Team &amp; settings › Delegations (/settings/delegations) — Delegations for a date range; approvals credited to the delegate's KPI</t>
        </is>
      </c>
      <c r="G75" s="22" t="inlineStr">
        <is>
          <t>/delegations; approvalKpis</t>
        </is>
      </c>
      <c r="H75" s="22" t="inlineStr">
        <is>
          <t>Intentional difference: one-project delegations hand over task follow-ups only.</t>
        </is>
      </c>
      <c r="I75" s="29" t="n"/>
      <c r="J75" s="30" t="n"/>
    </row>
    <row r="76">
      <c r="A76" s="22" t="inlineStr">
        <is>
          <t>9. Approvals and the manager's approval KPI</t>
        </is>
      </c>
      <c r="B76" s="28" t="inlineStr">
        <is>
          <t>G9.06</t>
        </is>
      </c>
      <c r="C76" s="22" t="inlineStr">
        <is>
          <t>Top person (no manager) auto-approved</t>
        </is>
      </c>
      <c r="D76" s="22" t="inlineStr">
        <is>
          <t>§9 Approvals and the manager's approval KPI · p.16 · screenshot 015</t>
        </is>
      </c>
      <c r="E76" s="28" t="inlineStr">
        <is>
          <t>Present</t>
        </is>
      </c>
      <c r="F76" s="22" t="inlineStr">
        <is>
          <t>My work › Timesheet &amp; log (/timesheet) (auto-approved on submit) — Top person auto-approved</t>
        </is>
      </c>
      <c r="G76" s="22" t="inlineStr">
        <is>
          <t>submitWeek |</t>
        </is>
      </c>
      <c r="H76" s="22" t="inlineStr"/>
      <c r="I76" s="29" t="n"/>
      <c r="J76" s="30" t="n"/>
    </row>
    <row r="77">
      <c r="A77" s="22" t="inlineStr">
        <is>
          <t>10. Payroll: pay for approved days</t>
        </is>
      </c>
      <c r="B77" s="28" t="inlineStr">
        <is>
          <t>G10.01</t>
        </is>
      </c>
      <c r="C77" s="22" t="inlineStr">
        <is>
          <t>Month picker + Calculate/Recalculate</t>
        </is>
      </c>
      <c r="D77" s="22" t="inlineStr">
        <is>
          <t>§10 Payroll: pay for approved days · p.17 · screenshot 016</t>
        </is>
      </c>
      <c r="E77" s="28" t="inlineStr">
        <is>
          <t>Present</t>
        </is>
      </c>
      <c r="F77" s="22" t="inlineStr">
        <is>
          <t>Finance › Payroll (/payroll) — Payroll /payroll: month picker, Calculate / Recalculate</t>
        </is>
      </c>
      <c r="G77" s="22" t="inlineStr">
        <is>
          <t>/payroll/run; /payroll/:id/recompute |</t>
        </is>
      </c>
      <c r="H77" s="22" t="inlineStr">
        <is>
          <t>Intentional difference: payroll is open to the HR Manager role too (prepare); CEO finalises.</t>
        </is>
      </c>
      <c r="I77" s="29" t="n"/>
      <c r="J77" s="30" t="n"/>
    </row>
    <row r="78">
      <c r="A78" s="22" t="inlineStr">
        <is>
          <t>10. Payroll: pay for approved days</t>
        </is>
      </c>
      <c r="B78" s="28" t="inlineStr">
        <is>
          <t>G10.02</t>
        </is>
      </c>
      <c r="C78" s="22" t="inlineStr">
        <is>
          <t>KPIs: monthly CTC all staff, deductions (unapproved days, LWP days), sales variable earned, net payable</t>
        </is>
      </c>
      <c r="D78" s="22" t="inlineStr">
        <is>
          <t>§10 Payroll: pay for approved days · p.17 · screenshot 016</t>
        </is>
      </c>
      <c r="E78" s="28" t="inlineStr">
        <is>
          <t>Present</t>
        </is>
      </c>
      <c r="F78" s="22" t="inlineStr">
        <is>
          <t>Finance › Payroll (/payroll) — KPIs: monthly CTC all staff, deductions (pending + not approved + LWP days), sales variable earned, net payable</t>
        </is>
      </c>
      <c r="G78" s="22" t="inlineStr">
        <is>
          <t>GET /payroll/:id |</t>
        </is>
      </c>
      <c r="H78" s="22" t="inlineStr"/>
      <c r="I78" s="29" t="n"/>
      <c r="J78" s="30" t="n"/>
    </row>
    <row r="79">
      <c r="A79" s="22" t="inlineStr">
        <is>
          <t>10. Payroll: pay for approved days</t>
        </is>
      </c>
      <c r="B79" s="28" t="inlineStr">
        <is>
          <t>G10.03</t>
        </is>
      </c>
      <c r="C79" s="22" t="inlineStr">
        <is>
          <t>Per person: working days, approved, pending, not approved, LWP, CTC, base, deduction, variable, net payable, approver name / self-approves</t>
        </is>
      </c>
      <c r="D79" s="22" t="inlineStr">
        <is>
          <t>§10 Payroll: pay for approved days · p.17 · screenshot 016</t>
        </is>
      </c>
      <c r="E79" s="28" t="inlineStr">
        <is>
          <t>Present</t>
        </is>
      </c>
      <c r="F79" s="22" t="inlineStr">
        <is>
          <t>Finance › Payroll (/payroll) — Per person: approver / self-approves, working days, approved, pending, not approved, LWP, CTC / base, deduction, variable, net payable — all columns fit at 1440 px</t>
        </is>
      </c>
      <c r="G79" s="22" t="inlineStr">
        <is>
          <t>GET /payroll/:id |</t>
        </is>
      </c>
      <c r="H79" s="22" t="inlineStr"/>
      <c r="I79" s="29" t="n"/>
      <c r="J79" s="30" t="n"/>
    </row>
    <row r="80">
      <c r="A80" s="22" t="inlineStr">
        <is>
          <t>10. Payroll: pay for approved days</t>
        </is>
      </c>
      <c r="B80" s="28" t="inlineStr">
        <is>
          <t>G10.04</t>
        </is>
      </c>
      <c r="C80" s="22" t="inlineStr">
        <is>
          <t>Deduction = base ÷ working days × (unapproved + LWP)</t>
        </is>
      </c>
      <c r="D80" s="22" t="inlineStr">
        <is>
          <t>§10 Payroll: pay for approved days · p.17 · screenshot 016</t>
        </is>
      </c>
      <c r="E80" s="28" t="inlineStr">
        <is>
          <t>Present</t>
        </is>
      </c>
      <c r="F80" s="22" t="inlineStr">
        <is>
          <t>Finance › Payroll (/payroll) — Deduction = base ÷ working days × (pending + not approved + LWP days), as the guide's 'unapproved days'; footnote and payslip use the guide's wording</t>
        </is>
      </c>
      <c r="G80" s="22" t="inlineStr">
        <is>
          <t>computeLines |</t>
        </is>
      </c>
      <c r="H80" s="22" t="inlineStr">
        <is>
          <t>v6: pending days deducted as the guide says.</t>
        </is>
      </c>
      <c r="I80" s="29" t="n"/>
      <c r="J80" s="30" t="n"/>
    </row>
    <row r="81">
      <c r="A81" s="22" t="inlineStr">
        <is>
          <t>10. Payroll: pay for approved days</t>
        </is>
      </c>
      <c r="B81" s="28" t="inlineStr">
        <is>
          <t>G10.05</t>
        </is>
      </c>
      <c r="C81" s="22" t="inlineStr">
        <is>
          <t>Sales variable only when month target met</t>
        </is>
      </c>
      <c r="D81" s="22" t="inlineStr">
        <is>
          <t>§10 Payroll: pay for approved days · p.17 · screenshot 016</t>
        </is>
      </c>
      <c r="E81" s="28" t="inlineStr">
        <is>
          <t>Present</t>
        </is>
      </c>
      <c r="F81" s="22" t="inlineStr">
        <is>
          <t>Finance › Payroll (/payroll) — Sales variable only when the month's target is met</t>
        </is>
      </c>
      <c r="G81" s="22" t="inlineStr">
        <is>
          <t>salesCompensation |</t>
        </is>
      </c>
      <c r="H81" s="22" t="inlineStr"/>
      <c r="I81" s="29" t="n"/>
      <c r="J81" s="30" t="n"/>
    </row>
    <row r="82">
      <c r="A82" s="22" t="inlineStr">
        <is>
          <t>10. Payroll: pay for approved days</t>
        </is>
      </c>
      <c r="B82" s="28" t="inlineStr">
        <is>
          <t>G10.06</t>
        </is>
      </c>
      <c r="C82" s="22" t="inlineStr">
        <is>
          <t>Flag people with unsubmitted/unapproved weeks before paying</t>
        </is>
      </c>
      <c r="D82" s="22" t="inlineStr">
        <is>
          <t>§10 Payroll: pay for approved days · p.17 · screenshot 016</t>
        </is>
      </c>
      <c r="E82" s="28" t="inlineStr">
        <is>
          <t>Present</t>
        </is>
      </c>
      <c r="F82" s="22" t="inlineStr">
        <is>
          <t>Finance › Payroll (/payroll) — 'Chase before you pay' list incl. 'N pending days deducted — chase first'; deactivated people excluded</t>
        </is>
      </c>
      <c r="G82" s="22" t="inlineStr">
        <is>
          <t>GET /payroll/:id |</t>
        </is>
      </c>
      <c r="H82" s="22" t="inlineStr">
        <is>
          <t>v6: pending weeks counted; deactivated people excluded.</t>
        </is>
      </c>
      <c r="I82" s="29" t="n"/>
      <c r="J82" s="30" t="n"/>
    </row>
    <row r="83">
      <c r="A83" s="22" t="inlineStr">
        <is>
          <t>10. Payroll: pay for approved days</t>
        </is>
      </c>
      <c r="B83" s="28" t="inlineStr">
        <is>
          <t>G10.07</t>
        </is>
      </c>
      <c r="C83" s="22" t="inlineStr">
        <is>
          <t>CSV export for bank/accountant</t>
        </is>
      </c>
      <c r="D83" s="22" t="inlineStr">
        <is>
          <t>§10 Payroll: pay for approved days · p.17 · screenshot 016</t>
        </is>
      </c>
      <c r="E83" s="28" t="inlineStr">
        <is>
          <t>Present</t>
        </is>
      </c>
      <c r="F83" s="22" t="inlineStr">
        <is>
          <t>Finance › Payroll (/payroll) — CSV for the bank (name, employee code, net pay) + full CSV / Excel / PDF</t>
        </is>
      </c>
      <c r="G83" s="22" t="inlineStr">
        <is>
          <t>client export |</t>
        </is>
      </c>
      <c r="H83" s="22" t="inlineStr"/>
      <c r="I83" s="29" t="n"/>
      <c r="J83" s="30" t="n"/>
    </row>
    <row r="84">
      <c r="A84" s="22" t="inlineStr">
        <is>
          <t>10. Payroll: pay for approved days</t>
        </is>
      </c>
      <c r="B84" s="28" t="inlineStr">
        <is>
          <t>G10.08</t>
        </is>
      </c>
      <c r="C84" s="22" t="inlineStr">
        <is>
          <t>Deduct-unapproved-days is a company setting (off by default for new tenants); PF/ESI/TDS out of scope</t>
        </is>
      </c>
      <c r="D84" s="22" t="inlineStr">
        <is>
          <t>§10 Payroll: pay for approved days · p.16 · text only (no screenshot)</t>
        </is>
      </c>
      <c r="E84" s="28" t="inlineStr">
        <is>
          <t>Present</t>
        </is>
      </c>
      <c r="F84" s="22" t="inlineStr">
        <is>
          <t>Admin › Team &amp; settings › Company &amp; rules › Pay — Deduct unapproved days is a company setting, off for new companies; PF / ESI / TDS out of scope</t>
        </is>
      </c>
      <c r="G84" s="22" t="inlineStr">
        <is>
          <t>settings |</t>
        </is>
      </c>
      <c r="H84" s="22" t="inlineStr">
        <is>
          <t>Company setting, off for new tenants; on for Seereon.</t>
        </is>
      </c>
      <c r="I84" s="29" t="n"/>
      <c r="J84" s="30" t="n"/>
    </row>
    <row r="85">
      <c r="A85" s="22" t="inlineStr">
        <is>
          <t>11. Sales: leads, pipeline and the activity trail</t>
        </is>
      </c>
      <c r="B85" s="28" t="inlineStr">
        <is>
          <t>G11.01</t>
        </is>
      </c>
      <c r="C85" s="22" t="inlineStr">
        <is>
          <t>New lead form: opportunity, company/school, contact, phone, email, product, source (referral, BNI, website, cold call, event, partner), owner, stage, one-time value, recurring ₹/month, expected close, next step + by date, how the lead came in</t>
        </is>
      </c>
      <c r="D85" s="22" t="inlineStr">
        <is>
          <t>§11 Sales: leads, pipeline and the activity trail · p.18 · screenshot 017</t>
        </is>
      </c>
      <c r="E85" s="28" t="inlineStr">
        <is>
          <t>Present</t>
        </is>
      </c>
      <c r="F85" s="22" t="inlineStr">
        <is>
          <t>Sales › Pipeline (/sales) — New lead form with every field incl. how the lead came in / first conversation</t>
        </is>
      </c>
      <c r="G85" s="22" t="inlineStr">
        <is>
          <t>POST /sales/deals |</t>
        </is>
      </c>
      <c r="H85" s="22" t="inlineStr"/>
      <c r="I85" s="29" t="n"/>
      <c r="J85" s="30" t="n"/>
    </row>
    <row r="86">
      <c r="A86" s="22" t="inlineStr">
        <is>
          <t>11. Sales: leads, pipeline and the activity trail</t>
        </is>
      </c>
      <c r="B86" s="28" t="inlineStr">
        <is>
          <t>G11.02</t>
        </is>
      </c>
      <c r="C86" s="22" t="inlineStr">
        <is>
          <t>Pipeline KPIs: open pipeline (n deals), weighted pipeline, won this quarter (n), forecast to close this quarter, win rate last 180 days, avg deal size (won), median sales cycle, recurring revenue won per month, new leads this month, activities this week, follow-ups overdue, deals no activity 14 days</t>
        </is>
      </c>
      <c r="D86" s="22" t="inlineStr">
        <is>
          <t>§11 Sales: leads, pipeline and the activity trail · p.18 · screenshot 018</t>
        </is>
      </c>
      <c r="E86" s="28" t="inlineStr">
        <is>
          <t>Present</t>
        </is>
      </c>
      <c r="F86" s="22" t="inlineStr">
        <is>
          <t>Sales › Pipeline (/sales) — Pipeline KPIs incl. open value, weighted, win rate, 'Average days to close' (+ median) and the other guide KPIs</t>
        </is>
      </c>
      <c r="G86" s="22" t="inlineStr">
        <is>
          <t>GET /sales/summary |</t>
        </is>
      </c>
      <c r="H86" s="22" t="inlineStr">
        <is>
          <t>v6: 'Average days to close' added.</t>
        </is>
      </c>
      <c r="I86" s="29" t="n"/>
      <c r="J86" s="30" t="n"/>
    </row>
    <row r="87">
      <c r="A87" s="22" t="inlineStr">
        <is>
          <t>11. Sales: leads, pipeline and the activity trail</t>
        </is>
      </c>
      <c r="B87" s="28" t="inlineStr">
        <is>
          <t>G11.03</t>
        </is>
      </c>
      <c r="C87" s="22" t="inlineStr">
        <is>
          <t>Funnel by stage Lead/Qualified/Demo done/Proposal sent/Negotiation/Won (+Lost) with value and count</t>
        </is>
      </c>
      <c r="D87" s="22" t="inlineStr">
        <is>
          <t>§11 Sales: leads, pipeline and the activity trail · p.18 · screenshot 018</t>
        </is>
      </c>
      <c r="E87" s="28" t="inlineStr">
        <is>
          <t>Present</t>
        </is>
      </c>
      <c r="F87" s="22" t="inlineStr">
        <is>
          <t>Sales › Pipeline (/sales) — Funnel Lead / Qualified / Demo / Proposal / Negotiation / Won / Lost with ₹ and counts (same stage names everywhere)</t>
        </is>
      </c>
      <c r="G87" s="22" t="inlineStr">
        <is>
          <t>GET /sales/summary |</t>
        </is>
      </c>
      <c r="H87" s="22" t="inlineStr">
        <is>
          <t>v6: stage names Demo / Proposal as in the guide.</t>
        </is>
      </c>
      <c r="I87" s="29" t="n"/>
      <c r="J87" s="30" t="n"/>
    </row>
    <row r="88">
      <c r="A88" s="22" t="inlineStr">
        <is>
          <t>11. Sales: leads, pipeline and the activity trail</t>
        </is>
      </c>
      <c r="B88" s="28" t="inlineStr">
        <is>
          <t>G11.04</t>
        </is>
      </c>
      <c r="C88" s="22" t="inlineStr">
        <is>
          <t>Lost requires reason; Won records date and can create project</t>
        </is>
      </c>
      <c r="D88" s="22" t="inlineStr">
        <is>
          <t>§11 Sales: leads, pipeline and the activity trail · p.18 · screenshot 018</t>
        </is>
      </c>
      <c r="E88" s="28" t="inlineStr">
        <is>
          <t>Present</t>
        </is>
      </c>
      <c r="F88" s="22" t="inlineStr">
        <is>
          <t>Sales › Pipeline (/sales) — Lost needs a reason; Won records the date (history 'Qualified → Won') and offers Create project</t>
        </is>
      </c>
      <c r="G88" s="22" t="inlineStr">
        <is>
          <t>POST /sales/deals/:id/stage; /create-project |</t>
        </is>
      </c>
      <c r="H88" s="22" t="inlineStr">
        <is>
          <t>v6: stage history fixed.</t>
        </is>
      </c>
      <c r="I88" s="29" t="n"/>
      <c r="J88" s="30" t="n"/>
    </row>
    <row r="89">
      <c r="A89" s="22" t="inlineStr">
        <is>
          <t>11. Sales: leads, pipeline and the activity trail</t>
        </is>
      </c>
      <c r="B89" s="28" t="inlineStr">
        <is>
          <t>G11.05</t>
        </is>
      </c>
      <c r="C89" s="22" t="inlineStr">
        <is>
          <t>Activity log last 30 days filterable by person: date, who, deal (+company), what (email/WhatsApp/call/stage/meeting/new lead), detail</t>
        </is>
      </c>
      <c r="D89" s="22" t="inlineStr">
        <is>
          <t>§11 Sales: leads, pipeline and the activity trail · p.19 · screenshot 019</t>
        </is>
      </c>
      <c r="E89" s="28" t="inlineStr">
        <is>
          <t>Present</t>
        </is>
      </c>
      <c r="F89" s="22" t="inlineStr">
        <is>
          <t>Sales › Activity log (/sales/activity) — Activity log /sales/activity: 7 / 30 / 90 days, person filter, date, who, deal, what (incl. WhatsApp, stage changes, new lead), detail; export</t>
        </is>
      </c>
      <c r="G89" s="22" t="inlineStr">
        <is>
          <t>GET /sales/activity |</t>
        </is>
      </c>
      <c r="H89" s="22" t="inlineStr"/>
      <c r="I89" s="29" t="n"/>
      <c r="J89" s="30" t="n"/>
    </row>
    <row r="90">
      <c r="A90" s="22" t="inlineStr">
        <is>
          <t>11. Sales: leads, pipeline and the activity trail</t>
        </is>
      </c>
      <c r="B90" s="28" t="inlineStr">
        <is>
          <t>G11.06</t>
        </is>
      </c>
      <c r="C90" s="22" t="inlineStr">
        <is>
          <t>Stale deal flag after 14 days without activity</t>
        </is>
      </c>
      <c r="D90" s="22" t="inlineStr">
        <is>
          <t>§11 Sales: leads, pipeline and the activity trail · p.18 · screenshot 018</t>
        </is>
      </c>
      <c r="E90" s="28" t="inlineStr">
        <is>
          <t>Present</t>
        </is>
      </c>
      <c r="F90" s="22" t="inlineStr">
        <is>
          <t>Sales › Pipeline (/sales) — Stale flag after 14 days (setting) + notification</t>
        </is>
      </c>
      <c r="G90" s="22" t="inlineStr">
        <is>
          <t>GET /sales/deals |</t>
        </is>
      </c>
      <c r="H90" s="22" t="inlineStr"/>
      <c r="I90" s="29" t="n"/>
      <c r="J90" s="30" t="n"/>
    </row>
    <row r="91">
      <c r="A91" s="22" t="inlineStr">
        <is>
          <t>11. Sales: leads, pipeline and the activity trail</t>
        </is>
      </c>
      <c r="B91" s="28" t="inlineStr">
        <is>
          <t>G11.07</t>
        </is>
      </c>
      <c r="C91" s="22" t="inlineStr">
        <is>
          <t>Every deal traceable: created by, stage history, activities</t>
        </is>
      </c>
      <c r="D91" s="22" t="inlineStr">
        <is>
          <t>§11 Sales: leads, pipeline and the activity trail · p.19 · screenshot 019</t>
        </is>
      </c>
      <c r="E91" s="28" t="inlineStr">
        <is>
          <t>Present</t>
        </is>
      </c>
      <c r="F91" s="22" t="inlineStr">
        <is>
          <t>Sales › Pipeline › deal page (/sales/:id) — Deal page: created by, stage history and activities timeline</t>
        </is>
      </c>
      <c r="G91" s="22" t="inlineStr">
        <is>
          <t>GET /sales/deals/:id |</t>
        </is>
      </c>
      <c r="H91" s="22" t="inlineStr"/>
      <c r="I91" s="29" t="n"/>
      <c r="J91" s="30" t="n"/>
    </row>
    <row r="92">
      <c r="A92" s="22" t="inlineStr">
        <is>
          <t>12. Sales cost, performance and pay</t>
        </is>
      </c>
      <c r="B92" s="28" t="inlineStr">
        <is>
          <t>G12.01</t>
        </is>
      </c>
      <c r="C92" s="22" t="inlineStr">
        <is>
          <t>Month / Quarter / Year switch + period picker</t>
        </is>
      </c>
      <c r="D92" s="22" t="inlineStr">
        <is>
          <t>§12 Sales cost, performance and pay · p.20 · screenshot 020</t>
        </is>
      </c>
      <c r="E92" s="28" t="inlineStr">
        <is>
          <t>Present</t>
        </is>
      </c>
      <c r="F92" s="22" t="inlineStr">
        <is>
          <t>Sales › Compensation (/sales/compensation) — Month / Quarter / Year switch + period picker (Compensation and Performance)</t>
        </is>
      </c>
      <c r="G92" s="22" t="inlineStr">
        <is>
          <t>GET /sales/compensation; /sales/performance |</t>
        </is>
      </c>
      <c r="H92" s="22" t="inlineStr"/>
      <c r="I92" s="29" t="n"/>
      <c r="J92" s="30" t="n"/>
    </row>
    <row r="93">
      <c r="A93" s="22" t="inlineStr">
        <is>
          <t>12. Sales cost, performance and pay</t>
        </is>
      </c>
      <c r="B93" s="28" t="inlineStr">
        <is>
          <t>G12.02</t>
        </is>
      </c>
      <c r="C93" s="22" t="inlineStr">
        <is>
          <t>KPIs: sales salaries (people), deals closed, closed ÷ salary cost %, payout (base + variable earned)</t>
        </is>
      </c>
      <c r="D93" s="22" t="inlineStr">
        <is>
          <t>§12 Sales cost, performance and pay · p.20 · screenshot 020</t>
        </is>
      </c>
      <c r="E93" s="28" t="inlineStr">
        <is>
          <t>Present</t>
        </is>
      </c>
      <c r="F93" s="22" t="inlineStr">
        <is>
          <t>Sales › Compensation (/sales/compensation) — KPIs: Sales cost (= base + variable earned), deals closed, ₹ of sales per ₹1 of sales cost (×), payout</t>
        </is>
      </c>
      <c r="G93" s="22" t="inlineStr">
        <is>
          <t>GET /sales/compensation |</t>
        </is>
      </c>
      <c r="H93" s="22" t="inlineStr">
        <is>
          <t>v6: sales cost = base + variable earned (was CTC).</t>
        </is>
      </c>
      <c r="I93" s="29" t="n"/>
      <c r="J93" s="30" t="n"/>
    </row>
    <row r="94">
      <c r="A94" s="22" t="inlineStr">
        <is>
          <t>12. Sales cost, performance and pay</t>
        </is>
      </c>
      <c r="B94" s="28" t="inlineStr">
        <is>
          <t>G12.03</t>
        </is>
      </c>
      <c r="C94" s="22" t="inlineStr">
        <is>
          <t>Per salesperson: CTC in period, variable % (editable), monthly target (editable, default CTC), target in period, closed (deals won listed), achieved %, variable earned, payout, Save; Team total row</t>
        </is>
      </c>
      <c r="D94" s="22" t="inlineStr">
        <is>
          <t>§12 Sales cost, performance and pay · p.20 · screenshot 020</t>
        </is>
      </c>
      <c r="E94" s="28" t="inlineStr">
        <is>
          <t>Present</t>
        </is>
      </c>
      <c r="F94" s="22" t="inlineStr">
        <is>
          <t>Sales › Compensation (/sales/compensation) — Per salesperson: CTC in period, variable % and monthly target (defaults to CTC) editable with Save (maker-checked), target, closed deals listed, achieved %, variable earned, sales cost; Team row</t>
        </is>
      </c>
      <c r="G94" s="22" t="inlineStr">
        <is>
          <t>GET /sales/compensation; POST /cost-rates |</t>
        </is>
      </c>
      <c r="H94" s="22" t="inlineStr">
        <is>
          <t>Variable % and target edits go through maker-checker. v6: target defaults to CTC (seed fixed).</t>
        </is>
      </c>
      <c r="I94" s="29" t="n"/>
      <c r="J94" s="30" t="n"/>
    </row>
    <row r="95">
      <c r="A95" s="22" t="inlineStr">
        <is>
          <t>12. Sales cost, performance and pay</t>
        </is>
      </c>
      <c r="B95" s="28" t="inlineStr">
        <is>
          <t>G12.04</t>
        </is>
      </c>
      <c r="C95" s="22" t="inlineStr">
        <is>
          <t>Variable only at 100% target (month by month; quarter/year = sum of monthly)</t>
        </is>
      </c>
      <c r="D95" s="22" t="inlineStr">
        <is>
          <t>§12 Sales cost, performance and pay · p.20 · screenshot 020</t>
        </is>
      </c>
      <c r="E95" s="28" t="inlineStr">
        <is>
          <t>Present</t>
        </is>
      </c>
      <c r="F95" s="22" t="inlineStr">
        <is>
          <t>Sales › Compensation (/sales/compensation) — Variable month by month at 100% of target; quarter / year = sum of monthly payouts</t>
        </is>
      </c>
      <c r="G95" s="22" t="inlineStr">
        <is>
          <t>compFor |</t>
        </is>
      </c>
      <c r="H95" s="22" t="inlineStr"/>
      <c r="I95" s="29" t="n"/>
      <c r="J95" s="30" t="n"/>
    </row>
    <row r="96">
      <c r="A96" s="22" t="inlineStr">
        <is>
          <t>12. Sales cost, performance and pay</t>
        </is>
      </c>
      <c r="B96" s="28" t="inlineStr">
        <is>
          <t>G12.05</t>
        </is>
      </c>
      <c r="C96" s="22" t="inlineStr">
        <is>
          <t>Trend by month: sales salary cost, payout, deals closed, closed ÷ salary</t>
        </is>
      </c>
      <c r="D96" s="22" t="inlineStr">
        <is>
          <t>§12 Sales cost, performance and pay · p.20 · screenshot 020</t>
        </is>
      </c>
      <c r="E96" s="28" t="inlineStr">
        <is>
          <t>Present</t>
        </is>
      </c>
      <c r="F96" s="22" t="inlineStr">
        <is>
          <t>Sales › Compensation (/sales/compensation) — Trend by month: sales cost (base + variable earned) against deals closed</t>
        </is>
      </c>
      <c r="G96" s="22" t="inlineStr">
        <is>
          <t>GET /sales/compensation |</t>
        </is>
      </c>
      <c r="H96" s="22" t="inlineStr"/>
      <c r="I96" s="29" t="n"/>
      <c r="J96" s="30" t="n"/>
    </row>
    <row r="97">
      <c r="A97" s="22" t="inlineStr">
        <is>
          <t>12. Sales cost, performance and pay</t>
        </is>
      </c>
      <c r="B97" s="28" t="inlineStr">
        <is>
          <t>G12.06</t>
        </is>
      </c>
      <c r="C97" s="22" t="inlineStr">
        <is>
          <t>Deal value = one-time + 12 × recurring</t>
        </is>
      </c>
      <c r="D97" s="22" t="inlineStr">
        <is>
          <t>§12 Sales cost, performance and pay · p.20 · screenshot 020</t>
        </is>
      </c>
      <c r="E97" s="28" t="inlineStr">
        <is>
          <t>Present</t>
        </is>
      </c>
      <c r="F97" s="22" t="inlineStr">
        <is>
          <t>Sales › Compensation (/sales/compensation) — Deal value = one-time + 12 × monthly recurring everywhere (pipeline, targets, payroll, dashboards)</t>
        </is>
      </c>
      <c r="G97" s="22" t="inlineStr">
        <is>
          <t>dealValue() |</t>
        </is>
      </c>
      <c r="H97" s="22" t="inlineStr"/>
      <c r="I97" s="29" t="n"/>
      <c r="J97" s="30" t="n"/>
    </row>
    <row r="98">
      <c r="A98" s="22" t="inlineStr">
        <is>
          <t>12. Sales cost, performance and pay</t>
        </is>
      </c>
      <c r="B98" s="28" t="inlineStr">
        <is>
          <t>G12.07</t>
        </is>
      </c>
      <c r="C98" s="22" t="inlineStr">
        <is>
          <t>Salesperson performance table: activities, calls, meetings, demos, proposals, new leads, won (value), lost, win rate, avg deal, sales cycle, open pipeline</t>
        </is>
      </c>
      <c r="D98" s="22" t="inlineStr">
        <is>
          <t>§12 Sales cost, performance and pay · p.21 · screenshot 021</t>
        </is>
      </c>
      <c r="E98" s="28" t="inlineStr">
        <is>
          <t>Present</t>
        </is>
      </c>
      <c r="F98" s="22" t="inlineStr">
        <is>
          <t>Sales › Performance (/sales/performance) — Salesperson performance: activities, calls, meetings, demos, proposals, new leads, won, lost, win rate, avg deal, cycle, open pipeline</t>
        </is>
      </c>
      <c r="G98" s="22" t="inlineStr">
        <is>
          <t>GET /sales/performance |</t>
        </is>
      </c>
      <c r="H98" s="22" t="inlineStr"/>
      <c r="I98" s="29" t="n"/>
      <c r="J98" s="30" t="n"/>
    </row>
    <row r="99">
      <c r="A99" s="22" t="inlineStr">
        <is>
          <t>12. Sales cost, performance and pay</t>
        </is>
      </c>
      <c r="B99" s="28" t="inlineStr">
        <is>
          <t>G12.08</t>
        </is>
      </c>
      <c r="C99" s="22" t="inlineStr">
        <is>
          <t>Last 6 months per person: activities, new leads, deals closed bar, target, achieved, variable earned</t>
        </is>
      </c>
      <c r="D99" s="22" t="inlineStr">
        <is>
          <t>§12 Sales cost, performance and pay · p.21 · screenshot 021</t>
        </is>
      </c>
      <c r="E99" s="28" t="inlineStr">
        <is>
          <t>Present</t>
        </is>
      </c>
      <c r="F99" s="22" t="inlineStr">
        <is>
          <t>Sales › Performance (/sales/performance) — Last 6 months per person: activities, new leads, deals closed, target, achieved, variable</t>
        </is>
      </c>
      <c r="G99" s="22" t="inlineStr">
        <is>
          <t>GET /sales/performance |</t>
        </is>
      </c>
      <c r="H99" s="22" t="inlineStr"/>
      <c r="I99" s="29" t="n"/>
      <c r="J99" s="30" t="n"/>
    </row>
    <row r="100">
      <c r="A100" s="22" t="inlineStr">
        <is>
          <t>13. Finance: P&amp;L and ledger</t>
        </is>
      </c>
      <c r="B100" s="28" t="inlineStr">
        <is>
          <t>G13.01</t>
        </is>
      </c>
      <c r="C100" s="22" t="inlineStr">
        <is>
          <t>Monthly P&amp;L last 6 months: billed, collected, payroll, other costs, net</t>
        </is>
      </c>
      <c r="D100" s="22" t="inlineStr">
        <is>
          <t>§13 Finance: P&amp;L and ledger · p.21 · screenshot 022</t>
        </is>
      </c>
      <c r="E100" s="28" t="inlineStr">
        <is>
          <t>Present</t>
        </is>
      </c>
      <c r="F100" s="22" t="inlineStr">
        <is>
          <t>Finance › Profit &amp; loss (/finance/pnl) — Finance › Profit &amp; loss opens with 'Monthly P&amp;L, last 6 months' (billed, collected, payroll, other costs, net); current month to date only</t>
        </is>
      </c>
      <c r="G100" s="22" t="inlineStr">
        <is>
          <t>GET /finance/pnl |</t>
        </is>
      </c>
      <c r="H100" s="22" t="inlineStr">
        <is>
          <t>v6: monthly table moved to the top.</t>
        </is>
      </c>
      <c r="I100" s="29" t="n"/>
      <c r="J100" s="30" t="n"/>
    </row>
    <row r="101">
      <c r="A101" s="22" t="inlineStr">
        <is>
          <t>13. Finance: P&amp;L and ledger</t>
        </is>
      </c>
      <c r="B101" s="28" t="inlineStr">
        <is>
          <t>G13.02</t>
        </is>
      </c>
      <c r="C101" s="22" t="inlineStr">
        <is>
          <t>Ledger: income/expense entries outside milestones with category, amount, recurring monthly until end date, status (received / awaiting payment), Remove, Add entry</t>
        </is>
      </c>
      <c r="D101" s="22" t="inlineStr">
        <is>
          <t>§13 Finance: P&amp;L and ledger · p.22 · screenshot 023</t>
        </is>
      </c>
      <c r="E101" s="28" t="inlineStr">
        <is>
          <t>Present</t>
        </is>
      </c>
      <c r="F101" s="22" t="inlineStr">
        <is>
          <t>Finance › Ledger (/finance/ledger) — Ledger: income / expense entries, recurring monthly until end date, status, Remove, Add an entry</t>
        </is>
      </c>
      <c r="G101" s="22" t="inlineStr">
        <is>
          <t>/finance/ledger |</t>
        </is>
      </c>
      <c r="H101" s="22" t="inlineStr"/>
      <c r="I101" s="29" t="n"/>
      <c r="J101" s="30" t="n"/>
    </row>
    <row r="102">
      <c r="A102" s="22" t="inlineStr">
        <is>
          <t>13. Finance: P&amp;L and ledger</t>
        </is>
      </c>
      <c r="B102" s="28" t="inlineStr">
        <is>
          <t>G13.03</t>
        </is>
      </c>
      <c r="C102" s="22" t="inlineStr">
        <is>
          <t>Milestone invoices add income automatically</t>
        </is>
      </c>
      <c r="D102" s="22" t="inlineStr">
        <is>
          <t>§13 Finance: P&amp;L and ledger · p.22 · screenshot 023</t>
        </is>
      </c>
      <c r="E102" s="28" t="inlineStr">
        <is>
          <t>Present</t>
        </is>
      </c>
      <c r="F102" s="22" t="inlineStr">
        <is>
          <t>Finance › Ledger; Projects &amp; WBS › All projects › project › WBS (/projects/:id/wbs); direct: Projects &amp; WBS › Milestones &amp; billing / WBS — Milestone invoices add income automatically (locked row)</t>
        </is>
      </c>
      <c r="G102" s="22" t="inlineStr">
        <is>
          <t>POST /milestones/:id/invoice |</t>
        </is>
      </c>
      <c r="H102" s="22" t="inlineStr"/>
      <c r="I102" s="29" t="n"/>
      <c r="J102" s="30" t="n"/>
    </row>
    <row r="103">
      <c r="A103" s="22" t="inlineStr">
        <is>
          <t>13. Finance: P&amp;L and ledger</t>
        </is>
      </c>
      <c r="B103" s="28" t="inlineStr">
        <is>
          <t>G13.04</t>
        </is>
      </c>
      <c r="C103" s="22" t="inlineStr">
        <is>
          <t>Cost loading % setting (Finance) used in cost per day</t>
        </is>
      </c>
      <c r="D103" s="22" t="inlineStr">
        <is>
          <t>§13 Finance: P&amp;L and ledger · p.21 · text only (no screenshot)</t>
        </is>
      </c>
      <c r="E103" s="28" t="inlineStr">
        <is>
          <t>Intentional difference</t>
        </is>
      </c>
      <c r="F103" s="22" t="inlineStr">
        <is>
          <t>Admin › Team &amp; settings › Company &amp; rules › Finance — Cost loading removed in v6: costs follow the guide's cost per hour (CTC ÷ (working days × minimum hours)); the Finance settings no longer show a loading %</t>
        </is>
      </c>
      <c r="G103" s="22" t="inlineStr">
        <is>
          <t>— (setting removed deliberately)</t>
        </is>
      </c>
      <c r="H103" s="22" t="inlineStr">
        <is>
          <t>Intentional difference: the guide text defines cost per hour = CTC ÷ (working days in the month × minimum hours) with no loading; loading appeared only in prototype screenshots, so it was removed deliberately to follow the text.</t>
        </is>
      </c>
      <c r="I103" s="29" t="n"/>
      <c r="J103" s="30" t="n"/>
    </row>
    <row r="104">
      <c r="A104" s="22" t="inlineStr">
        <is>
          <t>14. Project manager and operations dashboards</t>
        </is>
      </c>
      <c r="B104" s="28" t="inlineStr">
        <is>
          <t>G14.01</t>
        </is>
      </c>
      <c r="C104" s="22" t="inlineStr">
        <is>
          <t>Delivery control: active projects, critical-path tasks at risk, blocked/on hold/waiting, tasks past planned start not started, open bugs, in unit/functional testing, in UAT with client, waiting for feedback, tasks without estimate, scheduling conflicts</t>
        </is>
      </c>
      <c r="D104" s="22" t="inlineStr">
        <is>
          <t>§14 Project manager and operations dashboards · p.22 · screenshot 024</t>
        </is>
      </c>
      <c r="E104" s="28" t="inlineStr">
        <is>
          <t>Present</t>
        </is>
      </c>
      <c r="F104" s="22" t="inlineStr">
        <is>
          <t>Dashboard › Project manager (/home) — PM 'Delivery control': active projects, critical-path tasks at risk, blocked / on hold / waiting, past planned start, open bugs, testing, UAT, waiting feedback, no estimate, scheduling conflicts (every conflict listed)</t>
        </is>
      </c>
      <c r="G104" s="22" t="inlineStr">
        <is>
          <t>GET /dashboards/pm |</t>
        </is>
      </c>
      <c r="H104" s="22" t="inlineStr">
        <is>
          <t>v6: all conflicts listed.</t>
        </is>
      </c>
      <c r="I104" s="29" t="n"/>
      <c r="J104" s="30" t="n"/>
    </row>
    <row r="105">
      <c r="A105" s="22" t="inlineStr">
        <is>
          <t>14. Project manager and operations dashboards</t>
        </is>
      </c>
      <c r="B105" s="28" t="inlineStr">
        <is>
          <t>G14.02</t>
        </is>
      </c>
      <c r="C105" s="22" t="inlineStr">
        <is>
          <t>Task pipeline: count per status bar chart</t>
        </is>
      </c>
      <c r="D105" s="22" t="inlineStr">
        <is>
          <t>§14 Project manager and operations dashboards · p.22 · screenshot 024</t>
        </is>
      </c>
      <c r="E105" s="28" t="inlineStr">
        <is>
          <t>Present</t>
        </is>
      </c>
      <c r="F105" s="22" t="inlineStr">
        <is>
          <t>Dashboard › Project manager (/home) — Task pipeline bars per status incl. 'In review' (sent for approval) and 'Blocked'</t>
        </is>
      </c>
      <c r="G105" s="22" t="inlineStr">
        <is>
          <t>GET /dashboards/pm |</t>
        </is>
      </c>
      <c r="H105" s="22" t="inlineStr">
        <is>
          <t>v6: 'In review' bar added.</t>
        </is>
      </c>
      <c r="I105" s="29" t="n"/>
      <c r="J105" s="30" t="n"/>
    </row>
    <row r="106">
      <c r="A106" s="22" t="inlineStr">
        <is>
          <t>14. Project manager and operations dashboards</t>
        </is>
      </c>
      <c r="B106" s="28" t="inlineStr">
        <is>
          <t>G14.03</t>
        </is>
      </c>
      <c r="C106" s="22" t="inlineStr">
        <is>
          <t>Resource load next 10 working days: booked hours vs capacity per person (%), over 100% double-booked</t>
        </is>
      </c>
      <c r="D106" s="22" t="inlineStr">
        <is>
          <t>§14 Project manager and operations dashboards · p.23 · screenshot 025</t>
        </is>
      </c>
      <c r="E106" s="28" t="inlineStr">
        <is>
          <t>Present</t>
        </is>
      </c>
      <c r="F106" s="22" t="inlineStr">
        <is>
          <t>Dashboard › Project manager (/home) — Resource load next 10 working days: booked h vs capacity (%), double-booked flag</t>
        </is>
      </c>
      <c r="G106" s="22" t="inlineStr">
        <is>
          <t>GET /dashboards/pm |</t>
        </is>
      </c>
      <c r="H106" s="22" t="inlineStr"/>
      <c r="I106" s="29" t="n"/>
      <c r="J106" s="30" t="n"/>
    </row>
    <row r="107">
      <c r="A107" s="22" t="inlineStr">
        <is>
          <t>14. Project manager and operations dashboards</t>
        </is>
      </c>
      <c r="B107" s="28" t="inlineStr">
        <is>
          <t>G14.04</t>
        </is>
      </c>
      <c r="C107" s="22" t="inlineStr">
        <is>
          <t>Operations: recurring duties KPIs (done on time last 90 days, overdue now, due next 10 days, responsibilities tracked); due &amp; overdue list with category, frequency, owner, due date, period, Mark done rolling to next date</t>
        </is>
      </c>
      <c r="D107" s="22" t="inlineStr">
        <is>
          <t>§14 Project manager and operations dashboards · p.24 · screenshot 026</t>
        </is>
      </c>
      <c r="E107" s="28" t="inlineStr">
        <is>
          <t>Present</t>
        </is>
      </c>
      <c r="F107" s="22" t="inlineStr">
        <is>
          <t>Company › Operations (/operations); Dashboard › Operations — Operations › Recurring duties: monthly / quarterly / yearly (ROC filing, domain/SSL, ISO renewals) with owner and due; Mark done rolls to next date</t>
        </is>
      </c>
      <c r="G107" s="22" t="inlineStr">
        <is>
          <t>GET /ops/summary; POST /ops/:id/done |</t>
        </is>
      </c>
      <c r="H107" s="22" t="inlineStr">
        <is>
          <t>v6: yearly duties seeded.</t>
        </is>
      </c>
      <c r="I107" s="29" t="n"/>
      <c r="J107" s="30" t="n"/>
    </row>
    <row r="108">
      <c r="A108" s="22" t="inlineStr">
        <is>
          <t>14. Project manager and operations dashboards</t>
        </is>
      </c>
      <c r="B108" s="28" t="inlineStr">
        <is>
          <t>G14.05</t>
        </is>
      </c>
      <c r="C108" s="22" t="inlineStr">
        <is>
          <t>Ops other tabs: people &amp; timesheet status, payroll, invoicing &amp; collections, each with a one-line description</t>
        </is>
      </c>
      <c r="D108" s="22" t="inlineStr">
        <is>
          <t>§14 Project manager and operations dashboards · p.24 · screenshot 026</t>
        </is>
      </c>
      <c r="E108" s="28" t="inlineStr">
        <is>
          <t>Present</t>
        </is>
      </c>
      <c r="F108" s="22" t="inlineStr">
        <is>
          <t>Company › Operations (/operations); Dashboard › Operations — Operations tabs Recurring duties / People &amp; timesheets / Payroll / Invoicing &amp; collections with one-line descriptions</t>
        </is>
      </c>
      <c r="G108" s="22" t="inlineStr">
        <is>
          <t>GET /ops/summary |</t>
        </is>
      </c>
      <c r="H108" s="22" t="inlineStr"/>
      <c r="I108" s="29" t="n"/>
      <c r="J108" s="30" t="n"/>
    </row>
    <row r="109">
      <c r="A109" s="22" t="inlineStr">
        <is>
          <t>15. Insights, weekly scorecard and client view</t>
        </is>
      </c>
      <c r="B109" s="28" t="inlineStr">
        <is>
          <t>G15.01</t>
        </is>
      </c>
      <c r="C109" s="22" t="inlineStr">
        <is>
          <t>Delivery predictions per project: planned end, P50, P80, at current pace (velocity, h/week lately), chance on time; % done, hours left</t>
        </is>
      </c>
      <c r="D109" s="22" t="inlineStr">
        <is>
          <t>§15 Insights, weekly scorecard and client view · p.25 · screenshot 027</t>
        </is>
      </c>
      <c r="E109" s="28" t="inlineStr">
        <is>
          <t>Present</t>
        </is>
      </c>
      <c r="F109" s="22" t="inlineStr">
        <is>
          <t>Company › Insights › Delivery predictions (/insights/predictions) — Insights opens on Delivery predictions ('Looking ahead'): projects with % done, hours left, planned end, P50, P80, at current pace, chance on time</t>
        </is>
      </c>
      <c r="G109" s="22" t="inlineStr">
        <is>
          <t>GET /insights/predictions |</t>
        </is>
      </c>
      <c r="H109" s="22" t="inlineStr">
        <is>
          <t>v6: Insights opens on Delivery predictions.</t>
        </is>
      </c>
      <c r="I109" s="29" t="n"/>
      <c r="J109" s="30" t="n"/>
    </row>
    <row r="110">
      <c r="A110" s="22" t="inlineStr">
        <is>
          <t>15. Insights, weekly scorecard and client view</t>
        </is>
      </c>
      <c r="B110" s="28" t="inlineStr">
        <is>
          <t>G15.02</t>
        </is>
      </c>
      <c r="C110" s="22" t="inlineStr">
        <is>
          <t>Milestone predictions: deadline, P50, P80, chance on time, billing at stake</t>
        </is>
      </c>
      <c r="D110" s="22" t="inlineStr">
        <is>
          <t>§15 Insights, weekly scorecard and client view · p.25 · screenshot 027</t>
        </is>
      </c>
      <c r="E110" s="28" t="inlineStr">
        <is>
          <t>Present</t>
        </is>
      </c>
      <c r="F110" s="22" t="inlineStr">
        <is>
          <t>Company › Insights › Delivery predictions (/insights/predictions) — Milestone predictions with billing at stake</t>
        </is>
      </c>
      <c r="G110" s="22" t="inlineStr">
        <is>
          <t>GET /insights/predictions |</t>
        </is>
      </c>
      <c r="H110" s="22" t="inlineStr"/>
      <c r="I110" s="29" t="n"/>
      <c r="J110" s="30" t="n"/>
    </row>
    <row r="111">
      <c r="A111" s="22" t="inlineStr">
        <is>
          <t>15. Insights, weekly scorecard and client view</t>
        </is>
      </c>
      <c r="B111" s="28" t="inlineStr">
        <is>
          <t>G15.03</t>
        </is>
      </c>
      <c r="C111" s="22" t="inlineStr">
        <is>
          <t>Tasks most likely to slip: owner + backup, target, P50, P80, chance on time</t>
        </is>
      </c>
      <c r="D111" s="22" t="inlineStr">
        <is>
          <t>§15 Insights, weekly scorecard and client view · p.25 · screenshot 027</t>
        </is>
      </c>
      <c r="E111" s="28" t="inlineStr">
        <is>
          <t>Present</t>
        </is>
      </c>
      <c r="F111" s="22" t="inlineStr">
        <is>
          <t>Company › Insights › Delivery predictions (/insights/predictions) — Tasks most likely to slip with owner + backup</t>
        </is>
      </c>
      <c r="G111" s="22" t="inlineStr">
        <is>
          <t>GET /insights/predictions |</t>
        </is>
      </c>
      <c r="H111" s="22" t="inlineStr"/>
      <c r="I111" s="29" t="n"/>
      <c r="J111" s="30" t="n"/>
    </row>
    <row r="112">
      <c r="A112" s="22" t="inlineStr">
        <is>
          <t>15. Insights, weekly scorecard and client view</t>
        </is>
      </c>
      <c r="B112" s="28" t="inlineStr">
        <is>
          <t>G15.04</t>
        </is>
      </c>
      <c r="C112" s="22" t="inlineStr">
        <is>
          <t>Estimation accuracy by complexity and by person: tasks, typical ratio, P80 ratio, on time %, action (add X% / sound); estimates checked in task form</t>
        </is>
      </c>
      <c r="D112" s="22" t="inlineStr">
        <is>
          <t>§15 Insights, weekly scorecard and client view · p.26 · screenshot 028</t>
        </is>
      </c>
      <c r="E112" s="28" t="inlineStr">
        <is>
          <t>Present</t>
        </is>
      </c>
      <c r="F112" s="22" t="inlineStr">
        <is>
          <t>Company › Insights › Estimation accuracy (/insights/estimation); task page — Estimation accuracy by complexity and person with 'Add N% to estimates'; hint in task forms</t>
        </is>
      </c>
      <c r="G112" s="22" t="inlineStr">
        <is>
          <t>GET /insights/estimation; GET /tasks/estimate-hint |</t>
        </is>
      </c>
      <c r="H112" s="22" t="inlineStr"/>
      <c r="I112" s="29" t="n"/>
      <c r="J112" s="30" t="n"/>
    </row>
    <row r="113">
      <c r="A113" s="22" t="inlineStr">
        <is>
          <t>15. Insights, weekly scorecard and client view</t>
        </is>
      </c>
      <c r="B113" s="28" t="inlineStr">
        <is>
          <t>G15.05</t>
        </is>
      </c>
      <c r="C113" s="22" t="inlineStr">
        <is>
          <t>Weekly scorecard: team score + green/amber/red counts; per person score with Delivery, Updates, Timesheet, Demo, Early warning, Approvals components; flags ("Red two weeks running: 1:1 due", "N tasks forecast to breach")</t>
        </is>
      </c>
      <c r="D113" s="22" t="inlineStr">
        <is>
          <t>§15 Insights, weekly scorecard and client view · p.26 · screenshot 029</t>
        </is>
      </c>
      <c r="E113" s="28" t="inlineStr">
        <is>
          <t>Present</t>
        </is>
      </c>
      <c r="F113" s="22" t="inlineStr">
        <is>
          <t>Company › Weekly scorecard (/scorecard) — Weekly scorecard: team score, green/amber/red; components On-time delivery, Effort accuracy, Daily updates, Friday demo, Timesheet, Early warning, Approval KPI; flags</t>
        </is>
      </c>
      <c r="G113" s="22" t="inlineStr">
        <is>
          <t>GET /scorecard?week= |</t>
        </is>
      </c>
      <c r="H113" s="22" t="inlineStr">
        <is>
          <t>Intentional difference: adds Timesheet and Early warning components alongside on-time, effort accuracy, updates and demo.</t>
        </is>
      </c>
      <c r="I113" s="29" t="n"/>
      <c r="J113" s="30" t="n"/>
    </row>
    <row r="114">
      <c r="A114" s="22" t="inlineStr">
        <is>
          <t>15. Insights, weekly scorecard and client view</t>
        </is>
      </c>
      <c r="B114" s="28" t="inlineStr">
        <is>
          <t>G15.06</t>
        </is>
      </c>
      <c r="C114" s="22" t="inlineStr">
        <is>
          <t>Client view: project picker, money-free status report (date, % complete, forecast vs planned), milestones (target, status), completed last 2 weeks, coming next 2 weeks, decisions needed from client; Download report for the client</t>
        </is>
      </c>
      <c r="D114" s="22" t="inlineStr">
        <is>
          <t>§15 Insights, weekly scorecard and client view · p.27 · screenshot 030</t>
        </is>
      </c>
      <c r="E114" s="28" t="inlineStr">
        <is>
          <t>Present</t>
        </is>
      </c>
      <c r="F114" s="22" t="inlineStr">
        <is>
          <t>Projects &amp; WBS › Client view (/client-view; /projects/:id/client-view) — Client view with project picker: money-free report, milestones with Progress, done last 2 weeks, next 2 weeks, decisions needed; 'Download report' PDF titled 'Client status report'</t>
        </is>
      </c>
      <c r="G114" s="22" t="inlineStr">
        <is>
          <t>GET /projects/:id/client-view |</t>
        </is>
      </c>
      <c r="H114" s="22" t="inlineStr">
        <is>
          <t>v6: progress column; PDF titled 'Client status report'.</t>
        </is>
      </c>
      <c r="I114" s="29" t="n"/>
      <c r="J114" s="30" t="n"/>
    </row>
    <row r="115">
      <c r="A115" s="22" t="inlineStr">
        <is>
          <t>16. Team and settings</t>
        </is>
      </c>
      <c r="B115" s="28" t="inlineStr">
        <is>
          <t>G16.01</t>
        </is>
      </c>
      <c r="C115" s="22" t="inlineStr">
        <is>
          <t>Team table: name, role/title, function, joined, reports to (self-approves), access level (auto by role), productive hours/day, monthly CTC (CEO only)</t>
        </is>
      </c>
      <c r="D115" s="22" t="inlineStr">
        <is>
          <t>§16 Team and settings · p.28 · screenshot 031</t>
        </is>
      </c>
      <c r="E115" s="28" t="inlineStr">
        <is>
          <t>Present</t>
        </is>
      </c>
      <c r="F115" s="22" t="inlineStr">
        <is>
          <t>Admin › Team &amp; settings › Team (/settings/team) — Admin › Team &amp; settings › Team: name, role, function, joined, reports to (self-approves), access, hours/day, monthly CTC with ₹/hour (salary permission; edits maker-checked); fits at 1280 px</t>
        </is>
      </c>
      <c r="G115" s="22" t="inlineStr">
        <is>
          <t>GET /team-roster; PATCH /users/:id |</t>
        </is>
      </c>
      <c r="H115" s="22" t="inlineStr">
        <is>
          <t>CTC visible with the salary permission (CEO and HR Manager by default); edits maker-checked.</t>
        </is>
      </c>
      <c r="I115" s="29" t="n"/>
      <c r="J115" s="30" t="n"/>
    </row>
    <row r="116">
      <c r="A116" s="22" t="inlineStr">
        <is>
          <t>16. Team and settings</t>
        </is>
      </c>
      <c r="B116" s="28" t="inlineStr">
        <is>
          <t>G16.02</t>
        </is>
      </c>
      <c r="C116" s="22" t="inlineStr">
        <is>
          <t>Working hours &amp; calendar: min hours/day, breaks count, weekly off days, Saturday rule + which Saturdays, manager approval deadline, avg working days/month shown</t>
        </is>
      </c>
      <c r="D116" s="22" t="inlineStr">
        <is>
          <t>§16 Team and settings · p.28 · screenshot 032</t>
        </is>
      </c>
      <c r="E116" s="28" t="inlineStr">
        <is>
          <t>Present</t>
        </is>
      </c>
      <c r="F116" s="22" t="inlineStr">
        <is>
          <t>Admin › Team &amp; settings › Working hours &amp; calendar (/settings/company#calendar) — Working hours and calendar: min hours, breaks count, weekly offs, Saturday rule + which Saturdays, approval deadline, average working days per month</t>
        </is>
      </c>
      <c r="G116" s="22" t="inlineStr">
        <is>
          <t>GET/PUT /settings |</t>
        </is>
      </c>
      <c r="H116" s="22" t="inlineStr"/>
      <c r="I116" s="29" t="n"/>
      <c r="J116" s="30" t="n"/>
    </row>
    <row r="117">
      <c r="A117" s="22" t="inlineStr">
        <is>
          <t>16. Team and settings</t>
        </is>
      </c>
      <c r="B117" s="28" t="inlineStr">
        <is>
          <t>G16.03</t>
        </is>
      </c>
      <c r="C117" s="22" t="inlineStr">
        <is>
          <t>Holiday calendar</t>
        </is>
      </c>
      <c r="D117" s="22" t="inlineStr">
        <is>
          <t>§16 Team and settings · p.28 · screenshot 032</t>
        </is>
      </c>
      <c r="E117" s="28" t="inlineStr">
        <is>
          <t>Present</t>
        </is>
      </c>
      <c r="F117" s="22" t="inlineStr">
        <is>
          <t>Admin › Team &amp; settings › Holidays (/settings/holidays); card under Working hours &amp; calendar — Holiday calendar card directly below Working hours &amp; calendar; Holidays page (add, edit, import)</t>
        </is>
      </c>
      <c r="G117" s="22" t="inlineStr">
        <is>
          <t>/holidays |</t>
        </is>
      </c>
      <c r="H117" s="22" t="inlineStr">
        <is>
          <t>v6: holiday list placed below the calendar rules.</t>
        </is>
      </c>
      <c r="I117" s="29" t="n"/>
      <c r="J117" s="30" t="n"/>
    </row>
    <row r="118">
      <c r="A118" s="22" t="inlineStr">
        <is>
          <t>16. Team and settings</t>
        </is>
      </c>
      <c r="B118" s="28" t="inlineStr">
        <is>
          <t>G16.04</t>
        </is>
      </c>
      <c r="C118" s="22" t="inlineStr">
        <is>
          <t>Leave: record leave for person &amp; date range, list with Remove; leave taken this FY by type (casual, sick, earned, comp off, half day, LWP, optional holiday); timesheet leave rows sync</t>
        </is>
      </c>
      <c r="D118" s="22" t="inlineStr">
        <is>
          <t>§16 Team and settings · p.29 · screenshot 033</t>
        </is>
      </c>
      <c r="E118" s="28" t="inlineStr">
        <is>
          <t>Present</t>
        </is>
      </c>
      <c r="F118" s="22" t="inlineStr">
        <is>
          <t>Admin › Team &amp; settings › Leave (/leave?tab=hr) — Admin › Team &amp; settings › Leave (/leave?tab=hr): record leave for person + date range, list with Remove, 'Leave taken this financial year' by type (taken ≤ today; planned separately), synced with the timesheet</t>
        </is>
      </c>
      <c r="G118" s="22" t="inlineStr">
        <is>
          <t>/leave; /leave/summary |</t>
        </is>
      </c>
      <c r="H118" s="22" t="inlineStr">
        <is>
          <t>v6: taken vs planned split.</t>
        </is>
      </c>
      <c r="I118" s="29" t="n"/>
      <c r="J118" s="30" t="n"/>
    </row>
    <row r="119">
      <c r="A119" s="22" t="inlineStr">
        <is>
          <t>16. Team and settings</t>
        </is>
      </c>
      <c r="B119" s="28" t="inlineStr">
        <is>
          <t>G16.05</t>
        </is>
      </c>
      <c r="C119" s="22" t="inlineStr">
        <is>
          <t>Delegations: from, to, scope (all projects/one project), dates, note; delegate sees tasks; covering shown</t>
        </is>
      </c>
      <c r="D119" s="22" t="inlineStr">
        <is>
          <t>§16 Team and settings · p.29 · screenshot 034</t>
        </is>
      </c>
      <c r="E119" s="28" t="inlineStr">
        <is>
          <t>Present</t>
        </is>
      </c>
      <c r="F119" s="22" t="inlineStr">
        <is>
          <t>Admin › Team &amp; settings › Delegations (/settings/delegations) — Admin › Team &amp; settings › Delegations: from, to, scope (all / one project), dates, note, 'Include task follow-ups'</t>
        </is>
      </c>
      <c r="G119" s="22" t="inlineStr">
        <is>
          <t>/delegations |</t>
        </is>
      </c>
      <c r="H119" s="22" t="inlineStr">
        <is>
          <t>v6: 'Include task follow-ups' checkbox. Intentional difference: one-project delegations hand over task follow-ups only.</t>
        </is>
      </c>
      <c r="I119" s="29" t="n"/>
      <c r="J119" s="30" t="n"/>
    </row>
    <row r="120">
      <c r="A120" s="22" t="inlineStr">
        <is>
          <t>16. Team and settings</t>
        </is>
      </c>
      <c r="B120" s="28" t="inlineStr">
        <is>
          <t>G16.06</t>
        </is>
      </c>
      <c r="C120" s="22" t="inlineStr">
        <is>
          <t>All settings in one place with default and allowed range</t>
        </is>
      </c>
      <c r="D120" s="22" t="inlineStr">
        <is>
          <t>§16 Team and settings · p.28 · screenshot 032</t>
        </is>
      </c>
      <c r="E120" s="28" t="inlineStr">
        <is>
          <t>Present</t>
        </is>
      </c>
      <c r="F120" s="22" t="inlineStr">
        <is>
          <t>Admin › Team &amp; settings › Company &amp; rules (/settings/company) — Every setting shows default and allowed range; restore defaults</t>
        </is>
      </c>
      <c r="G120" s="22" t="inlineStr">
        <is>
          <t>GET /settings |</t>
        </is>
      </c>
      <c r="H120" s="22" t="inlineStr"/>
      <c r="I120" s="29" t="n"/>
      <c r="J120" s="30" t="n"/>
    </row>
    <row r="121">
      <c r="A121" s="22" t="inlineStr">
        <is>
          <t>17. Rules and KPI definitions</t>
        </is>
      </c>
      <c r="B121" s="28" t="inlineStr">
        <is>
          <t>G17.01</t>
        </is>
      </c>
      <c r="C121" s="22" t="inlineStr">
        <is>
          <t>Rules tab: non-negotiable working rules, how weekly score is built, how schedule forecast works, consequences</t>
        </is>
      </c>
      <c r="D121" s="22" t="inlineStr">
        <is>
          <t>§17 Rules and KPI definitions · p.30 · screenshot 035</t>
        </is>
      </c>
      <c r="E121" s="28" t="inlineStr">
        <is>
          <t>Present</t>
        </is>
      </c>
      <c r="F121" s="22" t="inlineStr">
        <is>
          <t>Company › Rules (/rules) — Company › Rules (/rules): working rules, how the weekly score is built (incl. effort accuracy), how the forecast works, consequences; values from live settings</t>
        </is>
      </c>
      <c r="G121" s="22" t="inlineStr">
        <is>
          <t>GET /settings; GET /rules/score |</t>
        </is>
      </c>
      <c r="H121" s="22" t="inlineStr"/>
      <c r="I121" s="29" t="n"/>
      <c r="J121" s="30" t="n"/>
    </row>
    <row r="122">
      <c r="A122" s="22" t="inlineStr">
        <is>
          <t>17. Rules and KPI definitions</t>
        </is>
      </c>
      <c r="B122" s="28" t="inlineStr">
        <is>
          <t>G17.02</t>
        </is>
      </c>
      <c r="C122" s="22" t="inlineStr">
        <is>
          <t>KPI definitions table (on-time, effort ratio, markup vs margin, sales variable, task statuses, critical task, working days, resource allocation, resource cost, milestone deadline, % complete, SPI, CPI, schedule variance, utilisation, timesheet, scope growth, baseline variance, markup, planned/projected/actual margin, P50/P80, performance trend, gross margin, net margin, DSO, runway, win rate, approval KPI…)</t>
        </is>
      </c>
      <c r="D122" s="22" t="inlineStr">
        <is>
          <t>§17 Rules and KPI definitions · p.30 · screenshot 035</t>
        </is>
      </c>
      <c r="E122" s="28" t="inlineStr">
        <is>
          <t>Present</t>
        </is>
      </c>
      <c r="F122" s="22" t="inlineStr">
        <is>
          <t>Company › Rules (/rules) — Rules › KPI definitions in the guide's order (On-time delivery, Effort ratio, SPI, Margin, Markup, Cost per hour, Win rate, Approval KPI, P50/P80) + ~30 more; Markup '(Price − cost) ÷ cost'</t>
        </is>
      </c>
      <c r="G122" s="22" t="inlineStr">
        <is>
          <t>client, settings-driven |</t>
        </is>
      </c>
      <c r="H122" s="22" t="inlineStr">
        <is>
          <t>v6: Margin entry added; Markup formula fixed.</t>
        </is>
      </c>
      <c r="I122" s="29" t="n"/>
      <c r="J122" s="30" t="n"/>
    </row>
  </sheetData>
  <autoFilter ref="A4:J122"/>
  <conditionalFormatting sqref="E5:E122">
    <cfRule type="cellIs" priority="1" operator="equal" dxfId="0">
      <formula>"Present"</formula>
    </cfRule>
    <cfRule type="cellIs" priority="2" operator="equal" dxfId="4">
      <formula>"Intentional difference"</formula>
    </cfRule>
    <cfRule type="cellIs" priority="3" operator="equal" dxfId="1">
      <formula>"Partial"</formula>
    </cfRule>
    <cfRule type="cellIs" priority="4" operator="equal" dxfId="2">
      <formula>"Missing"</formula>
    </cfRule>
  </conditionalFormatting>
  <conditionalFormatting sqref="I5:I122">
    <cfRule type="cellIs" priority="5" operator="equal" dxfId="0">
      <formula>"Yes"</formula>
    </cfRule>
    <cfRule type="cellIs" priority="6" operator="equal" dxfId="1">
      <formula>"Query"</formula>
    </cfRule>
    <cfRule type="cellIs" priority="7" operator="equal" dxfId="2">
      <formula>"No"</formula>
    </cfRule>
  </conditionalFormatting>
  <dataValidations count="2">
    <dataValidation sqref="I5:I122" showDropDown="0" showInputMessage="1" showErrorMessage="1" allowBlank="1" errorTitle="Invalid" error="Choose Yes, No or Query" promptTitle="Checked by Santosh" prompt="Pick Yes, No or Query" type="list">
      <formula1>"Yes,No,Query"</formula1>
    </dataValidation>
    <dataValidation sqref="E5:E122" showDropDown="0" showInputMessage="0" showErrorMessage="0" allowBlank="0" type="list">
      <formula1>"Present,Intentional difference,Partial,Missing"</formula1>
    </dataValidation>
  </dataValidations>
  <printOptions gridLines="0"/>
  <pageMargins left="0.75" right="0.75" top="1" bottom="1" header="0.5" footer="0.5"/>
  <pageSetup orientation="landscape" paperSize="9" fitToHeight="0" fitToWidth="1"/>
  <headerFooter>
    <oddHeader>&amp;C&amp;"Arial,Bold"Feature Guide vs SeereonOS build</oddHeader>
    <oddFooter>&amp;LSeereonOS v6 · Feature Guide cross-reference · 2 Oct 2026&amp;RPage &amp;P of &amp;N</oddFooter>
    <evenHeader/>
    <evenFooter/>
    <firstHeader/>
    <firstFooter/>
  </headerFooter>
</worksheet>
</file>

<file path=xl/worksheets/sheet4.xml><?xml version="1.0" encoding="utf-8"?>
<worksheet xmlns="http://schemas.openxmlformats.org/spreadsheetml/2006/main">
  <sheetPr>
    <tabColor rgb="00DAB34F"/>
    <outlinePr summaryBelow="1" summaryRight="1"/>
    <pageSetUpPr fitToPage="1"/>
  </sheetPr>
  <dimension ref="A1:H271"/>
  <sheetViews>
    <sheetView zoomScale="100" workbookViewId="0">
      <pane ySplit="4" topLeftCell="A5" activePane="bottomLeft" state="frozen"/>
      <selection pane="bottomLeft" activeCell="A1" sqref="A1"/>
    </sheetView>
  </sheetViews>
  <sheetFormatPr baseColWidth="8" defaultRowHeight="15"/>
  <cols>
    <col width="5" customWidth="1" min="1" max="1"/>
    <col width="20" customWidth="1" min="2" max="2"/>
    <col width="46" customWidth="1" min="3" max="3"/>
    <col width="34" customWidth="1" min="4" max="4"/>
    <col width="42" customWidth="1" min="5" max="5"/>
    <col width="30" customWidth="1" min="6" max="6"/>
    <col width="16" customWidth="1" min="7" max="7"/>
    <col width="8" customWidth="1" min="8" max="8"/>
  </cols>
  <sheetData>
    <row r="1">
      <c r="A1" s="24" t="inlineStr">
        <is>
          <t>SeereonOS build — complete feature list</t>
        </is>
      </c>
    </row>
    <row r="2">
      <c r="A2" s="25" t="inlineStr">
        <is>
          <t>Every live feature in the build. Source = Feature Guide (with G-ID) or Additional (layer it came from). Planned catalogue processes are not listed. Default roles: Administrator, CEO, CTO, Project Manager, HR Manager, HR Executive, Sales Manager, Sales Executive, Employee.</t>
        </is>
      </c>
      <c r="B2" s="26" t="n"/>
      <c r="C2" s="26" t="n"/>
      <c r="D2" s="26" t="n"/>
      <c r="E2" s="26" t="n"/>
      <c r="F2" s="26" t="n"/>
      <c r="G2" s="26" t="n"/>
      <c r="H2" s="26" t="n"/>
    </row>
    <row r="4">
      <c r="A4" s="27" t="inlineStr">
        <is>
          <t>#</t>
        </is>
      </c>
      <c r="B4" s="27" t="inlineStr">
        <is>
          <t>Area</t>
        </is>
      </c>
      <c r="C4" s="27" t="inlineStr">
        <is>
          <t>Feature</t>
        </is>
      </c>
      <c r="D4" s="27" t="inlineStr">
        <is>
          <t>Screen / route</t>
        </is>
      </c>
      <c r="E4" s="27" t="inlineStr">
        <is>
          <t>Who can use it (default roles)</t>
        </is>
      </c>
      <c r="F4" s="27" t="inlineStr">
        <is>
          <t>Source</t>
        </is>
      </c>
      <c r="G4" s="27" t="inlineStr">
        <is>
          <t>Process catalogue IDs</t>
        </is>
      </c>
      <c r="H4" s="27" t="inlineStr">
        <is>
          <t>Status</t>
        </is>
      </c>
    </row>
    <row r="5">
      <c r="A5" s="28" t="n">
        <v>1</v>
      </c>
      <c r="B5" s="22" t="inlineStr">
        <is>
          <t>Dashboards</t>
        </is>
      </c>
      <c r="C5" s="22" t="inlineStr">
        <is>
          <t>Five role dashboards with CEO switch and sub-tabs</t>
        </is>
      </c>
      <c r="D5" s="22" t="inlineStr">
        <is>
          <t>Dashboard (/home)</t>
        </is>
      </c>
      <c r="E5" s="22" t="inlineStr">
        <is>
          <t>Everyone (own data)</t>
        </is>
      </c>
      <c r="F5" s="22" t="inlineStr">
        <is>
          <t>Feature Guide (G1.04)</t>
        </is>
      </c>
      <c r="G5" s="22" t="inlineStr">
        <is>
          <t>ANA-01, ANA-03</t>
        </is>
      </c>
      <c r="H5" s="28" t="inlineStr">
        <is>
          <t>Live</t>
        </is>
      </c>
    </row>
    <row r="6">
      <c r="A6" s="28" t="n">
        <v>2</v>
      </c>
      <c r="B6" s="22" t="inlineStr">
        <is>
          <t>Dashboards</t>
        </is>
      </c>
      <c r="C6" s="22" t="inlineStr">
        <is>
          <t>Employee view: Tagged you, Covering, own numbers</t>
        </is>
      </c>
      <c r="D6" s="22" t="inlineStr">
        <is>
          <t>Dashboard › Employee (/home)</t>
        </is>
      </c>
      <c r="E6" s="22" t="inlineStr">
        <is>
          <t>Everyone (own data)</t>
        </is>
      </c>
      <c r="F6" s="22" t="inlineStr">
        <is>
          <t>Feature Guide (G1.06)</t>
        </is>
      </c>
      <c r="G6" s="22" t="inlineStr">
        <is>
          <t>ANA-05</t>
        </is>
      </c>
      <c r="H6" s="28" t="inlineStr">
        <is>
          <t>Live</t>
        </is>
      </c>
    </row>
    <row r="7">
      <c r="A7" s="28" t="n">
        <v>3</v>
      </c>
      <c r="B7" s="22" t="inlineStr">
        <is>
          <t>Dashboards</t>
        </is>
      </c>
      <c r="C7" s="22" t="inlineStr">
        <is>
          <t>Top 4 revenue and net earnings tiles</t>
        </is>
      </c>
      <c r="D7" s="22" t="inlineStr">
        <is>
          <t>Dashboard › CEO › Overview (/home)</t>
        </is>
      </c>
      <c r="E7" s="22" t="inlineStr">
        <is>
          <t>Administrator, CEO</t>
        </is>
      </c>
      <c r="F7" s="22" t="inlineStr">
        <is>
          <t>Feature Guide (G2.01)</t>
        </is>
      </c>
      <c r="G7" s="22" t="inlineStr"/>
      <c r="H7" s="28" t="inlineStr">
        <is>
          <t>Live</t>
        </is>
      </c>
    </row>
    <row r="8">
      <c r="A8" s="28" t="n">
        <v>4</v>
      </c>
      <c r="B8" s="22" t="inlineStr">
        <is>
          <t>Dashboards</t>
        </is>
      </c>
      <c r="C8" s="22" t="inlineStr">
        <is>
          <t>Period table: billed, collected, costs, net, margin</t>
        </is>
      </c>
      <c r="D8" s="22" t="inlineStr">
        <is>
          <t>Dashboard › CEO › Overview (/home)</t>
        </is>
      </c>
      <c r="E8" s="22" t="inlineStr">
        <is>
          <t>Administrator, CEO</t>
        </is>
      </c>
      <c r="F8" s="22" t="inlineStr">
        <is>
          <t>Feature Guide (G2.02)</t>
        </is>
      </c>
      <c r="G8" s="22" t="inlineStr"/>
      <c r="H8" s="28" t="inlineStr">
        <is>
          <t>Live</t>
        </is>
      </c>
    </row>
    <row r="9">
      <c r="A9" s="28" t="n">
        <v>5</v>
      </c>
      <c r="B9" s="22" t="inlineStr">
        <is>
          <t>Dashboards</t>
        </is>
      </c>
      <c r="C9" s="22" t="inlineStr">
        <is>
          <t>12-month billed vs collected chart</t>
        </is>
      </c>
      <c r="D9" s="22" t="inlineStr">
        <is>
          <t>Dashboard › CEO › Overview (/home)</t>
        </is>
      </c>
      <c r="E9" s="22" t="inlineStr">
        <is>
          <t>Administrator, CEO</t>
        </is>
      </c>
      <c r="F9" s="22" t="inlineStr">
        <is>
          <t>Feature Guide (G2.03)</t>
        </is>
      </c>
      <c r="G9" s="22" t="inlineStr"/>
      <c r="H9" s="28" t="inlineStr">
        <is>
          <t>Live</t>
        </is>
      </c>
    </row>
    <row r="10">
      <c r="A10" s="28" t="n">
        <v>6</v>
      </c>
      <c r="B10" s="22" t="inlineStr">
        <is>
          <t>Dashboards</t>
        </is>
      </c>
      <c r="C10" s="22" t="inlineStr">
        <is>
          <t>Revenue by stream with % share</t>
        </is>
      </c>
      <c r="D10" s="22" t="inlineStr">
        <is>
          <t>Dashboard › CEO › Overview (/home)</t>
        </is>
      </c>
      <c r="E10" s="22" t="inlineStr">
        <is>
          <t>Administrator, CEO</t>
        </is>
      </c>
      <c r="F10" s="22" t="inlineStr">
        <is>
          <t>Feature Guide (G2.04)</t>
        </is>
      </c>
      <c r="G10" s="22" t="inlineStr"/>
      <c r="H10" s="28" t="inlineStr">
        <is>
          <t>Live</t>
        </is>
      </c>
    </row>
    <row r="11">
      <c r="A11" s="28" t="n">
        <v>7</v>
      </c>
      <c r="B11" s="22" t="inlineStr">
        <is>
          <t>Dashboards</t>
        </is>
      </c>
      <c r="C11" s="22" t="inlineStr">
        <is>
          <t>Revenue ahead (30/60/90 days + weighted pipeline)</t>
        </is>
      </c>
      <c r="D11" s="22" t="inlineStr">
        <is>
          <t>Dashboard › CEO › Overview (/home)</t>
        </is>
      </c>
      <c r="E11" s="22" t="inlineStr">
        <is>
          <t>Administrator, CEO</t>
        </is>
      </c>
      <c r="F11" s="22" t="inlineStr">
        <is>
          <t>Feature Guide (G2.05)</t>
        </is>
      </c>
      <c r="G11" s="22" t="inlineStr"/>
      <c r="H11" s="28" t="inlineStr">
        <is>
          <t>Live</t>
        </is>
      </c>
    </row>
    <row r="12">
      <c r="A12" s="28" t="n">
        <v>8</v>
      </c>
      <c r="B12" s="22" t="inlineStr">
        <is>
          <t>Dashboards</t>
        </is>
      </c>
      <c r="C12" s="22" t="inlineStr">
        <is>
          <t>Delivery KPIs (on-time, SPI, CPI, utilisation…)</t>
        </is>
      </c>
      <c r="D12" s="22" t="inlineStr">
        <is>
          <t>Dashboard › CEO › Overview (/home)</t>
        </is>
      </c>
      <c r="E12" s="22" t="inlineStr">
        <is>
          <t>Administrator, CEO</t>
        </is>
      </c>
      <c r="F12" s="22" t="inlineStr">
        <is>
          <t>Feature Guide (G2.06)</t>
        </is>
      </c>
      <c r="G12" s="22" t="inlineStr"/>
      <c r="H12" s="28" t="inlineStr">
        <is>
          <t>Live</t>
        </is>
      </c>
    </row>
    <row r="13">
      <c r="A13" s="28" t="n">
        <v>9</v>
      </c>
      <c r="B13" s="22" t="inlineStr">
        <is>
          <t>Dashboards</t>
        </is>
      </c>
      <c r="C13" s="22" t="inlineStr">
        <is>
          <t>Milestones and cash</t>
        </is>
      </c>
      <c r="D13" s="22" t="inlineStr">
        <is>
          <t>Dashboard › CEO › Overview (/home)</t>
        </is>
      </c>
      <c r="E13" s="22" t="inlineStr">
        <is>
          <t>Administrator, CEO</t>
        </is>
      </c>
      <c r="F13" s="22" t="inlineStr">
        <is>
          <t>Feature Guide (G2.07)</t>
        </is>
      </c>
      <c r="G13" s="22" t="inlineStr"/>
      <c r="H13" s="28" t="inlineStr">
        <is>
          <t>Live</t>
        </is>
      </c>
    </row>
    <row r="14">
      <c r="A14" s="28" t="n">
        <v>10</v>
      </c>
      <c r="B14" s="22" t="inlineStr">
        <is>
          <t>Dashboards</t>
        </is>
      </c>
      <c r="C14" s="22" t="inlineStr">
        <is>
          <t>Footnote definitions of revenue, costs, net earnings</t>
        </is>
      </c>
      <c r="D14" s="22" t="inlineStr">
        <is>
          <t>Dashboard › CEO › Overview (/home)</t>
        </is>
      </c>
      <c r="E14" s="22" t="inlineStr">
        <is>
          <t>Administrator, CEO</t>
        </is>
      </c>
      <c r="F14" s="22" t="inlineStr">
        <is>
          <t>Feature Guide (G2.08)</t>
        </is>
      </c>
      <c r="G14" s="22" t="inlineStr"/>
      <c r="H14" s="28" t="inlineStr">
        <is>
          <t>Live</t>
        </is>
      </c>
    </row>
    <row r="15">
      <c r="A15" s="28" t="n">
        <v>11</v>
      </c>
      <c r="B15" s="22" t="inlineStr">
        <is>
          <t>Dashboards</t>
        </is>
      </c>
      <c r="C15" s="22" t="inlineStr">
        <is>
          <t>PM delivery control KPIs</t>
        </is>
      </c>
      <c r="D15" s="22" t="inlineStr">
        <is>
          <t>Dashboard › Project manager (/home)</t>
        </is>
      </c>
      <c r="E15" s="22" t="inlineStr">
        <is>
          <t>Administrator, CEO, CTO, Project Manager</t>
        </is>
      </c>
      <c r="F15" s="22" t="inlineStr">
        <is>
          <t>Feature Guide (G14.01)</t>
        </is>
      </c>
      <c r="G15" s="22" t="inlineStr">
        <is>
          <t>ANA-02</t>
        </is>
      </c>
      <c r="H15" s="28" t="inlineStr">
        <is>
          <t>Live</t>
        </is>
      </c>
    </row>
    <row r="16">
      <c r="A16" s="28" t="n">
        <v>12</v>
      </c>
      <c r="B16" s="22" t="inlineStr">
        <is>
          <t>Dashboards</t>
        </is>
      </c>
      <c r="C16" s="22" t="inlineStr">
        <is>
          <t>Task pipeline chart</t>
        </is>
      </c>
      <c r="D16" s="22" t="inlineStr">
        <is>
          <t>Dashboard › Project manager (/home)</t>
        </is>
      </c>
      <c r="E16" s="22" t="inlineStr">
        <is>
          <t>Administrator, CEO, CTO, Project Manager</t>
        </is>
      </c>
      <c r="F16" s="22" t="inlineStr">
        <is>
          <t>Feature Guide (G14.02)</t>
        </is>
      </c>
      <c r="G16" s="22" t="inlineStr"/>
      <c r="H16" s="28" t="inlineStr">
        <is>
          <t>Live</t>
        </is>
      </c>
    </row>
    <row r="17">
      <c r="A17" s="28" t="n">
        <v>13</v>
      </c>
      <c r="B17" s="22" t="inlineStr">
        <is>
          <t>Dashboards</t>
        </is>
      </c>
      <c r="C17" s="22" t="inlineStr">
        <is>
          <t>Resource load next 10 working days</t>
        </is>
      </c>
      <c r="D17" s="22" t="inlineStr">
        <is>
          <t>Dashboard › Project manager (/home)</t>
        </is>
      </c>
      <c r="E17" s="22" t="inlineStr">
        <is>
          <t>Administrator, CEO, CTO, Project Manager</t>
        </is>
      </c>
      <c r="F17" s="22" t="inlineStr">
        <is>
          <t>Feature Guide (G14.03)</t>
        </is>
      </c>
      <c r="G17" s="22" t="inlineStr"/>
      <c r="H17" s="28" t="inlineStr">
        <is>
          <t>Live</t>
        </is>
      </c>
    </row>
    <row r="18">
      <c r="A18" s="28" t="n">
        <v>14</v>
      </c>
      <c r="B18" s="22" t="inlineStr">
        <is>
          <t>Dashboards</t>
        </is>
      </c>
      <c r="C18" s="22" t="inlineStr">
        <is>
          <t>HR &amp; operations home: on leave today, compliance calendar (60 days), openings, payroll</t>
        </is>
      </c>
      <c r="D18" s="22" t="inlineStr">
        <is>
          <t>/home → Operations</t>
        </is>
      </c>
      <c r="E18" s="22" t="inlineStr">
        <is>
          <t>Administrator, CEO, HR Manager, HR Executive</t>
        </is>
      </c>
      <c r="F18" s="22" t="inlineStr">
        <is>
          <t>Additional (v1 base)</t>
        </is>
      </c>
      <c r="G18" s="22" t="inlineStr">
        <is>
          <t>ANA-04</t>
        </is>
      </c>
      <c r="H18" s="28" t="inlineStr">
        <is>
          <t>Live</t>
        </is>
      </c>
    </row>
    <row r="19">
      <c r="A19" s="28" t="n">
        <v>15</v>
      </c>
      <c r="B19" s="22" t="inlineStr">
        <is>
          <t>Dashboards</t>
        </is>
      </c>
      <c r="C19" s="22" t="inlineStr">
        <is>
          <t>Persona-based home: CTO, HR and other default roles land on the right dashboard</t>
        </is>
      </c>
      <c r="D19" s="22" t="inlineStr">
        <is>
          <t>/home</t>
        </is>
      </c>
      <c r="E19" s="22" t="inlineStr">
        <is>
          <t>Everyone (own data)</t>
        </is>
      </c>
      <c r="F19" s="22" t="inlineStr">
        <is>
          <t>Additional (v4 access &amp; controls)</t>
        </is>
      </c>
      <c r="G19" s="22" t="inlineStr">
        <is>
          <t>ACC-09</t>
        </is>
      </c>
      <c r="H19" s="28" t="inlineStr">
        <is>
          <t>Live</t>
        </is>
      </c>
    </row>
    <row r="20">
      <c r="A20" s="28" t="n">
        <v>16</v>
      </c>
      <c r="B20" s="22" t="inlineStr">
        <is>
          <t>Projects &amp; delivery</t>
        </is>
      </c>
      <c r="C20" s="22" t="inlineStr">
        <is>
          <t>Project status chips with counts</t>
        </is>
      </c>
      <c r="D20" s="22" t="inlineStr">
        <is>
          <t>Projects &amp; WBS › All projects (/projects)</t>
        </is>
      </c>
      <c r="E20" s="22" t="inlineStr">
        <is>
          <t>All roles (own projects); full: Administrator, CEO, CTO, HR Manager</t>
        </is>
      </c>
      <c r="F20" s="22" t="inlineStr">
        <is>
          <t>Feature Guide (G3.01)</t>
        </is>
      </c>
      <c r="G20" s="22" t="inlineStr"/>
      <c r="H20" s="28" t="inlineStr">
        <is>
          <t>Live</t>
        </is>
      </c>
    </row>
    <row r="21">
      <c r="A21" s="28" t="n">
        <v>17</v>
      </c>
      <c r="B21" s="22" t="inlineStr">
        <is>
          <t>Projects &amp; delivery</t>
        </is>
      </c>
      <c r="C21" s="22" t="inlineStr">
        <is>
          <t>Health badge and inline status dropdown</t>
        </is>
      </c>
      <c r="D21" s="22" t="inlineStr">
        <is>
          <t>Projects &amp; WBS › All projects (/projects)</t>
        </is>
      </c>
      <c r="E21" s="22" t="inlineStr">
        <is>
          <t>Administrator, CEO, CTO, Project Manager</t>
        </is>
      </c>
      <c r="F21" s="22" t="inlineStr">
        <is>
          <t>Feature Guide (G3.02)</t>
        </is>
      </c>
      <c r="G21" s="22" t="inlineStr"/>
      <c r="H21" s="28" t="inlineStr">
        <is>
          <t>Live</t>
        </is>
      </c>
    </row>
    <row r="22">
      <c r="A22" s="28" t="n">
        <v>18</v>
      </c>
      <c r="B22" s="22" t="inlineStr">
        <is>
          <t>Projects &amp; delivery</t>
        </is>
      </c>
      <c r="C22" s="22" t="inlineStr">
        <is>
          <t>Reason required for On hold / NPA / Closed; status history</t>
        </is>
      </c>
      <c r="D22" s="22" t="inlineStr">
        <is>
          <t>Projects &amp; WBS › All projects (/projects)</t>
        </is>
      </c>
      <c r="E22" s="22" t="inlineStr">
        <is>
          <t>Administrator, CEO, CTO, Project Manager</t>
        </is>
      </c>
      <c r="F22" s="22" t="inlineStr">
        <is>
          <t>Feature Guide (G3.03)</t>
        </is>
      </c>
      <c r="G22" s="22" t="inlineStr">
        <is>
          <t>DEL-07, DEL-11</t>
        </is>
      </c>
      <c r="H22" s="28" t="inlineStr">
        <is>
          <t>Live</t>
        </is>
      </c>
    </row>
    <row r="23">
      <c r="A23" s="28" t="n">
        <v>19</v>
      </c>
      <c r="B23" s="22" t="inlineStr">
        <is>
          <t>Projects &amp; delivery</t>
        </is>
      </c>
      <c r="C23" s="22" t="inlineStr">
        <is>
          <t>Projects list columns (PM, model, progress, forecast, margin…)</t>
        </is>
      </c>
      <c r="D23" s="22" t="inlineStr">
        <is>
          <t>Projects &amp; WBS › All projects (/projects)</t>
        </is>
      </c>
      <c r="E23" s="22" t="inlineStr">
        <is>
          <t>All roles (own projects); full: Administrator, CEO, CTO, HR Manager</t>
        </is>
      </c>
      <c r="F23" s="22" t="inlineStr">
        <is>
          <t>Feature Guide (G3.04)</t>
        </is>
      </c>
      <c r="G23" s="22" t="inlineStr"/>
      <c r="H23" s="28" t="inlineStr">
        <is>
          <t>Live</t>
        </is>
      </c>
    </row>
    <row r="24">
      <c r="A24" s="28" t="n">
        <v>20</v>
      </c>
      <c r="B24" s="22" t="inlineStr">
        <is>
          <t>Projects &amp; delivery</t>
        </is>
      </c>
      <c r="C24" s="22" t="inlineStr">
        <is>
          <t>Inline row expand</t>
        </is>
      </c>
      <c r="D24" s="22" t="inlineStr">
        <is>
          <t>Projects &amp; WBS › All projects (/projects)</t>
        </is>
      </c>
      <c r="E24" s="22" t="inlineStr">
        <is>
          <t>All roles (own projects); full: Administrator, CEO, CTO, HR Manager</t>
        </is>
      </c>
      <c r="F24" s="22" t="inlineStr">
        <is>
          <t>Feature Guide (G3.05)</t>
        </is>
      </c>
      <c r="G24" s="22" t="inlineStr"/>
      <c r="H24" s="28" t="inlineStr">
        <is>
          <t>Live</t>
        </is>
      </c>
    </row>
    <row r="25">
      <c r="A25" s="28" t="n">
        <v>21</v>
      </c>
      <c r="B25" s="22" t="inlineStr">
        <is>
          <t>Projects &amp; delivery</t>
        </is>
      </c>
      <c r="C25" s="22" t="inlineStr">
        <is>
          <t>Project types Product / Service / SaaS / AMS</t>
        </is>
      </c>
      <c r="D25" s="22" t="inlineStr">
        <is>
          <t>Projects &amp; WBS › All projects (/projects)</t>
        </is>
      </c>
      <c r="E25" s="22" t="inlineStr">
        <is>
          <t>Administrator, CEO, CTO, Project Manager</t>
        </is>
      </c>
      <c r="F25" s="22" t="inlineStr">
        <is>
          <t>Feature Guide (G3.06)</t>
        </is>
      </c>
      <c r="G25" s="22" t="inlineStr"/>
      <c r="H25" s="28" t="inlineStr">
        <is>
          <t>Live</t>
        </is>
      </c>
    </row>
    <row r="26">
      <c r="A26" s="28" t="n">
        <v>22</v>
      </c>
      <c r="B26" s="22" t="inlineStr">
        <is>
          <t>Projects &amp; delivery</t>
        </is>
      </c>
      <c r="C26" s="22" t="inlineStr">
        <is>
          <t>Create project form with calendar summary and auto code</t>
        </is>
      </c>
      <c r="D26" s="22" t="inlineStr">
        <is>
          <t>Projects &amp; WBS › Create project (/projects/new)</t>
        </is>
      </c>
      <c r="E26" s="22" t="inlineStr">
        <is>
          <t>Administrator, CEO, CTO, Project Manager</t>
        </is>
      </c>
      <c r="F26" s="22" t="inlineStr">
        <is>
          <t>Feature Guide (G3.07)</t>
        </is>
      </c>
      <c r="G26" s="22" t="inlineStr">
        <is>
          <t>DEL-01</t>
        </is>
      </c>
      <c r="H26" s="28" t="inlineStr">
        <is>
          <t>Live</t>
        </is>
      </c>
    </row>
    <row r="27">
      <c r="A27" s="28" t="n">
        <v>23</v>
      </c>
      <c r="B27" s="22" t="inlineStr">
        <is>
          <t>Projects &amp; delivery</t>
        </is>
      </c>
      <c r="C27" s="22" t="inlineStr">
        <is>
          <t>Auto milestone setup (name | amount per line)</t>
        </is>
      </c>
      <c r="D27" s="22" t="inlineStr">
        <is>
          <t>Projects &amp; WBS › Create project (/projects/new)</t>
        </is>
      </c>
      <c r="E27" s="22" t="inlineStr">
        <is>
          <t>Administrator, CEO, CTO, Project Manager</t>
        </is>
      </c>
      <c r="F27" s="22" t="inlineStr">
        <is>
          <t>Feature Guide (G3.08)</t>
        </is>
      </c>
      <c r="G27" s="22" t="inlineStr"/>
      <c r="H27" s="28" t="inlineStr">
        <is>
          <t>Live</t>
        </is>
      </c>
    </row>
    <row r="28">
      <c r="A28" s="28" t="n">
        <v>24</v>
      </c>
      <c r="B28" s="22" t="inlineStr">
        <is>
          <t>Projects &amp; delivery</t>
        </is>
      </c>
      <c r="C28" s="22" t="inlineStr">
        <is>
          <t>Documents upload in create form</t>
        </is>
      </c>
      <c r="D28" s="22" t="inlineStr">
        <is>
          <t>Projects &amp; WBS › Create project (/projects/new)</t>
        </is>
      </c>
      <c r="E28" s="22" t="inlineStr">
        <is>
          <t>Administrator, CEO, CTO, Project Manager</t>
        </is>
      </c>
      <c r="F28" s="22" t="inlineStr">
        <is>
          <t>Feature Guide (G3.09)</t>
        </is>
      </c>
      <c r="G28" s="22" t="inlineStr"/>
      <c r="H28" s="28" t="inlineStr">
        <is>
          <t>Live</t>
        </is>
      </c>
    </row>
    <row r="29">
      <c r="A29" s="28" t="n">
        <v>25</v>
      </c>
      <c r="B29" s="22" t="inlineStr">
        <is>
          <t>Projects &amp; delivery</t>
        </is>
      </c>
      <c r="C29" s="22" t="inlineStr">
        <is>
          <t>Project cost calculator</t>
        </is>
      </c>
      <c r="D29" s="22" t="inlineStr">
        <is>
          <t>Projects &amp; WBS › Create project (/projects/new); Projects &amp; WBS › All projects › project › Costing &amp; margin (/projects/:id/costing); direct: Projects &amp; WBS › Costing &amp; margin</t>
        </is>
      </c>
      <c r="E29" s="22" t="inlineStr">
        <is>
          <t>Administrator, CEO, CTO, Project Manager</t>
        </is>
      </c>
      <c r="F29" s="22" t="inlineStr">
        <is>
          <t>Feature Guide (G3.10)</t>
        </is>
      </c>
      <c r="G29" s="22" t="inlineStr"/>
      <c r="H29" s="28" t="inlineStr">
        <is>
          <t>Live</t>
        </is>
      </c>
    </row>
    <row r="30">
      <c r="A30" s="28" t="n">
        <v>26</v>
      </c>
      <c r="B30" s="22" t="inlineStr">
        <is>
          <t>Projects &amp; delivery</t>
        </is>
      </c>
      <c r="C30" s="22" t="inlineStr">
        <is>
          <t>Cost per day from cost per hour</t>
        </is>
      </c>
      <c r="D30" s="22" t="inlineStr">
        <is>
          <t>Projects &amp; WBS › Create project (/projects/new) (Project cost calculator); Admin › Team &amp; settings › Cost rates (/settings/cost-rates)</t>
        </is>
      </c>
      <c r="E30" s="22" t="inlineStr">
        <is>
          <t>Administrator, CEO</t>
        </is>
      </c>
      <c r="F30" s="22" t="inlineStr">
        <is>
          <t>Feature Guide (G3.11)</t>
        </is>
      </c>
      <c r="G30" s="22" t="inlineStr"/>
      <c r="H30" s="28" t="inlineStr">
        <is>
          <t>Live</t>
        </is>
      </c>
    </row>
    <row r="31">
      <c r="A31" s="28" t="n">
        <v>27</v>
      </c>
      <c r="B31" s="22" t="inlineStr">
        <is>
          <t>Projects &amp; delivery</t>
        </is>
      </c>
      <c r="C31" s="22" t="inlineStr">
        <is>
          <t>Permanent milestone and task numbering</t>
        </is>
      </c>
      <c r="D31" s="22" t="inlineStr">
        <is>
          <t>Projects &amp; WBS › All projects › project › WBS (/projects/:id/wbs); direct: Projects &amp; WBS › Milestones &amp; billing / WBS</t>
        </is>
      </c>
      <c r="E31" s="22" t="inlineStr">
        <is>
          <t>Edit: Administrator, CEO, CTO, Project Manager; view: project team</t>
        </is>
      </c>
      <c r="F31" s="22" t="inlineStr">
        <is>
          <t>Feature Guide (G4.01)</t>
        </is>
      </c>
      <c r="G31" s="22" t="inlineStr"/>
      <c r="H31" s="28" t="inlineStr">
        <is>
          <t>Live</t>
        </is>
      </c>
    </row>
    <row r="32">
      <c r="A32" s="28" t="n">
        <v>28</v>
      </c>
      <c r="B32" s="22" t="inlineStr">
        <is>
          <t>Projects &amp; delivery</t>
        </is>
      </c>
      <c r="C32" s="22" t="inlineStr">
        <is>
          <t>Milestone deadline from last task, baseline and slip</t>
        </is>
      </c>
      <c r="D32" s="22" t="inlineStr">
        <is>
          <t>Projects &amp; WBS › All projects › project › WBS (/projects/:id/wbs); direct: Projects &amp; WBS › Milestones &amp; billing / WBS</t>
        </is>
      </c>
      <c r="E32" s="22" t="inlineStr">
        <is>
          <t>Edit: Administrator, CEO, CTO, Project Manager; view: project team</t>
        </is>
      </c>
      <c r="F32" s="22" t="inlineStr">
        <is>
          <t>Feature Guide (G4.02)</t>
        </is>
      </c>
      <c r="G32" s="22" t="inlineStr">
        <is>
          <t>DEL-02</t>
        </is>
      </c>
      <c r="H32" s="28" t="inlineStr">
        <is>
          <t>Live</t>
        </is>
      </c>
    </row>
    <row r="33">
      <c r="A33" s="28" t="n">
        <v>29</v>
      </c>
      <c r="B33" s="22" t="inlineStr">
        <is>
          <t>Projects &amp; delivery</t>
        </is>
      </c>
      <c r="C33" s="22" t="inlineStr">
        <is>
          <t>Milestone status and End column</t>
        </is>
      </c>
      <c r="D33" s="22" t="inlineStr">
        <is>
          <t>Projects &amp; WBS › All projects › project › WBS (/projects/:id/wbs); direct: Projects &amp; WBS › Milestones &amp; billing / WBS</t>
        </is>
      </c>
      <c r="E33" s="22" t="inlineStr">
        <is>
          <t>Edit: Administrator, CEO, CTO, Project Manager; view: project team</t>
        </is>
      </c>
      <c r="F33" s="22" t="inlineStr">
        <is>
          <t>Feature Guide (G4.03)</t>
        </is>
      </c>
      <c r="G33" s="22" t="inlineStr"/>
      <c r="H33" s="28" t="inlineStr">
        <is>
          <t>Live</t>
        </is>
      </c>
    </row>
    <row r="34">
      <c r="A34" s="28" t="n">
        <v>30</v>
      </c>
      <c r="B34" s="22" t="inlineStr">
        <is>
          <t>Projects &amp; delivery</t>
        </is>
      </c>
      <c r="C34" s="22" t="inlineStr">
        <is>
          <t>Milestone progress bar and task count</t>
        </is>
      </c>
      <c r="D34" s="22" t="inlineStr">
        <is>
          <t>Projects &amp; WBS › All projects › project › WBS (/projects/:id/wbs); direct: Projects &amp; WBS › Milestones &amp; billing / WBS</t>
        </is>
      </c>
      <c r="E34" s="22" t="inlineStr">
        <is>
          <t>Edit: Administrator, CEO, CTO, Project Manager; view: project team</t>
        </is>
      </c>
      <c r="F34" s="22" t="inlineStr">
        <is>
          <t>Feature Guide (G4.04)</t>
        </is>
      </c>
      <c r="G34" s="22" t="inlineStr"/>
      <c r="H34" s="28" t="inlineStr">
        <is>
          <t>Live</t>
        </is>
      </c>
    </row>
    <row r="35">
      <c r="A35" s="28" t="n">
        <v>31</v>
      </c>
      <c r="B35" s="22" t="inlineStr">
        <is>
          <t>Projects &amp; delivery</t>
        </is>
      </c>
      <c r="C35" s="22" t="inlineStr">
        <is>
          <t>Milestone billing state and billing summary</t>
        </is>
      </c>
      <c r="D35" s="22" t="inlineStr">
        <is>
          <t>Projects &amp; WBS › All projects › project › WBS (/projects/:id/wbs); direct: Projects &amp; WBS › Milestones &amp; billing / WBS</t>
        </is>
      </c>
      <c r="E35" s="22" t="inlineStr">
        <is>
          <t>Edit: Administrator, CEO, CTO, Project Manager; view: project team</t>
        </is>
      </c>
      <c r="F35" s="22" t="inlineStr">
        <is>
          <t>Feature Guide (G4.05)</t>
        </is>
      </c>
      <c r="G35" s="22" t="inlineStr">
        <is>
          <t>FIN-01</t>
        </is>
      </c>
      <c r="H35" s="28" t="inlineStr">
        <is>
          <t>Live</t>
        </is>
      </c>
    </row>
    <row r="36">
      <c r="A36" s="28" t="n">
        <v>32</v>
      </c>
      <c r="B36" s="22" t="inlineStr">
        <is>
          <t>Projects &amp; delivery</t>
        </is>
      </c>
      <c r="C36" s="22" t="inlineStr">
        <is>
          <t>Edit / delete milestone (blocked if invoiced)</t>
        </is>
      </c>
      <c r="D36" s="22" t="inlineStr">
        <is>
          <t>Projects &amp; WBS › All projects › project › WBS (/projects/:id/wbs); direct: Projects &amp; WBS › Milestones &amp; billing / WBS</t>
        </is>
      </c>
      <c r="E36" s="22" t="inlineStr">
        <is>
          <t>Edit: Administrator, CEO, CTO, Project Manager; view: project team</t>
        </is>
      </c>
      <c r="F36" s="22" t="inlineStr">
        <is>
          <t>Feature Guide (G4.06)</t>
        </is>
      </c>
      <c r="G36" s="22" t="inlineStr"/>
      <c r="H36" s="28" t="inlineStr">
        <is>
          <t>Live</t>
        </is>
      </c>
    </row>
    <row r="37">
      <c r="A37" s="28" t="n">
        <v>33</v>
      </c>
      <c r="B37" s="22" t="inlineStr">
        <is>
          <t>Projects &amp; delivery</t>
        </is>
      </c>
      <c r="C37" s="22" t="inlineStr">
        <is>
          <t>Auto-cleanup of empty milestones after 7 days</t>
        </is>
      </c>
      <c r="D37" s="22" t="inlineStr">
        <is>
          <t>Projects &amp; WBS › All projects › project › WBS (/projects/:id/wbs); direct: Projects &amp; WBS › Milestones &amp; billing / WBS</t>
        </is>
      </c>
      <c r="E37" s="22" t="inlineStr">
        <is>
          <t>Edit: Administrator, CEO, CTO, Project Manager; view: project team</t>
        </is>
      </c>
      <c r="F37" s="22" t="inlineStr">
        <is>
          <t>Feature Guide (G4.07)</t>
        </is>
      </c>
      <c r="G37" s="22" t="inlineStr"/>
      <c r="H37" s="28" t="inlineStr">
        <is>
          <t>Live</t>
        </is>
      </c>
    </row>
    <row r="38">
      <c r="A38" s="28" t="n">
        <v>34</v>
      </c>
      <c r="B38" s="22" t="inlineStr">
        <is>
          <t>Projects &amp; delivery</t>
        </is>
      </c>
      <c r="C38" s="22" t="inlineStr">
        <is>
          <t>Inline add milestone</t>
        </is>
      </c>
      <c r="D38" s="22" t="inlineStr">
        <is>
          <t>Projects &amp; WBS › All projects › project › WBS (/projects/:id/wbs); direct: Projects &amp; WBS › Milestones &amp; billing / WBS</t>
        </is>
      </c>
      <c r="E38" s="22" t="inlineStr">
        <is>
          <t>Edit: Administrator, CEO, CTO, Project Manager; view: project team</t>
        </is>
      </c>
      <c r="F38" s="22" t="inlineStr">
        <is>
          <t>Feature Guide (G4.08)</t>
        </is>
      </c>
      <c r="G38" s="22" t="inlineStr"/>
      <c r="H38" s="28" t="inlineStr">
        <is>
          <t>Live</t>
        </is>
      </c>
    </row>
    <row r="39">
      <c r="A39" s="28" t="n">
        <v>35</v>
      </c>
      <c r="B39" s="22" t="inlineStr">
        <is>
          <t>Projects &amp; delivery</t>
        </is>
      </c>
      <c r="C39" s="22" t="inlineStr">
        <is>
          <t>WBS table with rollups, dependencies, float, critical rows</t>
        </is>
      </c>
      <c r="D39" s="22" t="inlineStr">
        <is>
          <t>Projects &amp; WBS › All projects › project › WBS (/projects/:id/wbs); direct: Projects &amp; WBS › Milestones &amp; billing / WBS</t>
        </is>
      </c>
      <c r="E39" s="22" t="inlineStr">
        <is>
          <t>Edit: Administrator, CEO, CTO, Project Manager; view: project team</t>
        </is>
      </c>
      <c r="F39" s="22" t="inlineStr">
        <is>
          <t>Feature Guide (G4.09)</t>
        </is>
      </c>
      <c r="G39" s="22" t="inlineStr">
        <is>
          <t>DEL-03</t>
        </is>
      </c>
      <c r="H39" s="28" t="inlineStr">
        <is>
          <t>Live</t>
        </is>
      </c>
    </row>
    <row r="40">
      <c r="A40" s="28" t="n">
        <v>36</v>
      </c>
      <c r="B40" s="22" t="inlineStr">
        <is>
          <t>Projects &amp; delivery</t>
        </is>
      </c>
      <c r="C40" s="22" t="inlineStr">
        <is>
          <t>WBS import (paste / CSV) with preview</t>
        </is>
      </c>
      <c r="D40" s="22" t="inlineStr">
        <is>
          <t>Projects &amp; WBS › Import WBS (/delivery/import); project › Import WBS (/projects/:id/import)</t>
        </is>
      </c>
      <c r="E40" s="22" t="inlineStr">
        <is>
          <t>Edit: Administrator, CEO, CTO, Project Manager; view: project team</t>
        </is>
      </c>
      <c r="F40" s="22" t="inlineStr">
        <is>
          <t>Feature Guide (G4.10)</t>
        </is>
      </c>
      <c r="G40" s="22" t="inlineStr">
        <is>
          <t>DEL-04</t>
        </is>
      </c>
      <c r="H40" s="28" t="inlineStr">
        <is>
          <t>Live</t>
        </is>
      </c>
    </row>
    <row r="41">
      <c r="A41" s="28" t="n">
        <v>37</v>
      </c>
      <c r="B41" s="22" t="inlineStr">
        <is>
          <t>Projects &amp; delivery</t>
        </is>
      </c>
      <c r="C41" s="22" t="inlineStr">
        <is>
          <t>Gantt chart</t>
        </is>
      </c>
      <c r="D41" s="22" t="inlineStr">
        <is>
          <t>Projects &amp; WBS › All projects › project › Schedule (/projects/:id/schedule); direct: Projects &amp; WBS › Schedule &amp; critical path</t>
        </is>
      </c>
      <c r="E41" s="22" t="inlineStr">
        <is>
          <t>All roles (project team); full: Administrator, CEO, CTO, HR Manager</t>
        </is>
      </c>
      <c r="F41" s="22" t="inlineStr">
        <is>
          <t>Feature Guide (G5.01)</t>
        </is>
      </c>
      <c r="G41" s="22" t="inlineStr">
        <is>
          <t>DEL-06</t>
        </is>
      </c>
      <c r="H41" s="28" t="inlineStr">
        <is>
          <t>Live</t>
        </is>
      </c>
    </row>
    <row r="42">
      <c r="A42" s="28" t="n">
        <v>38</v>
      </c>
      <c r="B42" s="22" t="inlineStr">
        <is>
          <t>Projects &amp; delivery</t>
        </is>
      </c>
      <c r="C42" s="22" t="inlineStr">
        <is>
          <t>Critical path text summary</t>
        </is>
      </c>
      <c r="D42" s="22" t="inlineStr">
        <is>
          <t>Projects &amp; WBS › All projects › project › Schedule (/projects/:id/schedule); direct: Projects &amp; WBS › Schedule &amp; critical path</t>
        </is>
      </c>
      <c r="E42" s="22" t="inlineStr">
        <is>
          <t>All roles (project team); full: Administrator, CEO, CTO, HR Manager</t>
        </is>
      </c>
      <c r="F42" s="22" t="inlineStr">
        <is>
          <t>Feature Guide (G5.02)</t>
        </is>
      </c>
      <c r="G42" s="22" t="inlineStr"/>
      <c r="H42" s="28" t="inlineStr">
        <is>
          <t>Live</t>
        </is>
      </c>
    </row>
    <row r="43">
      <c r="A43" s="28" t="n">
        <v>39</v>
      </c>
      <c r="B43" s="22" t="inlineStr">
        <is>
          <t>Projects &amp; delivery</t>
        </is>
      </c>
      <c r="C43" s="22" t="inlineStr">
        <is>
          <t>Critical path and breach risks list with actions</t>
        </is>
      </c>
      <c r="D43" s="22" t="inlineStr">
        <is>
          <t>Projects &amp; WBS › All projects › project › Schedule (/projects/:id/schedule); direct: Projects &amp; WBS › Schedule &amp; critical path; Dashboard › Project manager</t>
        </is>
      </c>
      <c r="E43" s="22" t="inlineStr">
        <is>
          <t>Administrator, CEO, CTO, Project Manager</t>
        </is>
      </c>
      <c r="F43" s="22" t="inlineStr">
        <is>
          <t>Feature Guide (G5.03)</t>
        </is>
      </c>
      <c r="G43" s="22" t="inlineStr"/>
      <c r="H43" s="28" t="inlineStr">
        <is>
          <t>Live</t>
        </is>
      </c>
    </row>
    <row r="44">
      <c r="A44" s="28" t="n">
        <v>40</v>
      </c>
      <c r="B44" s="22" t="inlineStr">
        <is>
          <t>Projects &amp; delivery</t>
        </is>
      </c>
      <c r="C44" s="22" t="inlineStr">
        <is>
          <t>Change requests with KPIs, approve / reject, add tasks to WBS</t>
        </is>
      </c>
      <c r="D44" s="22" t="inlineStr">
        <is>
          <t>Projects &amp; WBS › All projects › project › Changes (/projects/:id/changes); direct: Projects &amp; WBS › Change requests</t>
        </is>
      </c>
      <c r="E44" s="22" t="inlineStr">
        <is>
          <t>Administrator, CEO, CTO, Project Manager</t>
        </is>
      </c>
      <c r="F44" s="22" t="inlineStr">
        <is>
          <t>Feature Guide (G5.04)</t>
        </is>
      </c>
      <c r="G44" s="22" t="inlineStr">
        <is>
          <t>DEL-08</t>
        </is>
      </c>
      <c r="H44" s="28" t="inlineStr">
        <is>
          <t>Live</t>
        </is>
      </c>
    </row>
    <row r="45">
      <c r="A45" s="28" t="n">
        <v>41</v>
      </c>
      <c r="B45" s="22" t="inlineStr">
        <is>
          <t>Projects &amp; delivery</t>
        </is>
      </c>
      <c r="C45" s="22" t="inlineStr">
        <is>
          <t>Resource allocation by milestone</t>
        </is>
      </c>
      <c r="D45" s="22" t="inlineStr">
        <is>
          <t>Projects &amp; WBS › All projects › project › Costing &amp; margin (/projects/:id/costing); direct: Projects &amp; WBS › Costing &amp; margin (Resource allocation by milestone); Team &amp; allocation tab</t>
        </is>
      </c>
      <c r="E45" s="22" t="inlineStr">
        <is>
          <t>Administrator, CEO, CTO, Project Manager</t>
        </is>
      </c>
      <c r="F45" s="22" t="inlineStr">
        <is>
          <t>Feature Guide (G6.01)</t>
        </is>
      </c>
      <c r="G45" s="22" t="inlineStr">
        <is>
          <t>DEL-05</t>
        </is>
      </c>
      <c r="H45" s="28" t="inlineStr">
        <is>
          <t>Live</t>
        </is>
      </c>
    </row>
    <row r="46">
      <c r="A46" s="28" t="n">
        <v>42</v>
      </c>
      <c r="B46" s="22" t="inlineStr">
        <is>
          <t>Projects &amp; delivery</t>
        </is>
      </c>
      <c r="C46" s="22" t="inlineStr">
        <is>
          <t>Cost per hour formula</t>
        </is>
      </c>
      <c r="D46" s="22" t="inlineStr">
        <is>
          <t>Projects &amp; WBS › All projects › project › Costing &amp; margin (/projects/:id/costing); direct: Projects &amp; WBS › Costing &amp; margin; Admin › Team &amp; settings › Cost rates; Rules</t>
        </is>
      </c>
      <c r="E46" s="22" t="inlineStr">
        <is>
          <t>Administrator, CEO, HR Manager</t>
        </is>
      </c>
      <c r="F46" s="22" t="inlineStr">
        <is>
          <t>Feature Guide (G6.02)</t>
        </is>
      </c>
      <c r="G46" s="22" t="inlineStr">
        <is>
          <t>ORG-03</t>
        </is>
      </c>
      <c r="H46" s="28" t="inlineStr">
        <is>
          <t>Live</t>
        </is>
      </c>
    </row>
    <row r="47">
      <c r="A47" s="28" t="n">
        <v>43</v>
      </c>
      <c r="B47" s="22" t="inlineStr">
        <is>
          <t>Projects &amp; delivery</t>
        </is>
      </c>
      <c r="C47" s="22" t="inlineStr">
        <is>
          <t>Costing &amp; margin: planned / projected / actual</t>
        </is>
      </c>
      <c r="D47" s="22" t="inlineStr">
        <is>
          <t>Projects &amp; WBS › All projects › project › Costing &amp; margin (/projects/:id/costing); direct: Projects &amp; WBS › Costing &amp; margin</t>
        </is>
      </c>
      <c r="E47" s="22" t="inlineStr">
        <is>
          <t>Administrator, CEO, CTO</t>
        </is>
      </c>
      <c r="F47" s="22" t="inlineStr">
        <is>
          <t>Feature Guide (G6.03)</t>
        </is>
      </c>
      <c r="G47" s="22" t="inlineStr">
        <is>
          <t>DEL-09</t>
        </is>
      </c>
      <c r="H47" s="28" t="inlineStr">
        <is>
          <t>Live</t>
        </is>
      </c>
    </row>
    <row r="48">
      <c r="A48" s="28" t="n">
        <v>44</v>
      </c>
      <c r="B48" s="22" t="inlineStr">
        <is>
          <t>Projects &amp; delivery</t>
        </is>
      </c>
      <c r="C48" s="22" t="inlineStr">
        <is>
          <t>Margin vs markup side by side</t>
        </is>
      </c>
      <c r="D48" s="22" t="inlineStr">
        <is>
          <t>Projects &amp; WBS › All projects › project › Costing &amp; margin (/projects/:id/costing); direct: Projects &amp; WBS › Costing &amp; margin</t>
        </is>
      </c>
      <c r="E48" s="22" t="inlineStr">
        <is>
          <t>Administrator, CEO, CTO</t>
        </is>
      </c>
      <c r="F48" s="22" t="inlineStr">
        <is>
          <t>Feature Guide (G6.04)</t>
        </is>
      </c>
      <c r="G48" s="22" t="inlineStr"/>
      <c r="H48" s="28" t="inlineStr">
        <is>
          <t>Live</t>
        </is>
      </c>
    </row>
    <row r="49">
      <c r="A49" s="28" t="n">
        <v>45</v>
      </c>
      <c r="B49" s="22" t="inlineStr">
        <is>
          <t>Projects &amp; delivery</t>
        </is>
      </c>
      <c r="C49" s="22" t="inlineStr">
        <is>
          <t>Effort ratio per task, milestone, project</t>
        </is>
      </c>
      <c r="D49" s="22" t="inlineStr">
        <is>
          <t>Projects &amp; WBS › All projects › project › Costing &amp; margin (/projects/:id/costing); direct: Projects &amp; WBS › Costing &amp; margin</t>
        </is>
      </c>
      <c r="E49" s="22" t="inlineStr">
        <is>
          <t>Administrator, CEO, CTO</t>
        </is>
      </c>
      <c r="F49" s="22" t="inlineStr">
        <is>
          <t>Feature Guide (G6.05)</t>
        </is>
      </c>
      <c r="G49" s="22" t="inlineStr"/>
      <c r="H49" s="28" t="inlineStr">
        <is>
          <t>Live</t>
        </is>
      </c>
    </row>
    <row r="50">
      <c r="A50" s="28" t="n">
        <v>46</v>
      </c>
      <c r="B50" s="22" t="inlineStr">
        <is>
          <t>Projects &amp; delivery</t>
        </is>
      </c>
      <c r="C50" s="22" t="inlineStr">
        <is>
          <t>What moved the margin</t>
        </is>
      </c>
      <c r="D50" s="22" t="inlineStr">
        <is>
          <t>Projects &amp; WBS › All projects › project › Costing &amp; margin (/projects/:id/costing); direct: Projects &amp; WBS › Costing &amp; margin</t>
        </is>
      </c>
      <c r="E50" s="22" t="inlineStr">
        <is>
          <t>Administrator, CEO, CTO</t>
        </is>
      </c>
      <c r="F50" s="22" t="inlineStr">
        <is>
          <t>Feature Guide (G6.06)</t>
        </is>
      </c>
      <c r="G50" s="22" t="inlineStr"/>
      <c r="H50" s="28" t="inlineStr">
        <is>
          <t>Live</t>
        </is>
      </c>
    </row>
    <row r="51">
      <c r="A51" s="28" t="n">
        <v>47</v>
      </c>
      <c r="B51" s="22" t="inlineStr">
        <is>
          <t>Projects &amp; delivery</t>
        </is>
      </c>
      <c r="C51" s="22" t="inlineStr">
        <is>
          <t>Milestone variance</t>
        </is>
      </c>
      <c r="D51" s="22" t="inlineStr">
        <is>
          <t>Projects &amp; WBS › All projects › project › Costing &amp; margin (/projects/:id/costing); direct: Projects &amp; WBS › Costing &amp; margin</t>
        </is>
      </c>
      <c r="E51" s="22" t="inlineStr">
        <is>
          <t>Administrator, CEO, CTO</t>
        </is>
      </c>
      <c r="F51" s="22" t="inlineStr">
        <is>
          <t>Feature Guide (G6.07)</t>
        </is>
      </c>
      <c r="G51" s="22" t="inlineStr"/>
      <c r="H51" s="28" t="inlineStr">
        <is>
          <t>Live</t>
        </is>
      </c>
    </row>
    <row r="52">
      <c r="A52" s="28" t="n">
        <v>48</v>
      </c>
      <c r="B52" s="22" t="inlineStr">
        <is>
          <t>Projects &amp; delivery</t>
        </is>
      </c>
      <c r="C52" s="22" t="inlineStr">
        <is>
          <t>Resources: allocated vs logged</t>
        </is>
      </c>
      <c r="D52" s="22" t="inlineStr">
        <is>
          <t>Projects &amp; WBS › All projects › project › Costing &amp; margin (/projects/:id/costing); direct: Projects &amp; WBS › Costing &amp; margin</t>
        </is>
      </c>
      <c r="E52" s="22" t="inlineStr">
        <is>
          <t>Administrator, CEO, CTO</t>
        </is>
      </c>
      <c r="F52" s="22" t="inlineStr">
        <is>
          <t>Feature Guide (G6.08)</t>
        </is>
      </c>
      <c r="G52" s="22" t="inlineStr"/>
      <c r="H52" s="28" t="inlineStr">
        <is>
          <t>Live</t>
        </is>
      </c>
    </row>
    <row r="53">
      <c r="A53" s="28" t="n">
        <v>49</v>
      </c>
      <c r="B53" s="22" t="inlineStr">
        <is>
          <t>Projects &amp; delivery</t>
        </is>
      </c>
      <c r="C53" s="22" t="inlineStr">
        <is>
          <t>Planned costing summary with editable resources</t>
        </is>
      </c>
      <c r="D53" s="22" t="inlineStr">
        <is>
          <t>Projects &amp; WBS › All projects › project › Costing &amp; margin (/projects/:id/costing); direct: Projects &amp; WBS › Costing &amp; margin</t>
        </is>
      </c>
      <c r="E53" s="22" t="inlineStr">
        <is>
          <t>Administrator, CEO, CTO</t>
        </is>
      </c>
      <c r="F53" s="22" t="inlineStr">
        <is>
          <t>Feature Guide (G6.09)</t>
        </is>
      </c>
      <c r="G53" s="22" t="inlineStr"/>
      <c r="H53" s="28" t="inlineStr">
        <is>
          <t>Live</t>
        </is>
      </c>
    </row>
    <row r="54">
      <c r="A54" s="28" t="n">
        <v>50</v>
      </c>
      <c r="B54" s="22" t="inlineStr">
        <is>
          <t>Projects &amp; delivery</t>
        </is>
      </c>
      <c r="C54" s="22" t="inlineStr">
        <is>
          <t>Margins visible only with margin permission</t>
        </is>
      </c>
      <c r="D54" s="22" t="inlineStr">
        <is>
          <t>Finance › Profit margins; Projects &amp; WBS › All projects › project › Costing &amp; margin (/projects/:id/costing); direct: Projects &amp; WBS › Costing &amp; margin</t>
        </is>
      </c>
      <c r="E54" s="22" t="inlineStr">
        <is>
          <t>Administrator, CEO, CTO</t>
        </is>
      </c>
      <c r="F54" s="22" t="inlineStr">
        <is>
          <t>Feature Guide (G6.11)</t>
        </is>
      </c>
      <c r="G54" s="22" t="inlineStr"/>
      <c r="H54" s="28" t="inlineStr">
        <is>
          <t>Live</t>
        </is>
      </c>
    </row>
    <row r="55">
      <c r="A55" s="28" t="n">
        <v>51</v>
      </c>
      <c r="B55" s="22" t="inlineStr">
        <is>
          <t>Projects &amp; delivery</t>
        </is>
      </c>
      <c r="C55" s="22" t="inlineStr">
        <is>
          <t>Client view report</t>
        </is>
      </c>
      <c r="D55" s="22" t="inlineStr">
        <is>
          <t>Projects &amp; WBS › Client view (/client-view; /projects/:id/client-view)</t>
        </is>
      </c>
      <c r="E55" s="22" t="inlineStr">
        <is>
          <t>Administrator, CEO, CTO, Project Manager, HR Manager</t>
        </is>
      </c>
      <c r="F55" s="22" t="inlineStr">
        <is>
          <t>Feature Guide (G15.06)</t>
        </is>
      </c>
      <c r="G55" s="22" t="inlineStr">
        <is>
          <t>DEL-10</t>
        </is>
      </c>
      <c r="H55" s="28" t="inlineStr">
        <is>
          <t>Live</t>
        </is>
      </c>
    </row>
    <row r="56">
      <c r="A56" s="28" t="n">
        <v>52</v>
      </c>
      <c r="B56" s="22" t="inlineStr">
        <is>
          <t>Projects &amp; delivery</t>
        </is>
      </c>
      <c r="C56" s="22" t="inlineStr">
        <is>
          <t>Project Overview and Activity tabs (status history and audit per project)</t>
        </is>
      </c>
      <c r="D56" s="22" t="inlineStr">
        <is>
          <t>/projects/:id; /projects/:id/activity</t>
        </is>
      </c>
      <c r="E56" s="22" t="inlineStr">
        <is>
          <t>All roles (project team); full: Administrator, CEO, CTO, HR Manager</t>
        </is>
      </c>
      <c r="F56" s="22" t="inlineStr">
        <is>
          <t>Additional (v1 base)</t>
        </is>
      </c>
      <c r="G56" s="22" t="inlineStr">
        <is>
          <t>DEL-07</t>
        </is>
      </c>
      <c r="H56" s="28" t="inlineStr">
        <is>
          <t>Live</t>
        </is>
      </c>
    </row>
    <row r="57">
      <c r="A57" s="28" t="n">
        <v>53</v>
      </c>
      <c r="B57" s="22" t="inlineStr">
        <is>
          <t>Projects &amp; delivery</t>
        </is>
      </c>
      <c r="C57" s="22" t="inlineStr">
        <is>
          <t>Hand a project over to another project manager</t>
        </is>
      </c>
      <c r="D57" s="22" t="inlineStr">
        <is>
          <t>/projects/:id</t>
        </is>
      </c>
      <c r="E57" s="22" t="inlineStr">
        <is>
          <t>Administrator, CEO, CTO</t>
        </is>
      </c>
      <c r="F57" s="22" t="inlineStr">
        <is>
          <t>Additional (v4 access &amp; controls)</t>
        </is>
      </c>
      <c r="G57" s="22" t="inlineStr"/>
      <c r="H57" s="28" t="inlineStr">
        <is>
          <t>Live</t>
        </is>
      </c>
    </row>
    <row r="58">
      <c r="A58" s="28" t="n">
        <v>54</v>
      </c>
      <c r="B58" s="22" t="inlineStr">
        <is>
          <t>Projects &amp; delivery</t>
        </is>
      </c>
      <c r="C58" s="22" t="inlineStr">
        <is>
          <t>Margin-floor warning in the project cost calculator</t>
        </is>
      </c>
      <c r="D58" s="22" t="inlineStr">
        <is>
          <t>/projects → New project; /projects/:id/money</t>
        </is>
      </c>
      <c r="E58" s="22" t="inlineStr">
        <is>
          <t>Administrator, CEO, CTO, Project Manager</t>
        </is>
      </c>
      <c r="F58" s="22" t="inlineStr">
        <is>
          <t>Additional (v5 parity extras)</t>
        </is>
      </c>
      <c r="G58" s="22" t="inlineStr"/>
      <c r="H58" s="28" t="inlineStr">
        <is>
          <t>Live</t>
        </is>
      </c>
    </row>
    <row r="59">
      <c r="A59" s="28" t="n">
        <v>55</v>
      </c>
      <c r="B59" s="22" t="inlineStr">
        <is>
          <t>Projects &amp; delivery</t>
        </is>
      </c>
      <c r="C59" s="22" t="inlineStr">
        <is>
          <t>Milestone billing shorthand (3L / 75K) and 'Edit as rows' in auto milestone setup</t>
        </is>
      </c>
      <c r="D59" s="22" t="inlineStr">
        <is>
          <t>/projects → New project</t>
        </is>
      </c>
      <c r="E59" s="22" t="inlineStr">
        <is>
          <t>Administrator, CEO, CTO, Project Manager</t>
        </is>
      </c>
      <c r="F59" s="22" t="inlineStr">
        <is>
          <t>Additional (v5 parity extras)</t>
        </is>
      </c>
      <c r="G59" s="22" t="inlineStr"/>
      <c r="H59" s="28" t="inlineStr">
        <is>
          <t>Live</t>
        </is>
      </c>
    </row>
    <row r="60">
      <c r="A60" s="28" t="n">
        <v>56</v>
      </c>
      <c r="B60" s="22" t="inlineStr">
        <is>
          <t>Projects &amp; delivery</t>
        </is>
      </c>
      <c r="C60" s="22" t="inlineStr">
        <is>
          <t>Gantt zoom levels</t>
        </is>
      </c>
      <c r="D60" s="22" t="inlineStr">
        <is>
          <t>/projects/:id/schedule</t>
        </is>
      </c>
      <c r="E60" s="22" t="inlineStr">
        <is>
          <t>All roles (project team); full: Administrator, CEO, CTO, HR Manager</t>
        </is>
      </c>
      <c r="F60" s="22" t="inlineStr">
        <is>
          <t>Additional (v5 parity extras)</t>
        </is>
      </c>
      <c r="G60" s="22" t="inlineStr"/>
      <c r="H60" s="28" t="inlineStr">
        <is>
          <t>Live</t>
        </is>
      </c>
    </row>
    <row r="61">
      <c r="A61" s="28" t="n">
        <v>57</v>
      </c>
      <c r="B61" s="22" t="inlineStr">
        <is>
          <t>Projects &amp; delivery</t>
        </is>
      </c>
      <c r="C61" s="22" t="inlineStr">
        <is>
          <t>Staffing openings</t>
        </is>
      </c>
      <c r="D61" s="22" t="inlineStr">
        <is>
          <t>/openings</t>
        </is>
      </c>
      <c r="E61" s="22" t="inlineStr">
        <is>
          <t>Administrator, CEO, CTO, Project Manager, HR Manager, HR Executive</t>
        </is>
      </c>
      <c r="F61" s="22" t="inlineStr">
        <is>
          <t>Additional (v1 base)</t>
        </is>
      </c>
      <c r="G61" s="22" t="inlineStr">
        <is>
          <t>HR-01</t>
        </is>
      </c>
      <c r="H61" s="28" t="inlineStr">
        <is>
          <t>Live</t>
        </is>
      </c>
    </row>
    <row r="62">
      <c r="A62" s="28" t="n">
        <v>58</v>
      </c>
      <c r="B62" s="22" t="inlineStr">
        <is>
          <t>Projects &amp; delivery</t>
        </is>
      </c>
      <c r="C62" s="22" t="inlineStr">
        <is>
          <t>Project areas without opening a project: Milestones &amp; billing, WBS, Schedule, Change requests, Resource allocation, Costing &amp; margin, Project documents, Client view, Import WBS</t>
        </is>
      </c>
      <c r="D62" s="22" t="inlineStr">
        <is>
          <t>/delivery/*</t>
        </is>
      </c>
      <c r="E62" s="22" t="inlineStr">
        <is>
          <t>Everyone (own data)</t>
        </is>
      </c>
      <c r="F62" s="22" t="inlineStr">
        <is>
          <t>Additional (v7 workflows, documents &amp; invoicing)</t>
        </is>
      </c>
      <c r="G62" s="22" t="inlineStr"/>
      <c r="H62" s="28" t="inlineStr">
        <is>
          <t>Live</t>
        </is>
      </c>
    </row>
    <row r="63">
      <c r="A63" s="28" t="n">
        <v>59</v>
      </c>
      <c r="B63" s="22" t="inlineStr">
        <is>
          <t>Projects &amp; delivery</t>
        </is>
      </c>
      <c r="C63" s="22" t="inlineStr">
        <is>
          <t>Standalone project cost calculator for prospective projects (saved estimates, roles with assumed CTC, scenarios, compare)</t>
        </is>
      </c>
      <c r="D63" s="22" t="inlineStr">
        <is>
          <t>/projects/cost-calculator</t>
        </is>
      </c>
      <c r="E63" s="22" t="inlineStr">
        <is>
          <t>Administrator, CEO, CTO, Project Manager, Sales Manager</t>
        </is>
      </c>
      <c r="F63" s="22" t="inlineStr">
        <is>
          <t>Additional (v7 workflows, documents &amp; invoicing)</t>
        </is>
      </c>
      <c r="G63" s="22" t="inlineStr"/>
      <c r="H63" s="28" t="inlineStr">
        <is>
          <t>Live</t>
        </is>
      </c>
    </row>
    <row r="64">
      <c r="A64" s="28" t="n">
        <v>60</v>
      </c>
      <c r="B64" s="22" t="inlineStr">
        <is>
          <t>Projects &amp; delivery</t>
        </is>
      </c>
      <c r="C64" s="22" t="inlineStr">
        <is>
          <t>Estimate PDFs (internal costing, client quote) and Convert to project</t>
        </is>
      </c>
      <c r="D64" s="22" t="inlineStr">
        <is>
          <t>/projects/cost-calculator/:id</t>
        </is>
      </c>
      <c r="E64" s="22" t="inlineStr">
        <is>
          <t>Administrator, CEO, CTO, Project Manager, Sales Manager</t>
        </is>
      </c>
      <c r="F64" s="22" t="inlineStr">
        <is>
          <t>Additional (v7 workflows, documents &amp; invoicing)</t>
        </is>
      </c>
      <c r="G64" s="22" t="inlineStr"/>
      <c r="H64" s="28" t="inlineStr">
        <is>
          <t>Live</t>
        </is>
      </c>
    </row>
    <row r="65">
      <c r="A65" s="28" t="n">
        <v>61</v>
      </c>
      <c r="B65" s="22" t="inlineStr">
        <is>
          <t>Tasks</t>
        </is>
      </c>
      <c r="C65" s="22" t="inlineStr">
        <is>
          <t>All tasks with filters</t>
        </is>
      </c>
      <c r="D65" s="22" t="inlineStr">
        <is>
          <t>Tasks › All tasks (/tasks)</t>
        </is>
      </c>
      <c r="E65" s="22" t="inlineStr">
        <is>
          <t>Everyone (own data)</t>
        </is>
      </c>
      <c r="F65" s="22" t="inlineStr">
        <is>
          <t>Feature Guide (G7.01)</t>
        </is>
      </c>
      <c r="G65" s="22" t="inlineStr"/>
      <c r="H65" s="28" t="inlineStr">
        <is>
          <t>Live</t>
        </is>
      </c>
    </row>
    <row r="66">
      <c r="A66" s="28" t="n">
        <v>62</v>
      </c>
      <c r="B66" s="22" t="inlineStr">
        <is>
          <t>Tasks</t>
        </is>
      </c>
      <c r="C66" s="22" t="inlineStr">
        <is>
          <t>Owner + backup; Covering on leave days</t>
        </is>
      </c>
      <c r="D66" s="22" t="inlineStr">
        <is>
          <t>Tasks › All tasks (/tasks; task page /tasks/:id)</t>
        </is>
      </c>
      <c r="E66" s="22" t="inlineStr">
        <is>
          <t>Edit: Administrator, CEO, CTO, Project Manager; view: task owner / backup</t>
        </is>
      </c>
      <c r="F66" s="22" t="inlineStr">
        <is>
          <t>Feature Guide (G7.02)</t>
        </is>
      </c>
      <c r="G66" s="22" t="inlineStr">
        <is>
          <t>TSK-02</t>
        </is>
      </c>
      <c r="H66" s="28" t="inlineStr">
        <is>
          <t>Live</t>
        </is>
      </c>
    </row>
    <row r="67">
      <c r="A67" s="28" t="n">
        <v>63</v>
      </c>
      <c r="B67" s="22" t="inlineStr">
        <is>
          <t>Tasks</t>
        </is>
      </c>
      <c r="C67" s="22" t="inlineStr">
        <is>
          <t>Estimate, dates and complexity</t>
        </is>
      </c>
      <c r="D67" s="22" t="inlineStr">
        <is>
          <t>Tasks › All tasks (/tasks; task page /tasks/:id)</t>
        </is>
      </c>
      <c r="E67" s="22" t="inlineStr">
        <is>
          <t>Edit: Administrator, CEO, CTO, Project Manager; view: task owner / backup</t>
        </is>
      </c>
      <c r="F67" s="22" t="inlineStr">
        <is>
          <t>Feature Guide (G7.03)</t>
        </is>
      </c>
      <c r="G67" s="22" t="inlineStr"/>
      <c r="H67" s="28" t="inlineStr">
        <is>
          <t>Live</t>
        </is>
      </c>
    </row>
    <row r="68">
      <c r="A68" s="28" t="n">
        <v>64</v>
      </c>
      <c r="B68" s="22" t="inlineStr">
        <is>
          <t>Tasks</t>
        </is>
      </c>
      <c r="C68" s="22" t="inlineStr">
        <is>
          <t>Ten task stages with progress %</t>
        </is>
      </c>
      <c r="D68" s="22" t="inlineStr">
        <is>
          <t>Tasks › All tasks (/tasks; task page /tasks/:id)</t>
        </is>
      </c>
      <c r="E68" s="22" t="inlineStr">
        <is>
          <t>Edit: Administrator, CEO, CTO, Project Manager; view: task owner / backup</t>
        </is>
      </c>
      <c r="F68" s="22" t="inlineStr">
        <is>
          <t>Feature Guide (G7.04)</t>
        </is>
      </c>
      <c r="G68" s="22" t="inlineStr"/>
      <c r="H68" s="28" t="inlineStr">
        <is>
          <t>Live</t>
        </is>
      </c>
    </row>
    <row r="69">
      <c r="A69" s="28" t="n">
        <v>65</v>
      </c>
      <c r="B69" s="22" t="inlineStr">
        <is>
          <t>Tasks</t>
        </is>
      </c>
      <c r="C69" s="22" t="inlineStr">
        <is>
          <t>Task dependencies block start</t>
        </is>
      </c>
      <c r="D69" s="22" t="inlineStr">
        <is>
          <t>Tasks › All tasks (/tasks; task page /tasks/:id)</t>
        </is>
      </c>
      <c r="E69" s="22" t="inlineStr">
        <is>
          <t>Edit: Administrator, CEO, CTO, Project Manager; view: task owner / backup</t>
        </is>
      </c>
      <c r="F69" s="22" t="inlineStr">
        <is>
          <t>Feature Guide (G7.05)</t>
        </is>
      </c>
      <c r="G69" s="22" t="inlineStr"/>
      <c r="H69" s="28" t="inlineStr">
        <is>
          <t>Live</t>
        </is>
      </c>
    </row>
    <row r="70">
      <c r="A70" s="28" t="n">
        <v>66</v>
      </c>
      <c r="B70" s="22" t="inlineStr">
        <is>
          <t>Tasks</t>
        </is>
      </c>
      <c r="C70" s="22" t="inlineStr">
        <is>
          <t>Comment threads with @mentions</t>
        </is>
      </c>
      <c r="D70" s="22" t="inlineStr">
        <is>
          <t>Tasks › All tasks (/tasks; task page /tasks/:id) › Thread; Dashboard › Employee (Tagged you)</t>
        </is>
      </c>
      <c r="E70" s="22" t="inlineStr">
        <is>
          <t>Edit: Administrator, CEO, CTO, Project Manager; view: task owner / backup</t>
        </is>
      </c>
      <c r="F70" s="22" t="inlineStr">
        <is>
          <t>Feature Guide (G7.06)</t>
        </is>
      </c>
      <c r="G70" s="22" t="inlineStr">
        <is>
          <t>TSK-03</t>
        </is>
      </c>
      <c r="H70" s="28" t="inlineStr">
        <is>
          <t>Live</t>
        </is>
      </c>
    </row>
    <row r="71">
      <c r="A71" s="28" t="n">
        <v>67</v>
      </c>
      <c r="B71" s="22" t="inlineStr">
        <is>
          <t>Tasks</t>
        </is>
      </c>
      <c r="C71" s="22" t="inlineStr">
        <is>
          <t>Task kind tags (e.g. Bug)</t>
        </is>
      </c>
      <c r="D71" s="22" t="inlineStr">
        <is>
          <t>Tasks › All tasks (/tasks; task page /tasks/:id)</t>
        </is>
      </c>
      <c r="E71" s="22" t="inlineStr">
        <is>
          <t>Edit: Administrator, CEO, CTO, Project Manager; view: task owner / backup</t>
        </is>
      </c>
      <c r="F71" s="22" t="inlineStr">
        <is>
          <t>Feature Guide (G7.07)</t>
        </is>
      </c>
      <c r="G71" s="22" t="inlineStr"/>
      <c r="H71" s="28" t="inlineStr">
        <is>
          <t>Live</t>
        </is>
      </c>
    </row>
    <row r="72">
      <c r="A72" s="28" t="n">
        <v>68</v>
      </c>
      <c r="B72" s="22" t="inlineStr">
        <is>
          <t>Tasks</t>
        </is>
      </c>
      <c r="C72" s="22" t="inlineStr">
        <is>
          <t>My tasks page</t>
        </is>
      </c>
      <c r="D72" s="22" t="inlineStr">
        <is>
          <t>/my-tasks</t>
        </is>
      </c>
      <c r="E72" s="22" t="inlineStr">
        <is>
          <t>Everyone (own data)</t>
        </is>
      </c>
      <c r="F72" s="22" t="inlineStr">
        <is>
          <t>Additional (v1 base)</t>
        </is>
      </c>
      <c r="G72" s="22" t="inlineStr">
        <is>
          <t>TSK-02</t>
        </is>
      </c>
      <c r="H72" s="28" t="inlineStr">
        <is>
          <t>Live</t>
        </is>
      </c>
    </row>
    <row r="73">
      <c r="A73" s="28" t="n">
        <v>69</v>
      </c>
      <c r="B73" s="22" t="inlineStr">
        <is>
          <t>Tasks</t>
        </is>
      </c>
      <c r="C73" s="22" t="inlineStr">
        <is>
          <t>Manager assigns general tasks to reports (General &amp; admin project)</t>
        </is>
      </c>
      <c r="D73" s="22" t="inlineStr">
        <is>
          <t>/team-tasks?tab=assign</t>
        </is>
      </c>
      <c r="E73" s="22" t="inlineStr">
        <is>
          <t>Administrator, CEO, CTO, Project Manager, HR Manager, Sales Manager</t>
        </is>
      </c>
      <c r="F73" s="22" t="inlineStr">
        <is>
          <t>Additional (v3 business processes)</t>
        </is>
      </c>
      <c r="G73" s="22" t="inlineStr">
        <is>
          <t>TSK-01</t>
        </is>
      </c>
      <c r="H73" s="28" t="inlineStr">
        <is>
          <t>Live</t>
        </is>
      </c>
    </row>
    <row r="74">
      <c r="A74" s="28" t="n">
        <v>70</v>
      </c>
      <c r="B74" s="22" t="inlineStr">
        <is>
          <t>Tasks</t>
        </is>
      </c>
      <c r="C74" s="22" t="inlineStr">
        <is>
          <t>Submit task for review with note and proof link</t>
        </is>
      </c>
      <c r="D74" s="22" t="inlineStr">
        <is>
          <t>Task drawer → Submit for review</t>
        </is>
      </c>
      <c r="E74" s="22" t="inlineStr">
        <is>
          <t>Everyone (own data)</t>
        </is>
      </c>
      <c r="F74" s="22" t="inlineStr">
        <is>
          <t>Additional (v3 business processes)</t>
        </is>
      </c>
      <c r="G74" s="22" t="inlineStr">
        <is>
          <t>TSK-04</t>
        </is>
      </c>
      <c r="H74" s="28" t="inlineStr">
        <is>
          <t>Live</t>
        </is>
      </c>
    </row>
    <row r="75">
      <c r="A75" s="28" t="n">
        <v>71</v>
      </c>
      <c r="B75" s="22" t="inlineStr">
        <is>
          <t>Tasks</t>
        </is>
      </c>
      <c r="C75" s="22" t="inlineStr">
        <is>
          <t>Delay reason captured when a task is late</t>
        </is>
      </c>
      <c r="D75" s="22" t="inlineStr">
        <is>
          <t>Task drawer → Submit for review</t>
        </is>
      </c>
      <c r="E75" s="22" t="inlineStr">
        <is>
          <t>Everyone (own data)</t>
        </is>
      </c>
      <c r="F75" s="22" t="inlineStr">
        <is>
          <t>Additional (v3 business processes)</t>
        </is>
      </c>
      <c r="G75" s="22" t="inlineStr">
        <is>
          <t>TSK-05</t>
        </is>
      </c>
      <c r="H75" s="28" t="inlineStr">
        <is>
          <t>Live</t>
        </is>
      </c>
    </row>
    <row r="76">
      <c r="A76" s="28" t="n">
        <v>72</v>
      </c>
      <c r="B76" s="22" t="inlineStr">
        <is>
          <t>Tasks</t>
        </is>
      </c>
      <c r="C76" s="22" t="inlineStr">
        <is>
          <t>Approve task with quality rating (1–5)</t>
        </is>
      </c>
      <c r="D76" s="22" t="inlineStr">
        <is>
          <t>/inbox; /team-tasks?tab=review; task drawer</t>
        </is>
      </c>
      <c r="E76" s="22" t="inlineStr">
        <is>
          <t>Administrator, CEO, CTO, Project Manager, HR Manager, Sales Manager</t>
        </is>
      </c>
      <c r="F76" s="22" t="inlineStr">
        <is>
          <t>Additional (v3 business processes)</t>
        </is>
      </c>
      <c r="G76" s="22" t="inlineStr">
        <is>
          <t>TSK-06</t>
        </is>
      </c>
      <c r="H76" s="28" t="inlineStr">
        <is>
          <t>Live</t>
        </is>
      </c>
    </row>
    <row r="77">
      <c r="A77" s="28" t="n">
        <v>73</v>
      </c>
      <c r="B77" s="22" t="inlineStr">
        <is>
          <t>Tasks</t>
        </is>
      </c>
      <c r="C77" s="22" t="inlineStr">
        <is>
          <t>Send back with reason (review rounds)</t>
        </is>
      </c>
      <c r="D77" s="22" t="inlineStr">
        <is>
          <t>/inbox; task drawer</t>
        </is>
      </c>
      <c r="E77" s="22" t="inlineStr">
        <is>
          <t>Administrator, CEO, CTO, Project Manager, HR Manager, Sales Manager</t>
        </is>
      </c>
      <c r="F77" s="22" t="inlineStr">
        <is>
          <t>Additional (v3 business processes)</t>
        </is>
      </c>
      <c r="G77" s="22" t="inlineStr">
        <is>
          <t>TSK-07</t>
        </is>
      </c>
      <c r="H77" s="28" t="inlineStr">
        <is>
          <t>Live</t>
        </is>
      </c>
    </row>
    <row r="78">
      <c r="A78" s="28" t="n">
        <v>74</v>
      </c>
      <c r="B78" s="22" t="inlineStr">
        <is>
          <t>Tasks</t>
        </is>
      </c>
      <c r="C78" s="22" t="inlineStr">
        <is>
          <t>Reschedule a task with reason (target revisions)</t>
        </is>
      </c>
      <c r="D78" s="22" t="inlineStr">
        <is>
          <t>Task drawer</t>
        </is>
      </c>
      <c r="E78" s="22" t="inlineStr">
        <is>
          <t>Administrator, CEO, CTO, Project Manager</t>
        </is>
      </c>
      <c r="F78" s="22" t="inlineStr">
        <is>
          <t>Additional (v3 business processes)</t>
        </is>
      </c>
      <c r="G78" s="22" t="inlineStr">
        <is>
          <t>TSK-08</t>
        </is>
      </c>
      <c r="H78" s="28" t="inlineStr">
        <is>
          <t>Live</t>
        </is>
      </c>
    </row>
    <row r="79">
      <c r="A79" s="28" t="n">
        <v>75</v>
      </c>
      <c r="B79" s="22" t="inlineStr">
        <is>
          <t>Tasks</t>
        </is>
      </c>
      <c r="C79" s="22" t="inlineStr">
        <is>
          <t>Timeliness: early / on time / late in working days</t>
        </is>
      </c>
      <c r="D79" s="22" t="inlineStr">
        <is>
          <t>Computed (task lists, performance, appraisals)</t>
        </is>
      </c>
      <c r="E79" s="22" t="inlineStr">
        <is>
          <t>Everyone (own data)</t>
        </is>
      </c>
      <c r="F79" s="22" t="inlineStr">
        <is>
          <t>Additional (v3 business processes)</t>
        </is>
      </c>
      <c r="G79" s="22" t="inlineStr">
        <is>
          <t>TSK-09</t>
        </is>
      </c>
      <c r="H79" s="28" t="inlineStr">
        <is>
          <t>Live</t>
        </is>
      </c>
    </row>
    <row r="80">
      <c r="A80" s="28" t="n">
        <v>76</v>
      </c>
      <c r="B80" s="22" t="inlineStr">
        <is>
          <t>Tasks</t>
        </is>
      </c>
      <c r="C80" s="22" t="inlineStr">
        <is>
          <t>Team task monitoring and review queue</t>
        </is>
      </c>
      <c r="D80" s="22" t="inlineStr">
        <is>
          <t>/team-tasks?tab=team; /team-tasks?tab=review</t>
        </is>
      </c>
      <c r="E80" s="22" t="inlineStr">
        <is>
          <t>Administrator, CEO, CTO, Project Manager, HR Manager, Sales Manager</t>
        </is>
      </c>
      <c r="F80" s="22" t="inlineStr">
        <is>
          <t>Additional (v3 business processes)</t>
        </is>
      </c>
      <c r="G80" s="22" t="inlineStr">
        <is>
          <t>TSK-10</t>
        </is>
      </c>
      <c r="H80" s="28" t="inlineStr">
        <is>
          <t>Live</t>
        </is>
      </c>
    </row>
    <row r="81">
      <c r="A81" s="28" t="n">
        <v>77</v>
      </c>
      <c r="B81" s="22" t="inlineStr">
        <is>
          <t>Tasks</t>
        </is>
      </c>
      <c r="C81" s="22" t="inlineStr">
        <is>
          <t>Team and company delivery performance (by person / project)</t>
        </is>
      </c>
      <c r="D81" s="22" t="inlineStr">
        <is>
          <t>/team-tasks?tab=performance; /home</t>
        </is>
      </c>
      <c r="E81" s="22" t="inlineStr">
        <is>
          <t>Administrator, CEO, CTO, Project Manager, HR Manager</t>
        </is>
      </c>
      <c r="F81" s="22" t="inlineStr">
        <is>
          <t>Additional (v3 business processes)</t>
        </is>
      </c>
      <c r="G81" s="22" t="inlineStr">
        <is>
          <t>TSK-11</t>
        </is>
      </c>
      <c r="H81" s="28" t="inlineStr">
        <is>
          <t>Live</t>
        </is>
      </c>
    </row>
    <row r="82">
      <c r="A82" s="28" t="n">
        <v>78</v>
      </c>
      <c r="B82" s="22" t="inlineStr">
        <is>
          <t>Tasks</t>
        </is>
      </c>
      <c r="C82" s="22" t="inlineStr">
        <is>
          <t>Extra task tags: Feature, Improvement, Documentation, Support, Meeting</t>
        </is>
      </c>
      <c r="D82" s="22" t="inlineStr">
        <is>
          <t>Task drawer; /tasks filter</t>
        </is>
      </c>
      <c r="E82" s="22" t="inlineStr">
        <is>
          <t>Administrator, CEO, CTO, Project Manager</t>
        </is>
      </c>
      <c r="F82" s="22" t="inlineStr">
        <is>
          <t>Additional (v5 parity extras)</t>
        </is>
      </c>
      <c r="G82" s="22" t="inlineStr"/>
      <c r="H82" s="28" t="inlineStr">
        <is>
          <t>Live</t>
        </is>
      </c>
    </row>
    <row r="83">
      <c r="A83" s="28" t="n">
        <v>79</v>
      </c>
      <c r="B83" s="22" t="inlineStr">
        <is>
          <t>Tasks</t>
        </is>
      </c>
      <c r="C83" s="22" t="inlineStr">
        <is>
          <t>Task visibility: employees see own/covering/reviewer tasks; managers, HR, admins and CXOs see all with employee filter and By-employee view</t>
        </is>
      </c>
      <c r="D83" s="22" t="inlineStr">
        <is>
          <t>/tasks</t>
        </is>
      </c>
      <c r="E83" s="22" t="inlineStr">
        <is>
          <t>Administrator, CEO, CTO, Project Manager, HR Manager, HR Executive, Sales Manager</t>
        </is>
      </c>
      <c r="F83" s="22" t="inlineStr">
        <is>
          <t>Additional (v7 workflows, documents &amp; invoicing)</t>
        </is>
      </c>
      <c r="G83" s="22" t="inlineStr"/>
      <c r="H83" s="28" t="inlineStr">
        <is>
          <t>Live</t>
        </is>
      </c>
    </row>
    <row r="84">
      <c r="A84" s="28" t="n">
        <v>80</v>
      </c>
      <c r="B84" s="22" t="inlineStr">
        <is>
          <t>Tasks</t>
        </is>
      </c>
      <c r="C84" s="22" t="inlineStr">
        <is>
          <t>Create task everywhere with full fields (reviewer, concerned manager, project, milestone, start/end, priority, depends on, watchers, acceptance criteria, attachments, recurrence)</t>
        </is>
      </c>
      <c r="D84" s="22" t="inlineStr">
        <is>
          <t>/tasks/new; Tasks; My tasks; Team tasks; WBS; dashboards</t>
        </is>
      </c>
      <c r="E84" s="22" t="inlineStr">
        <is>
          <t>Everyone (own data)</t>
        </is>
      </c>
      <c r="F84" s="22" t="inlineStr">
        <is>
          <t>Additional (v7 workflows, documents &amp; invoicing)</t>
        </is>
      </c>
      <c r="G84" s="22" t="inlineStr"/>
      <c r="H84" s="28" t="inlineStr">
        <is>
          <t>Live</t>
        </is>
      </c>
    </row>
    <row r="85">
      <c r="A85" s="28" t="n">
        <v>81</v>
      </c>
      <c r="B85" s="22" t="inlineStr">
        <is>
          <t>Time &amp; attendance</t>
        </is>
      </c>
      <c r="C85" s="22" t="inlineStr">
        <is>
          <t>Weekly timesheet Mon–Sat for header week</t>
        </is>
      </c>
      <c r="D85" s="22" t="inlineStr">
        <is>
          <t>My work › Timesheet &amp; log (/timesheet)</t>
        </is>
      </c>
      <c r="E85" s="22" t="inlineStr">
        <is>
          <t>Everyone (own data)</t>
        </is>
      </c>
      <c r="F85" s="22" t="inlineStr">
        <is>
          <t>Feature Guide (G8.01)</t>
        </is>
      </c>
      <c r="G85" s="22" t="inlineStr">
        <is>
          <t>TIM-01</t>
        </is>
      </c>
      <c r="H85" s="28" t="inlineStr">
        <is>
          <t>Live</t>
        </is>
      </c>
    </row>
    <row r="86">
      <c r="A86" s="28" t="n">
        <v>82</v>
      </c>
      <c r="B86" s="22" t="inlineStr">
        <is>
          <t>Time &amp; attendance</t>
        </is>
      </c>
      <c r="C86" s="22" t="inlineStr">
        <is>
          <t>Tasks / Activities rows, always one empty row</t>
        </is>
      </c>
      <c r="D86" s="22" t="inlineStr">
        <is>
          <t>My work › Timesheet &amp; log (/timesheet)</t>
        </is>
      </c>
      <c r="E86" s="22" t="inlineStr">
        <is>
          <t>Everyone (own data)</t>
        </is>
      </c>
      <c r="F86" s="22" t="inlineStr">
        <is>
          <t>Feature Guide (G8.02)</t>
        </is>
      </c>
      <c r="G86" s="22" t="inlineStr"/>
      <c r="H86" s="28" t="inlineStr">
        <is>
          <t>Live</t>
        </is>
      </c>
    </row>
    <row r="87">
      <c r="A87" s="28" t="n">
        <v>83</v>
      </c>
      <c r="B87" s="22" t="inlineStr">
        <is>
          <t>Time &amp; attendance</t>
        </is>
      </c>
      <c r="C87" s="22" t="inlineStr">
        <is>
          <t>Day totals vs 9h minimum; week summary</t>
        </is>
      </c>
      <c r="D87" s="22" t="inlineStr">
        <is>
          <t>My work › Timesheet &amp; log (/timesheet)</t>
        </is>
      </c>
      <c r="E87" s="22" t="inlineStr">
        <is>
          <t>Everyone (own data)</t>
        </is>
      </c>
      <c r="F87" s="22" t="inlineStr">
        <is>
          <t>Feature Guide (G8.03)</t>
        </is>
      </c>
      <c r="G87" s="22" t="inlineStr"/>
      <c r="H87" s="28" t="inlineStr">
        <is>
          <t>Live</t>
        </is>
      </c>
    </row>
    <row r="88">
      <c r="A88" s="28" t="n">
        <v>84</v>
      </c>
      <c r="B88" s="22" t="inlineStr">
        <is>
          <t>Time &amp; attendance</t>
        </is>
      </c>
      <c r="C88" s="22" t="inlineStr">
        <is>
          <t>Quick rows: leave, lunch/tea/stand-up, copy last week</t>
        </is>
      </c>
      <c r="D88" s="22" t="inlineStr">
        <is>
          <t>My work › Timesheet &amp; log (/timesheet)</t>
        </is>
      </c>
      <c r="E88" s="22" t="inlineStr">
        <is>
          <t>Everyone (own data)</t>
        </is>
      </c>
      <c r="F88" s="22" t="inlineStr">
        <is>
          <t>Feature Guide (G8.04)</t>
        </is>
      </c>
      <c r="G88" s="22" t="inlineStr"/>
      <c r="H88" s="28" t="inlineStr">
        <is>
          <t>Live</t>
        </is>
      </c>
    </row>
    <row r="89">
      <c r="A89" s="28" t="n">
        <v>85</v>
      </c>
      <c r="B89" s="22" t="inlineStr">
        <is>
          <t>Time &amp; attendance</t>
        </is>
      </c>
      <c r="C89" s="22" t="inlineStr">
        <is>
          <t>Save draft; submit for approval</t>
        </is>
      </c>
      <c r="D89" s="22" t="inlineStr">
        <is>
          <t>My work › Timesheet &amp; log (/timesheet)</t>
        </is>
      </c>
      <c r="E89" s="22" t="inlineStr">
        <is>
          <t>Everyone (own data)</t>
        </is>
      </c>
      <c r="F89" s="22" t="inlineStr">
        <is>
          <t>Feature Guide (G8.05)</t>
        </is>
      </c>
      <c r="G89" s="22" t="inlineStr">
        <is>
          <t>TIM-02</t>
        </is>
      </c>
      <c r="H89" s="28" t="inlineStr">
        <is>
          <t>Live</t>
        </is>
      </c>
    </row>
    <row r="90">
      <c r="A90" s="28" t="n">
        <v>86</v>
      </c>
      <c r="B90" s="22" t="inlineStr">
        <is>
          <t>Time &amp; attendance</t>
        </is>
      </c>
      <c r="C90" s="22" t="inlineStr">
        <is>
          <t>Weekly lock and unlock request</t>
        </is>
      </c>
      <c r="D90" s="22" t="inlineStr">
        <is>
          <t>My work › Timesheet &amp; log (/timesheet)</t>
        </is>
      </c>
      <c r="E90" s="22" t="inlineStr">
        <is>
          <t>Everyone (own week); unlock: managers / CEO via approvals</t>
        </is>
      </c>
      <c r="F90" s="22" t="inlineStr">
        <is>
          <t>Feature Guide (G8.06)</t>
        </is>
      </c>
      <c r="G90" s="22" t="inlineStr">
        <is>
          <t>TIM-04</t>
        </is>
      </c>
      <c r="H90" s="28" t="inlineStr">
        <is>
          <t>Live</t>
        </is>
      </c>
    </row>
    <row r="91">
      <c r="A91" s="28" t="n">
        <v>87</v>
      </c>
      <c r="B91" s="22" t="inlineStr">
        <is>
          <t>Time &amp; attendance</t>
        </is>
      </c>
      <c r="C91" s="22" t="inlineStr">
        <is>
          <t>Task hours become actual hours and cost</t>
        </is>
      </c>
      <c r="D91" s="22" t="inlineStr">
        <is>
          <t>My work › Timesheet &amp; log (/timesheet)</t>
        </is>
      </c>
      <c r="E91" s="22" t="inlineStr">
        <is>
          <t>Everyone (own data)</t>
        </is>
      </c>
      <c r="F91" s="22" t="inlineStr">
        <is>
          <t>Feature Guide (G8.07)</t>
        </is>
      </c>
      <c r="G91" s="22" t="inlineStr"/>
      <c r="H91" s="28" t="inlineStr">
        <is>
          <t>Live</t>
        </is>
      </c>
    </row>
    <row r="92">
      <c r="A92" s="28" t="n">
        <v>88</v>
      </c>
      <c r="B92" s="22" t="inlineStr">
        <is>
          <t>Time &amp; attendance</t>
        </is>
      </c>
      <c r="C92" s="22" t="inlineStr">
        <is>
          <t>End-of-day update with proof link</t>
        </is>
      </c>
      <c r="D92" s="22" t="inlineStr">
        <is>
          <t>My work › Timesheet &amp; log (/timesheet) › End-of-day update</t>
        </is>
      </c>
      <c r="E92" s="22" t="inlineStr">
        <is>
          <t>Everyone (own data)</t>
        </is>
      </c>
      <c r="F92" s="22" t="inlineStr">
        <is>
          <t>Feature Guide (G8.08)</t>
        </is>
      </c>
      <c r="G92" s="22" t="inlineStr">
        <is>
          <t>TIM-05</t>
        </is>
      </c>
      <c r="H92" s="28" t="inlineStr">
        <is>
          <t>Live</t>
        </is>
      </c>
    </row>
    <row r="93">
      <c r="A93" s="28" t="n">
        <v>89</v>
      </c>
      <c r="B93" s="22" t="inlineStr">
        <is>
          <t>Time &amp; attendance</t>
        </is>
      </c>
      <c r="C93" s="22" t="inlineStr">
        <is>
          <t>Friday demo</t>
        </is>
      </c>
      <c r="D93" s="22" t="inlineStr">
        <is>
          <t>My work › Timesheet &amp; log (/timesheet) › Friday demo</t>
        </is>
      </c>
      <c r="E93" s="22" t="inlineStr">
        <is>
          <t>Everyone (own data)</t>
        </is>
      </c>
      <c r="F93" s="22" t="inlineStr">
        <is>
          <t>Feature Guide (G8.09)</t>
        </is>
      </c>
      <c r="G93" s="22" t="inlineStr"/>
      <c r="H93" s="28" t="inlineStr">
        <is>
          <t>Live</t>
        </is>
      </c>
    </row>
    <row r="94">
      <c r="A94" s="28" t="n">
        <v>90</v>
      </c>
      <c r="B94" s="22" t="inlineStr">
        <is>
          <t>Time &amp; attendance</t>
        </is>
      </c>
      <c r="C94" s="22" t="inlineStr">
        <is>
          <t>Leave recording and leave taken this FY</t>
        </is>
      </c>
      <c r="D94" s="22" t="inlineStr">
        <is>
          <t>Admin › Team &amp; settings › Leave (/leave?tab=hr)</t>
        </is>
      </c>
      <c r="E94" s="22" t="inlineStr">
        <is>
          <t>Administrator, CEO, HR Manager, HR Executive</t>
        </is>
      </c>
      <c r="F94" s="22" t="inlineStr">
        <is>
          <t>Feature Guide (G16.04)</t>
        </is>
      </c>
      <c r="G94" s="22" t="inlineStr">
        <is>
          <t>TIM-09</t>
        </is>
      </c>
      <c r="H94" s="28" t="inlineStr">
        <is>
          <t>Live</t>
        </is>
      </c>
    </row>
    <row r="95">
      <c r="A95" s="28" t="n">
        <v>91</v>
      </c>
      <c r="B95" s="22" t="inlineStr">
        <is>
          <t>Time &amp; attendance</t>
        </is>
      </c>
      <c r="C95" s="22" t="inlineStr">
        <is>
          <t>Apply for leave (employee self-service)</t>
        </is>
      </c>
      <c r="D95" s="22" t="inlineStr">
        <is>
          <t>/leave</t>
        </is>
      </c>
      <c r="E95" s="22" t="inlineStr">
        <is>
          <t>Everyone (own data)</t>
        </is>
      </c>
      <c r="F95" s="22" t="inlineStr">
        <is>
          <t>Additional (v3 business processes)</t>
        </is>
      </c>
      <c r="G95" s="22" t="inlineStr">
        <is>
          <t>TIM-06</t>
        </is>
      </c>
      <c r="H95" s="28" t="inlineStr">
        <is>
          <t>Live</t>
        </is>
      </c>
    </row>
    <row r="96">
      <c r="A96" s="28" t="n">
        <v>92</v>
      </c>
      <c r="B96" s="22" t="inlineStr">
        <is>
          <t>Time &amp; attendance</t>
        </is>
      </c>
      <c r="C96" s="22" t="inlineStr">
        <is>
          <t>Approve, reject or cancel leave</t>
        </is>
      </c>
      <c r="D96" s="22" t="inlineStr">
        <is>
          <t>/leave; /inbox</t>
        </is>
      </c>
      <c r="E96" s="22" t="inlineStr">
        <is>
          <t>Administrator, CEO, CTO, Project Manager, HR Manager, Sales Manager</t>
        </is>
      </c>
      <c r="F96" s="22" t="inlineStr">
        <is>
          <t>Additional (v3 business processes)</t>
        </is>
      </c>
      <c r="G96" s="22" t="inlineStr">
        <is>
          <t>TIM-07</t>
        </is>
      </c>
      <c r="H96" s="28" t="inlineStr">
        <is>
          <t>Live</t>
        </is>
      </c>
    </row>
    <row r="97">
      <c r="A97" s="28" t="n">
        <v>93</v>
      </c>
      <c r="B97" s="22" t="inlineStr">
        <is>
          <t>Time &amp; attendance</t>
        </is>
      </c>
      <c r="C97" s="22" t="inlineStr">
        <is>
          <t>Leave policy and balances</t>
        </is>
      </c>
      <c r="D97" s="22" t="inlineStr">
        <is>
          <t>/leave (Policy)</t>
        </is>
      </c>
      <c r="E97" s="22" t="inlineStr">
        <is>
          <t>Administrator, CEO, HR Manager</t>
        </is>
      </c>
      <c r="F97" s="22" t="inlineStr">
        <is>
          <t>Additional (v3 business processes)</t>
        </is>
      </c>
      <c r="G97" s="22" t="inlineStr">
        <is>
          <t>TIM-08</t>
        </is>
      </c>
      <c r="H97" s="28" t="inlineStr">
        <is>
          <t>Live</t>
        </is>
      </c>
    </row>
    <row r="98">
      <c r="A98" s="28" t="n">
        <v>94</v>
      </c>
      <c r="B98" s="22" t="inlineStr">
        <is>
          <t>Time &amp; attendance</t>
        </is>
      </c>
      <c r="C98" s="22" t="inlineStr">
        <is>
          <t>Team page: workload, timesheets and availability of reports</t>
        </is>
      </c>
      <c r="D98" s="22" t="inlineStr">
        <is>
          <t>/team</t>
        </is>
      </c>
      <c r="E98" s="22" t="inlineStr">
        <is>
          <t>Administrator, CEO, CTO, Project Manager, HR Manager, Sales Manager</t>
        </is>
      </c>
      <c r="F98" s="22" t="inlineStr">
        <is>
          <t>Additional (v1 base)</t>
        </is>
      </c>
      <c r="G98" s="22" t="inlineStr"/>
      <c r="H98" s="28" t="inlineStr">
        <is>
          <t>Live</t>
        </is>
      </c>
    </row>
    <row r="99">
      <c r="A99" s="28" t="n">
        <v>95</v>
      </c>
      <c r="B99" s="22" t="inlineStr">
        <is>
          <t>Approvals &amp; governance</t>
        </is>
      </c>
      <c r="C99" s="22" t="inlineStr">
        <is>
          <t>Submitted weeks to reports-to manager with deadline</t>
        </is>
      </c>
      <c r="D99" s="22" t="inlineStr">
        <is>
          <t>Tasks › Timesheet approvals (/approvals)</t>
        </is>
      </c>
      <c r="E99" s="22" t="inlineStr">
        <is>
          <t>Administrator, CEO, CTO, Project Manager, HR Manager, HR Executive, Sales Manager</t>
        </is>
      </c>
      <c r="F99" s="22" t="inlineStr">
        <is>
          <t>Feature Guide (G9.01)</t>
        </is>
      </c>
      <c r="G99" s="22" t="inlineStr">
        <is>
          <t>TIM-03</t>
        </is>
      </c>
      <c r="H99" s="28" t="inlineStr">
        <is>
          <t>Live</t>
        </is>
      </c>
    </row>
    <row r="100">
      <c r="A100" s="28" t="n">
        <v>96</v>
      </c>
      <c r="B100" s="22" t="inlineStr">
        <is>
          <t>Approvals &amp; governance</t>
        </is>
      </c>
      <c r="C100" s="22" t="inlineStr">
        <is>
          <t>Approval KPI strip</t>
        </is>
      </c>
      <c r="D100" s="22" t="inlineStr">
        <is>
          <t>Tasks › Timesheet approvals (/approvals)</t>
        </is>
      </c>
      <c r="E100" s="22" t="inlineStr">
        <is>
          <t>Administrator, CEO, CTO, Project Manager, HR Manager, HR Executive, Sales Manager</t>
        </is>
      </c>
      <c r="F100" s="22" t="inlineStr">
        <is>
          <t>Feature Guide (G9.02)</t>
        </is>
      </c>
      <c r="G100" s="22" t="inlineStr"/>
      <c r="H100" s="28" t="inlineStr">
        <is>
          <t>Live</t>
        </is>
      </c>
    </row>
    <row r="101">
      <c r="A101" s="28" t="n">
        <v>97</v>
      </c>
      <c r="B101" s="22" t="inlineStr">
        <is>
          <t>Approvals &amp; governance</t>
        </is>
      </c>
      <c r="C101" s="22" t="inlineStr">
        <is>
          <t>Waiting list with approve / reject</t>
        </is>
      </c>
      <c r="D101" s="22" t="inlineStr">
        <is>
          <t>Tasks › Timesheet approvals (/approvals)</t>
        </is>
      </c>
      <c r="E101" s="22" t="inlineStr">
        <is>
          <t>Administrator, CEO, CTO, Project Manager, HR Manager, HR Executive, Sales Manager</t>
        </is>
      </c>
      <c r="F101" s="22" t="inlineStr">
        <is>
          <t>Feature Guide (G9.03)</t>
        </is>
      </c>
      <c r="G101" s="22" t="inlineStr"/>
      <c r="H101" s="28" t="inlineStr">
        <is>
          <t>Live</t>
        </is>
      </c>
    </row>
    <row r="102">
      <c r="A102" s="28" t="n">
        <v>98</v>
      </c>
      <c r="B102" s="22" t="inlineStr">
        <is>
          <t>Approvals &amp; governance</t>
        </is>
      </c>
      <c r="C102" s="22" t="inlineStr">
        <is>
          <t>My team's timesheets 4-week grid with unlock</t>
        </is>
      </c>
      <c r="D102" s="22" t="inlineStr">
        <is>
          <t>Tasks › Timesheet approvals (/approvals)</t>
        </is>
      </c>
      <c r="E102" s="22" t="inlineStr">
        <is>
          <t>Administrator, CEO, CTO, Project Manager, HR Manager, HR Executive, Sales Manager</t>
        </is>
      </c>
      <c r="F102" s="22" t="inlineStr">
        <is>
          <t>Feature Guide (G9.04)</t>
        </is>
      </c>
      <c r="G102" s="22" t="inlineStr"/>
      <c r="H102" s="28" t="inlineStr">
        <is>
          <t>Live</t>
        </is>
      </c>
    </row>
    <row r="103">
      <c r="A103" s="28" t="n">
        <v>99</v>
      </c>
      <c r="B103" s="22" t="inlineStr">
        <is>
          <t>Approvals &amp; governance</t>
        </is>
      </c>
      <c r="C103" s="22" t="inlineStr">
        <is>
          <t>Delegation of approvals</t>
        </is>
      </c>
      <c r="D103" s="22" t="inlineStr">
        <is>
          <t>Admin › Team &amp; settings › Delegations (/settings/delegations)</t>
        </is>
      </c>
      <c r="E103" s="22" t="inlineStr">
        <is>
          <t>Administrator, CEO, CTO, Project Manager, HR Manager, Sales Manager</t>
        </is>
      </c>
      <c r="F103" s="22" t="inlineStr">
        <is>
          <t>Feature Guide (G9.05)</t>
        </is>
      </c>
      <c r="G103" s="22" t="inlineStr">
        <is>
          <t>WS-06</t>
        </is>
      </c>
      <c r="H103" s="28" t="inlineStr">
        <is>
          <t>Live</t>
        </is>
      </c>
    </row>
    <row r="104">
      <c r="A104" s="28" t="n">
        <v>100</v>
      </c>
      <c r="B104" s="22" t="inlineStr">
        <is>
          <t>Approvals &amp; governance</t>
        </is>
      </c>
      <c r="C104" s="22" t="inlineStr">
        <is>
          <t>Top person auto-approved</t>
        </is>
      </c>
      <c r="D104" s="22" t="inlineStr">
        <is>
          <t>My work › Timesheet &amp; log (/timesheet) (auto-approved on submit)</t>
        </is>
      </c>
      <c r="E104" s="22" t="inlineStr">
        <is>
          <t>Automatic (top person with no manager)</t>
        </is>
      </c>
      <c r="F104" s="22" t="inlineStr">
        <is>
          <t>Feature Guide (G9.06)</t>
        </is>
      </c>
      <c r="G104" s="22" t="inlineStr"/>
      <c r="H104" s="28" t="inlineStr">
        <is>
          <t>Live</t>
        </is>
      </c>
    </row>
    <row r="105">
      <c r="A105" s="28" t="n">
        <v>101</v>
      </c>
      <c r="B105" s="22" t="inlineStr">
        <is>
          <t>Approvals &amp; governance</t>
        </is>
      </c>
      <c r="C105" s="22" t="inlineStr">
        <is>
          <t>Weekly scorecard</t>
        </is>
      </c>
      <c r="D105" s="22" t="inlineStr">
        <is>
          <t>Company › Weekly scorecard (/scorecard)</t>
        </is>
      </c>
      <c r="E105" s="22" t="inlineStr">
        <is>
          <t>Administrator, CEO, CTO, Project Manager, HR Manager, Sales Manager, Sales Executive</t>
        </is>
      </c>
      <c r="F105" s="22" t="inlineStr">
        <is>
          <t>Feature Guide (G15.05)</t>
        </is>
      </c>
      <c r="G105" s="22" t="inlineStr">
        <is>
          <t>GOV-06</t>
        </is>
      </c>
      <c r="H105" s="28" t="inlineStr">
        <is>
          <t>Live</t>
        </is>
      </c>
    </row>
    <row r="106">
      <c r="A106" s="28" t="n">
        <v>102</v>
      </c>
      <c r="B106" s="22" t="inlineStr">
        <is>
          <t>Approvals &amp; governance</t>
        </is>
      </c>
      <c r="C106" s="22" t="inlineStr">
        <is>
          <t>Delegations</t>
        </is>
      </c>
      <c r="D106" s="22" t="inlineStr">
        <is>
          <t>Admin › Team &amp; settings › Delegations (/settings/delegations)</t>
        </is>
      </c>
      <c r="E106" s="22" t="inlineStr">
        <is>
          <t>Administrator, CEO, CTO, Project Manager, HR Manager, Sales Manager</t>
        </is>
      </c>
      <c r="F106" s="22" t="inlineStr">
        <is>
          <t>Feature Guide (G16.05)</t>
        </is>
      </c>
      <c r="G106" s="22" t="inlineStr"/>
      <c r="H106" s="28" t="inlineStr">
        <is>
          <t>Live</t>
        </is>
      </c>
    </row>
    <row r="107">
      <c r="A107" s="28" t="n">
        <v>103</v>
      </c>
      <c r="B107" s="22" t="inlineStr">
        <is>
          <t>Approvals &amp; governance</t>
        </is>
      </c>
      <c r="C107" s="22" t="inlineStr">
        <is>
          <t>Approvals inbox: every approval in one place</t>
        </is>
      </c>
      <c r="D107" s="22" t="inlineStr">
        <is>
          <t>/inbox</t>
        </is>
      </c>
      <c r="E107" s="22" t="inlineStr">
        <is>
          <t>All roles</t>
        </is>
      </c>
      <c r="F107" s="22" t="inlineStr">
        <is>
          <t>Additional (v3 business processes)</t>
        </is>
      </c>
      <c r="G107" s="22" t="inlineStr">
        <is>
          <t>GOV-03</t>
        </is>
      </c>
      <c r="H107" s="28" t="inlineStr">
        <is>
          <t>Live</t>
        </is>
      </c>
    </row>
    <row r="108">
      <c r="A108" s="28" t="n">
        <v>104</v>
      </c>
      <c r="B108" s="22" t="inlineStr">
        <is>
          <t>Approvals &amp; governance</t>
        </is>
      </c>
      <c r="C108" s="22" t="inlineStr">
        <is>
          <t>Audit trail (who changed what, when)</t>
        </is>
      </c>
      <c r="D108" s="22" t="inlineStr">
        <is>
          <t>/audit</t>
        </is>
      </c>
      <c r="E108" s="22" t="inlineStr">
        <is>
          <t>Administrator, CEO, CTO</t>
        </is>
      </c>
      <c r="F108" s="22" t="inlineStr">
        <is>
          <t>Additional (v3 business processes)</t>
        </is>
      </c>
      <c r="G108" s="22" t="inlineStr">
        <is>
          <t>GOV-04</t>
        </is>
      </c>
      <c r="H108" s="28" t="inlineStr">
        <is>
          <t>Live</t>
        </is>
      </c>
    </row>
    <row r="109">
      <c r="A109" s="28" t="n">
        <v>105</v>
      </c>
      <c r="B109" s="22" t="inlineStr">
        <is>
          <t>Approvals &amp; governance</t>
        </is>
      </c>
      <c r="C109" s="22" t="inlineStr">
        <is>
          <t>Goals &amp; OKRs: company, team and personal objectives</t>
        </is>
      </c>
      <c r="D109" s="22" t="inlineStr">
        <is>
          <t>/okrs</t>
        </is>
      </c>
      <c r="E109" s="22" t="inlineStr">
        <is>
          <t>All roles (view: everyone); full: Administrator, CEO</t>
        </is>
      </c>
      <c r="F109" s="22" t="inlineStr">
        <is>
          <t>Additional (v3 business processes)</t>
        </is>
      </c>
      <c r="G109" s="22" t="inlineStr">
        <is>
          <t>GOV-01</t>
        </is>
      </c>
      <c r="H109" s="28" t="inlineStr">
        <is>
          <t>Live</t>
        </is>
      </c>
    </row>
    <row r="110">
      <c r="A110" s="28" t="n">
        <v>106</v>
      </c>
      <c r="B110" s="22" t="inlineStr">
        <is>
          <t>Approvals &amp; governance</t>
        </is>
      </c>
      <c r="C110" s="22" t="inlineStr">
        <is>
          <t>Key results with automatic measures and check-ins</t>
        </is>
      </c>
      <c r="D110" s="22" t="inlineStr">
        <is>
          <t>/okrs</t>
        </is>
      </c>
      <c r="E110" s="22" t="inlineStr">
        <is>
          <t>All roles (check-ins: owners); full: Administrator, CEO</t>
        </is>
      </c>
      <c r="F110" s="22" t="inlineStr">
        <is>
          <t>Additional (v3 business processes)</t>
        </is>
      </c>
      <c r="G110" s="22" t="inlineStr">
        <is>
          <t>GOV-02</t>
        </is>
      </c>
      <c r="H110" s="28" t="inlineStr">
        <is>
          <t>Live</t>
        </is>
      </c>
    </row>
    <row r="111">
      <c r="A111" s="28" t="n">
        <v>107</v>
      </c>
      <c r="B111" s="22" t="inlineStr">
        <is>
          <t>Approvals &amp; governance</t>
        </is>
      </c>
      <c r="C111" s="22" t="inlineStr">
        <is>
          <t>Workflow designer: stages, assignee rules, per-stage reviewer fields with visibility, SLA, send back, completion actions</t>
        </is>
      </c>
      <c r="D111" s="22" t="inlineStr">
        <is>
          <t>/workflows/designer</t>
        </is>
      </c>
      <c r="E111" s="22" t="inlineStr">
        <is>
          <t>Administrator, CEO, HR Manager</t>
        </is>
      </c>
      <c r="F111" s="22" t="inlineStr">
        <is>
          <t>Additional (v7 workflows, documents &amp; invoicing)</t>
        </is>
      </c>
      <c r="G111" s="22" t="inlineStr"/>
      <c r="H111" s="28" t="inlineStr">
        <is>
          <t>Live</t>
        </is>
      </c>
    </row>
    <row r="112">
      <c r="A112" s="28" t="n">
        <v>108</v>
      </c>
      <c r="B112" s="22" t="inlineStr">
        <is>
          <t>Approvals &amp; governance</t>
        </is>
      </c>
      <c r="C112" s="22" t="inlineStr">
        <is>
          <t>Workflow inbox and run page (waiting for me, started by me, about me), escalation on SLA breach</t>
        </is>
      </c>
      <c r="D112" s="22" t="inlineStr">
        <is>
          <t>/workflows; /workflows/run/:id</t>
        </is>
      </c>
      <c r="E112" s="22" t="inlineStr">
        <is>
          <t>Everyone (own data)</t>
        </is>
      </c>
      <c r="F112" s="22" t="inlineStr">
        <is>
          <t>Additional (v7 workflows, documents &amp; invoicing)</t>
        </is>
      </c>
      <c r="G112" s="22" t="inlineStr"/>
      <c r="H112" s="28" t="inlineStr">
        <is>
          <t>Live</t>
        </is>
      </c>
    </row>
    <row r="113">
      <c r="A113" s="28" t="n">
        <v>109</v>
      </c>
      <c r="B113" s="22" t="inlineStr">
        <is>
          <t>Payroll</t>
        </is>
      </c>
      <c r="C113" s="22" t="inlineStr">
        <is>
          <t>Payroll month picker and calculate</t>
        </is>
      </c>
      <c r="D113" s="22" t="inlineStr">
        <is>
          <t>Finance › Payroll (/payroll)</t>
        </is>
      </c>
      <c r="E113" s="22" t="inlineStr">
        <is>
          <t>Administrator, CEO, HR Manager</t>
        </is>
      </c>
      <c r="F113" s="22" t="inlineStr">
        <is>
          <t>Feature Guide (G10.01)</t>
        </is>
      </c>
      <c r="G113" s="22" t="inlineStr">
        <is>
          <t>PAY-01</t>
        </is>
      </c>
      <c r="H113" s="28" t="inlineStr">
        <is>
          <t>Live</t>
        </is>
      </c>
    </row>
    <row r="114">
      <c r="A114" s="28" t="n">
        <v>110</v>
      </c>
      <c r="B114" s="22" t="inlineStr">
        <is>
          <t>Payroll</t>
        </is>
      </c>
      <c r="C114" s="22" t="inlineStr">
        <is>
          <t>Payroll KPIs</t>
        </is>
      </c>
      <c r="D114" s="22" t="inlineStr">
        <is>
          <t>Finance › Payroll (/payroll)</t>
        </is>
      </c>
      <c r="E114" s="22" t="inlineStr">
        <is>
          <t>Administrator, CEO, HR Manager</t>
        </is>
      </c>
      <c r="F114" s="22" t="inlineStr">
        <is>
          <t>Feature Guide (G10.02)</t>
        </is>
      </c>
      <c r="G114" s="22" t="inlineStr"/>
      <c r="H114" s="28" t="inlineStr">
        <is>
          <t>Live</t>
        </is>
      </c>
    </row>
    <row r="115">
      <c r="A115" s="28" t="n">
        <v>111</v>
      </c>
      <c r="B115" s="22" t="inlineStr">
        <is>
          <t>Payroll</t>
        </is>
      </c>
      <c r="C115" s="22" t="inlineStr">
        <is>
          <t>Per-person payroll lines</t>
        </is>
      </c>
      <c r="D115" s="22" t="inlineStr">
        <is>
          <t>Finance › Payroll (/payroll)</t>
        </is>
      </c>
      <c r="E115" s="22" t="inlineStr">
        <is>
          <t>Administrator, CEO, HR Manager</t>
        </is>
      </c>
      <c r="F115" s="22" t="inlineStr">
        <is>
          <t>Feature Guide (G10.03)</t>
        </is>
      </c>
      <c r="G115" s="22" t="inlineStr"/>
      <c r="H115" s="28" t="inlineStr">
        <is>
          <t>Live</t>
        </is>
      </c>
    </row>
    <row r="116">
      <c r="A116" s="28" t="n">
        <v>112</v>
      </c>
      <c r="B116" s="22" t="inlineStr">
        <is>
          <t>Payroll</t>
        </is>
      </c>
      <c r="C116" s="22" t="inlineStr">
        <is>
          <t>Deduction formula</t>
        </is>
      </c>
      <c r="D116" s="22" t="inlineStr">
        <is>
          <t>Finance › Payroll (/payroll)</t>
        </is>
      </c>
      <c r="E116" s="22" t="inlineStr">
        <is>
          <t>Administrator, CEO, HR Manager</t>
        </is>
      </c>
      <c r="F116" s="22" t="inlineStr">
        <is>
          <t>Feature Guide (G10.04)</t>
        </is>
      </c>
      <c r="G116" s="22" t="inlineStr">
        <is>
          <t>PAY-02</t>
        </is>
      </c>
      <c r="H116" s="28" t="inlineStr">
        <is>
          <t>Live</t>
        </is>
      </c>
    </row>
    <row r="117">
      <c r="A117" s="28" t="n">
        <v>113</v>
      </c>
      <c r="B117" s="22" t="inlineStr">
        <is>
          <t>Payroll</t>
        </is>
      </c>
      <c r="C117" s="22" t="inlineStr">
        <is>
          <t>Sales variable only when target met</t>
        </is>
      </c>
      <c r="D117" s="22" t="inlineStr">
        <is>
          <t>Finance › Payroll (/payroll)</t>
        </is>
      </c>
      <c r="E117" s="22" t="inlineStr">
        <is>
          <t>Administrator, CEO, HR Manager</t>
        </is>
      </c>
      <c r="F117" s="22" t="inlineStr">
        <is>
          <t>Feature Guide (G10.05)</t>
        </is>
      </c>
      <c r="G117" s="22" t="inlineStr"/>
      <c r="H117" s="28" t="inlineStr">
        <is>
          <t>Live</t>
        </is>
      </c>
    </row>
    <row r="118">
      <c r="A118" s="28" t="n">
        <v>114</v>
      </c>
      <c r="B118" s="22" t="inlineStr">
        <is>
          <t>Payroll</t>
        </is>
      </c>
      <c r="C118" s="22" t="inlineStr">
        <is>
          <t>Chase-before-you-pay flags</t>
        </is>
      </c>
      <c r="D118" s="22" t="inlineStr">
        <is>
          <t>Finance › Payroll (/payroll)</t>
        </is>
      </c>
      <c r="E118" s="22" t="inlineStr">
        <is>
          <t>Administrator, CEO, HR Manager</t>
        </is>
      </c>
      <c r="F118" s="22" t="inlineStr">
        <is>
          <t>Feature Guide (G10.06)</t>
        </is>
      </c>
      <c r="G118" s="22" t="inlineStr"/>
      <c r="H118" s="28" t="inlineStr">
        <is>
          <t>Live</t>
        </is>
      </c>
    </row>
    <row r="119">
      <c r="A119" s="28" t="n">
        <v>115</v>
      </c>
      <c r="B119" s="22" t="inlineStr">
        <is>
          <t>Payroll</t>
        </is>
      </c>
      <c r="C119" s="22" t="inlineStr">
        <is>
          <t>Payroll CSV export for bank / accountant</t>
        </is>
      </c>
      <c r="D119" s="22" t="inlineStr">
        <is>
          <t>Finance › Payroll (/payroll)</t>
        </is>
      </c>
      <c r="E119" s="22" t="inlineStr">
        <is>
          <t>Administrator, CEO, HR Manager</t>
        </is>
      </c>
      <c r="F119" s="22" t="inlineStr">
        <is>
          <t>Feature Guide (G10.07)</t>
        </is>
      </c>
      <c r="G119" s="22" t="inlineStr">
        <is>
          <t>PAY-04</t>
        </is>
      </c>
      <c r="H119" s="28" t="inlineStr">
        <is>
          <t>Live</t>
        </is>
      </c>
    </row>
    <row r="120">
      <c r="A120" s="28" t="n">
        <v>116</v>
      </c>
      <c r="B120" s="22" t="inlineStr">
        <is>
          <t>Payroll</t>
        </is>
      </c>
      <c r="C120" s="22" t="inlineStr">
        <is>
          <t>Finalise payroll (lock run, post to ledger)</t>
        </is>
      </c>
      <c r="D120" s="22" t="inlineStr">
        <is>
          <t>/payroll/:id</t>
        </is>
      </c>
      <c r="E120" s="22" t="inlineStr">
        <is>
          <t>Administrator, CEO</t>
        </is>
      </c>
      <c r="F120" s="22" t="inlineStr">
        <is>
          <t>Additional (v1 base)</t>
        </is>
      </c>
      <c r="G120" s="22" t="inlineStr">
        <is>
          <t>PAY-04</t>
        </is>
      </c>
      <c r="H120" s="28" t="inlineStr">
        <is>
          <t>Live</t>
        </is>
      </c>
    </row>
    <row r="121">
      <c r="A121" s="28" t="n">
        <v>117</v>
      </c>
      <c r="B121" s="22" t="inlineStr">
        <is>
          <t>Sales</t>
        </is>
      </c>
      <c r="C121" s="22" t="inlineStr">
        <is>
          <t>New lead form</t>
        </is>
      </c>
      <c r="D121" s="22" t="inlineStr">
        <is>
          <t>Sales › Pipeline (/sales)</t>
        </is>
      </c>
      <c r="E121" s="22" t="inlineStr">
        <is>
          <t>Administrator, CEO, Sales Manager, Sales Executive</t>
        </is>
      </c>
      <c r="F121" s="22" t="inlineStr">
        <is>
          <t>Feature Guide (G11.01)</t>
        </is>
      </c>
      <c r="G121" s="22" t="inlineStr">
        <is>
          <t>SAL-01</t>
        </is>
      </c>
      <c r="H121" s="28" t="inlineStr">
        <is>
          <t>Live</t>
        </is>
      </c>
    </row>
    <row r="122">
      <c r="A122" s="28" t="n">
        <v>118</v>
      </c>
      <c r="B122" s="22" t="inlineStr">
        <is>
          <t>Sales</t>
        </is>
      </c>
      <c r="C122" s="22" t="inlineStr">
        <is>
          <t>Pipeline KPIs (12)</t>
        </is>
      </c>
      <c r="D122" s="22" t="inlineStr">
        <is>
          <t>Sales › Pipeline (/sales)</t>
        </is>
      </c>
      <c r="E122" s="22" t="inlineStr">
        <is>
          <t>Administrator, CEO, Sales Manager, Sales Executive</t>
        </is>
      </c>
      <c r="F122" s="22" t="inlineStr">
        <is>
          <t>Feature Guide (G11.02)</t>
        </is>
      </c>
      <c r="G122" s="22" t="inlineStr"/>
      <c r="H122" s="28" t="inlineStr">
        <is>
          <t>Live</t>
        </is>
      </c>
    </row>
    <row r="123">
      <c r="A123" s="28" t="n">
        <v>119</v>
      </c>
      <c r="B123" s="22" t="inlineStr">
        <is>
          <t>Sales</t>
        </is>
      </c>
      <c r="C123" s="22" t="inlineStr">
        <is>
          <t>Sales funnel by stage</t>
        </is>
      </c>
      <c r="D123" s="22" t="inlineStr">
        <is>
          <t>Sales › Pipeline (/sales)</t>
        </is>
      </c>
      <c r="E123" s="22" t="inlineStr">
        <is>
          <t>Administrator, CEO, Sales Manager, Sales Executive</t>
        </is>
      </c>
      <c r="F123" s="22" t="inlineStr">
        <is>
          <t>Feature Guide (G11.03)</t>
        </is>
      </c>
      <c r="G123" s="22" t="inlineStr">
        <is>
          <t>SAL-02</t>
        </is>
      </c>
      <c r="H123" s="28" t="inlineStr">
        <is>
          <t>Live</t>
        </is>
      </c>
    </row>
    <row r="124">
      <c r="A124" s="28" t="n">
        <v>120</v>
      </c>
      <c r="B124" s="22" t="inlineStr">
        <is>
          <t>Sales</t>
        </is>
      </c>
      <c r="C124" s="22" t="inlineStr">
        <is>
          <t>Lost needs reason; Won creates project</t>
        </is>
      </c>
      <c r="D124" s="22" t="inlineStr">
        <is>
          <t>Sales › Pipeline (/sales)</t>
        </is>
      </c>
      <c r="E124" s="22" t="inlineStr">
        <is>
          <t>Administrator, CEO, Sales Manager, Sales Executive</t>
        </is>
      </c>
      <c r="F124" s="22" t="inlineStr">
        <is>
          <t>Feature Guide (G11.04)</t>
        </is>
      </c>
      <c r="G124" s="22" t="inlineStr">
        <is>
          <t>SAL-04, SAL-05</t>
        </is>
      </c>
      <c r="H124" s="28" t="inlineStr">
        <is>
          <t>Live</t>
        </is>
      </c>
    </row>
    <row r="125">
      <c r="A125" s="28" t="n">
        <v>121</v>
      </c>
      <c r="B125" s="22" t="inlineStr">
        <is>
          <t>Sales</t>
        </is>
      </c>
      <c r="C125" s="22" t="inlineStr">
        <is>
          <t>Sales activity log</t>
        </is>
      </c>
      <c r="D125" s="22" t="inlineStr">
        <is>
          <t>Sales › Activity log (/sales/activity)</t>
        </is>
      </c>
      <c r="E125" s="22" t="inlineStr">
        <is>
          <t>Administrator, CEO, Sales Manager, Sales Executive</t>
        </is>
      </c>
      <c r="F125" s="22" t="inlineStr">
        <is>
          <t>Feature Guide (G11.05)</t>
        </is>
      </c>
      <c r="G125" s="22" t="inlineStr">
        <is>
          <t>SAL-03</t>
        </is>
      </c>
      <c r="H125" s="28" t="inlineStr">
        <is>
          <t>Live</t>
        </is>
      </c>
    </row>
    <row r="126">
      <c r="A126" s="28" t="n">
        <v>122</v>
      </c>
      <c r="B126" s="22" t="inlineStr">
        <is>
          <t>Sales</t>
        </is>
      </c>
      <c r="C126" s="22" t="inlineStr">
        <is>
          <t>Stale deal flag after 14 days</t>
        </is>
      </c>
      <c r="D126" s="22" t="inlineStr">
        <is>
          <t>Sales › Pipeline (/sales)</t>
        </is>
      </c>
      <c r="E126" s="22" t="inlineStr">
        <is>
          <t>Administrator, CEO, Sales Manager, Sales Executive</t>
        </is>
      </c>
      <c r="F126" s="22" t="inlineStr">
        <is>
          <t>Feature Guide (G11.06)</t>
        </is>
      </c>
      <c r="G126" s="22" t="inlineStr">
        <is>
          <t>SAL-06</t>
        </is>
      </c>
      <c r="H126" s="28" t="inlineStr">
        <is>
          <t>Live</t>
        </is>
      </c>
    </row>
    <row r="127">
      <c r="A127" s="28" t="n">
        <v>123</v>
      </c>
      <c r="B127" s="22" t="inlineStr">
        <is>
          <t>Sales</t>
        </is>
      </c>
      <c r="C127" s="22" t="inlineStr">
        <is>
          <t>Deal traceability (created by, stage history, activities)</t>
        </is>
      </c>
      <c r="D127" s="22" t="inlineStr">
        <is>
          <t>Sales › Pipeline › deal page (/sales/:id)</t>
        </is>
      </c>
      <c r="E127" s="22" t="inlineStr">
        <is>
          <t>Administrator, CEO, Sales Manager, Sales Executive</t>
        </is>
      </c>
      <c r="F127" s="22" t="inlineStr">
        <is>
          <t>Feature Guide (G11.07)</t>
        </is>
      </c>
      <c r="G127" s="22" t="inlineStr"/>
      <c r="H127" s="28" t="inlineStr">
        <is>
          <t>Live</t>
        </is>
      </c>
    </row>
    <row r="128">
      <c r="A128" s="28" t="n">
        <v>124</v>
      </c>
      <c r="B128" s="22" t="inlineStr">
        <is>
          <t>Sales</t>
        </is>
      </c>
      <c r="C128" s="22" t="inlineStr">
        <is>
          <t>Month / Quarter / Year period switch</t>
        </is>
      </c>
      <c r="D128" s="22" t="inlineStr">
        <is>
          <t>Sales › Compensation (/sales/compensation)</t>
        </is>
      </c>
      <c r="E128" s="22" t="inlineStr">
        <is>
          <t>Administrator, CEO, Sales Manager, Sales Executive</t>
        </is>
      </c>
      <c r="F128" s="22" t="inlineStr">
        <is>
          <t>Feature Guide (G12.01)</t>
        </is>
      </c>
      <c r="G128" s="22" t="inlineStr"/>
      <c r="H128" s="28" t="inlineStr">
        <is>
          <t>Live</t>
        </is>
      </c>
    </row>
    <row r="129">
      <c r="A129" s="28" t="n">
        <v>125</v>
      </c>
      <c r="B129" s="22" t="inlineStr">
        <is>
          <t>Sales</t>
        </is>
      </c>
      <c r="C129" s="22" t="inlineStr">
        <is>
          <t>Sales cost KPIs</t>
        </is>
      </c>
      <c r="D129" s="22" t="inlineStr">
        <is>
          <t>Sales › Compensation (/sales/compensation)</t>
        </is>
      </c>
      <c r="E129" s="22" t="inlineStr">
        <is>
          <t>Administrator, CEO, Sales Manager, Sales Executive</t>
        </is>
      </c>
      <c r="F129" s="22" t="inlineStr">
        <is>
          <t>Feature Guide (G12.02)</t>
        </is>
      </c>
      <c r="G129" s="22" t="inlineStr"/>
      <c r="H129" s="28" t="inlineStr">
        <is>
          <t>Live</t>
        </is>
      </c>
    </row>
    <row r="130">
      <c r="A130" s="28" t="n">
        <v>126</v>
      </c>
      <c r="B130" s="22" t="inlineStr">
        <is>
          <t>Sales</t>
        </is>
      </c>
      <c r="C130" s="22" t="inlineStr">
        <is>
          <t>Per-salesperson compensation table</t>
        </is>
      </c>
      <c r="D130" s="22" t="inlineStr">
        <is>
          <t>Sales › Compensation (/sales/compensation)</t>
        </is>
      </c>
      <c r="E130" s="22" t="inlineStr">
        <is>
          <t>Administrator, CEO, Sales Manager, Sales Executive</t>
        </is>
      </c>
      <c r="F130" s="22" t="inlineStr">
        <is>
          <t>Feature Guide (G12.03)</t>
        </is>
      </c>
      <c r="G130" s="22" t="inlineStr">
        <is>
          <t>PAY-03</t>
        </is>
      </c>
      <c r="H130" s="28" t="inlineStr">
        <is>
          <t>Live</t>
        </is>
      </c>
    </row>
    <row r="131">
      <c r="A131" s="28" t="n">
        <v>127</v>
      </c>
      <c r="B131" s="22" t="inlineStr">
        <is>
          <t>Sales</t>
        </is>
      </c>
      <c r="C131" s="22" t="inlineStr">
        <is>
          <t>Variable only at 100% of target</t>
        </is>
      </c>
      <c r="D131" s="22" t="inlineStr">
        <is>
          <t>Sales › Compensation (/sales/compensation)</t>
        </is>
      </c>
      <c r="E131" s="22" t="inlineStr">
        <is>
          <t>Administrator, CEO, Sales Manager, Sales Executive</t>
        </is>
      </c>
      <c r="F131" s="22" t="inlineStr">
        <is>
          <t>Feature Guide (G12.04)</t>
        </is>
      </c>
      <c r="G131" s="22" t="inlineStr"/>
      <c r="H131" s="28" t="inlineStr">
        <is>
          <t>Live</t>
        </is>
      </c>
    </row>
    <row r="132">
      <c r="A132" s="28" t="n">
        <v>128</v>
      </c>
      <c r="B132" s="22" t="inlineStr">
        <is>
          <t>Sales</t>
        </is>
      </c>
      <c r="C132" s="22" t="inlineStr">
        <is>
          <t>Sales cost trend by month</t>
        </is>
      </c>
      <c r="D132" s="22" t="inlineStr">
        <is>
          <t>Sales › Compensation (/sales/compensation)</t>
        </is>
      </c>
      <c r="E132" s="22" t="inlineStr">
        <is>
          <t>Administrator, CEO, Sales Manager, Sales Executive</t>
        </is>
      </c>
      <c r="F132" s="22" t="inlineStr">
        <is>
          <t>Feature Guide (G12.05)</t>
        </is>
      </c>
      <c r="G132" s="22" t="inlineStr"/>
      <c r="H132" s="28" t="inlineStr">
        <is>
          <t>Live</t>
        </is>
      </c>
    </row>
    <row r="133">
      <c r="A133" s="28" t="n">
        <v>129</v>
      </c>
      <c r="B133" s="22" t="inlineStr">
        <is>
          <t>Sales</t>
        </is>
      </c>
      <c r="C133" s="22" t="inlineStr">
        <is>
          <t>Deal value = one-time + 12 × recurring</t>
        </is>
      </c>
      <c r="D133" s="22" t="inlineStr">
        <is>
          <t>Sales › Compensation (/sales/compensation)</t>
        </is>
      </c>
      <c r="E133" s="22" t="inlineStr">
        <is>
          <t>Administrator, CEO, Sales Manager, Sales Executive</t>
        </is>
      </c>
      <c r="F133" s="22" t="inlineStr">
        <is>
          <t>Feature Guide (G12.06)</t>
        </is>
      </c>
      <c r="G133" s="22" t="inlineStr"/>
      <c r="H133" s="28" t="inlineStr">
        <is>
          <t>Live</t>
        </is>
      </c>
    </row>
    <row r="134">
      <c r="A134" s="28" t="n">
        <v>130</v>
      </c>
      <c r="B134" s="22" t="inlineStr">
        <is>
          <t>Sales</t>
        </is>
      </c>
      <c r="C134" s="22" t="inlineStr">
        <is>
          <t>Salesperson performance table</t>
        </is>
      </c>
      <c r="D134" s="22" t="inlineStr">
        <is>
          <t>Sales › Performance (/sales/performance)</t>
        </is>
      </c>
      <c r="E134" s="22" t="inlineStr">
        <is>
          <t>Administrator, CEO, Sales Manager, Sales Executive</t>
        </is>
      </c>
      <c r="F134" s="22" t="inlineStr">
        <is>
          <t>Feature Guide (G12.07)</t>
        </is>
      </c>
      <c r="G134" s="22" t="inlineStr">
        <is>
          <t>SAL-07</t>
        </is>
      </c>
      <c r="H134" s="28" t="inlineStr">
        <is>
          <t>Live</t>
        </is>
      </c>
    </row>
    <row r="135">
      <c r="A135" s="28" t="n">
        <v>131</v>
      </c>
      <c r="B135" s="22" t="inlineStr">
        <is>
          <t>Sales</t>
        </is>
      </c>
      <c r="C135" s="22" t="inlineStr">
        <is>
          <t>Last 6 months per person</t>
        </is>
      </c>
      <c r="D135" s="22" t="inlineStr">
        <is>
          <t>Sales › Performance (/sales/performance)</t>
        </is>
      </c>
      <c r="E135" s="22" t="inlineStr">
        <is>
          <t>Administrator, CEO, Sales Manager, Sales Executive</t>
        </is>
      </c>
      <c r="F135" s="22" t="inlineStr">
        <is>
          <t>Feature Guide (G12.08)</t>
        </is>
      </c>
      <c r="G135" s="22" t="inlineStr"/>
      <c r="H135" s="28" t="inlineStr">
        <is>
          <t>Live</t>
        </is>
      </c>
    </row>
    <row r="136">
      <c r="A136" s="28" t="n">
        <v>132</v>
      </c>
      <c r="B136" s="22" t="inlineStr">
        <is>
          <t>Sales</t>
        </is>
      </c>
      <c r="C136" s="22" t="inlineStr">
        <is>
          <t>Pipeline kanban board (drag deals between stages)</t>
        </is>
      </c>
      <c r="D136" s="22" t="inlineStr">
        <is>
          <t>/sales</t>
        </is>
      </c>
      <c r="E136" s="22" t="inlineStr">
        <is>
          <t>Administrator, CEO, Sales Manager, Sales Executive</t>
        </is>
      </c>
      <c r="F136" s="22" t="inlineStr">
        <is>
          <t>Additional (v1 base)</t>
        </is>
      </c>
      <c r="G136" s="22" t="inlineStr">
        <is>
          <t>SAL-02</t>
        </is>
      </c>
      <c r="H136" s="28" t="inlineStr">
        <is>
          <t>Live</t>
        </is>
      </c>
    </row>
    <row r="137">
      <c r="A137" s="28" t="n">
        <v>133</v>
      </c>
      <c r="B137" s="22" t="inlineStr">
        <is>
          <t>Sales</t>
        </is>
      </c>
      <c r="C137" s="22" t="inlineStr">
        <is>
          <t>Sales home dashboard: target this month, deals needing action, pipeline by stage, recent activity</t>
        </is>
      </c>
      <c r="D137" s="22" t="inlineStr">
        <is>
          <t>/home → Sales</t>
        </is>
      </c>
      <c r="E137" s="22" t="inlineStr">
        <is>
          <t>Administrator, CEO, Sales Manager, Sales Executive</t>
        </is>
      </c>
      <c r="F137" s="22" t="inlineStr">
        <is>
          <t>Additional (v1 base)</t>
        </is>
      </c>
      <c r="G137" s="22" t="inlineStr">
        <is>
          <t>ANA-03</t>
        </is>
      </c>
      <c r="H137" s="28" t="inlineStr">
        <is>
          <t>Live</t>
        </is>
      </c>
    </row>
    <row r="138">
      <c r="A138" s="28" t="n">
        <v>134</v>
      </c>
      <c r="B138" s="22" t="inlineStr">
        <is>
          <t>Clients &amp; contracts</t>
        </is>
      </c>
      <c r="C138" s="22" t="inlineStr">
        <is>
          <t>Client master</t>
        </is>
      </c>
      <c r="D138" s="22" t="inlineStr">
        <is>
          <t>/clients; /clients/:id</t>
        </is>
      </c>
      <c r="E138" s="22" t="inlineStr">
        <is>
          <t>Administrator, CEO, Sales Manager, Sales Executive</t>
        </is>
      </c>
      <c r="F138" s="22" t="inlineStr">
        <is>
          <t>Additional (v3 business processes)</t>
        </is>
      </c>
      <c r="G138" s="22" t="inlineStr">
        <is>
          <t>CLI-01</t>
        </is>
      </c>
      <c r="H138" s="28" t="inlineStr">
        <is>
          <t>Live</t>
        </is>
      </c>
    </row>
    <row r="139">
      <c r="A139" s="28" t="n">
        <v>135</v>
      </c>
      <c r="B139" s="22" t="inlineStr">
        <is>
          <t>Clients &amp; contracts</t>
        </is>
      </c>
      <c r="C139" s="22" t="inlineStr">
        <is>
          <t>Contract register</t>
        </is>
      </c>
      <c r="D139" s="22" t="inlineStr">
        <is>
          <t>/clients/:id</t>
        </is>
      </c>
      <c r="E139" s="22" t="inlineStr">
        <is>
          <t>Administrator, CEO, Sales Manager, Sales Executive</t>
        </is>
      </c>
      <c r="F139" s="22" t="inlineStr">
        <is>
          <t>Additional (v3 business processes)</t>
        </is>
      </c>
      <c r="G139" s="22" t="inlineStr">
        <is>
          <t>CLI-02</t>
        </is>
      </c>
      <c r="H139" s="28" t="inlineStr">
        <is>
          <t>Live</t>
        </is>
      </c>
    </row>
    <row r="140">
      <c r="A140" s="28" t="n">
        <v>136</v>
      </c>
      <c r="B140" s="22" t="inlineStr">
        <is>
          <t>Clients &amp; contracts</t>
        </is>
      </c>
      <c r="C140" s="22" t="inlineStr">
        <is>
          <t>Contract renewals</t>
        </is>
      </c>
      <c r="D140" s="22" t="inlineStr">
        <is>
          <t>/clients</t>
        </is>
      </c>
      <c r="E140" s="22" t="inlineStr">
        <is>
          <t>Administrator, CEO, Sales Manager, Sales Executive</t>
        </is>
      </c>
      <c r="F140" s="22" t="inlineStr">
        <is>
          <t>Additional (v3 business processes)</t>
        </is>
      </c>
      <c r="G140" s="22" t="inlineStr">
        <is>
          <t>CLI-03</t>
        </is>
      </c>
      <c r="H140" s="28" t="inlineStr">
        <is>
          <t>Live</t>
        </is>
      </c>
    </row>
    <row r="141">
      <c r="A141" s="28" t="n">
        <v>137</v>
      </c>
      <c r="B141" s="22" t="inlineStr">
        <is>
          <t>Clients &amp; contracts</t>
        </is>
      </c>
      <c r="C141" s="22" t="inlineStr">
        <is>
          <t>Client health and 360 view</t>
        </is>
      </c>
      <c r="D141" s="22" t="inlineStr">
        <is>
          <t>/clients/:id</t>
        </is>
      </c>
      <c r="E141" s="22" t="inlineStr">
        <is>
          <t>Administrator, CEO, Sales Manager, Sales Executive</t>
        </is>
      </c>
      <c r="F141" s="22" t="inlineStr">
        <is>
          <t>Additional (v3 business processes)</t>
        </is>
      </c>
      <c r="G141" s="22" t="inlineStr">
        <is>
          <t>CLI-04</t>
        </is>
      </c>
      <c r="H141" s="28" t="inlineStr">
        <is>
          <t>Live</t>
        </is>
      </c>
    </row>
    <row r="142">
      <c r="A142" s="28" t="n">
        <v>138</v>
      </c>
      <c r="B142" s="22" t="inlineStr">
        <is>
          <t>Finance</t>
        </is>
      </c>
      <c r="C142" s="22" t="inlineStr">
        <is>
          <t>CEO profit-margins table across projects</t>
        </is>
      </c>
      <c r="D142" s="22" t="inlineStr">
        <is>
          <t>Finance › Profit margins (/finance/margins); Projects &amp; WBS › Costing &amp; margin (All projects); Dashboard › CEO › Projects</t>
        </is>
      </c>
      <c r="E142" s="22" t="inlineStr">
        <is>
          <t>Administrator, CEO, CTO</t>
        </is>
      </c>
      <c r="F142" s="22" t="inlineStr">
        <is>
          <t>Feature Guide (G6.10)</t>
        </is>
      </c>
      <c r="G142" s="22" t="inlineStr"/>
      <c r="H142" s="28" t="inlineStr">
        <is>
          <t>Live</t>
        </is>
      </c>
    </row>
    <row r="143">
      <c r="A143" s="28" t="n">
        <v>139</v>
      </c>
      <c r="B143" s="22" t="inlineStr">
        <is>
          <t>Finance</t>
        </is>
      </c>
      <c r="C143" s="22" t="inlineStr">
        <is>
          <t>Monthly P&amp;L, last 6 months</t>
        </is>
      </c>
      <c r="D143" s="22" t="inlineStr">
        <is>
          <t>Finance › Profit &amp; loss (/finance/pnl)</t>
        </is>
      </c>
      <c r="E143" s="22" t="inlineStr">
        <is>
          <t>Administrator, CEO</t>
        </is>
      </c>
      <c r="F143" s="22" t="inlineStr">
        <is>
          <t>Feature Guide (G13.01)</t>
        </is>
      </c>
      <c r="G143" s="22" t="inlineStr">
        <is>
          <t>FIN-05</t>
        </is>
      </c>
      <c r="H143" s="28" t="inlineStr">
        <is>
          <t>Live</t>
        </is>
      </c>
    </row>
    <row r="144">
      <c r="A144" s="28" t="n">
        <v>140</v>
      </c>
      <c r="B144" s="22" t="inlineStr">
        <is>
          <t>Finance</t>
        </is>
      </c>
      <c r="C144" s="22" t="inlineStr">
        <is>
          <t>Ledger of income / expense entries</t>
        </is>
      </c>
      <c r="D144" s="22" t="inlineStr">
        <is>
          <t>Finance › Ledger (/finance/ledger)</t>
        </is>
      </c>
      <c r="E144" s="22" t="inlineStr">
        <is>
          <t>Administrator, CEO, HR Manager</t>
        </is>
      </c>
      <c r="F144" s="22" t="inlineStr">
        <is>
          <t>Feature Guide (G13.02)</t>
        </is>
      </c>
      <c r="G144" s="22" t="inlineStr">
        <is>
          <t>FIN-04</t>
        </is>
      </c>
      <c r="H144" s="28" t="inlineStr">
        <is>
          <t>Live</t>
        </is>
      </c>
    </row>
    <row r="145">
      <c r="A145" s="28" t="n">
        <v>141</v>
      </c>
      <c r="B145" s="22" t="inlineStr">
        <is>
          <t>Finance</t>
        </is>
      </c>
      <c r="C145" s="22" t="inlineStr">
        <is>
          <t>Milestone invoices add income automatically</t>
        </is>
      </c>
      <c r="D145" s="22" t="inlineStr">
        <is>
          <t>Finance › Ledger; Projects &amp; WBS › All projects › project › WBS (/projects/:id/wbs); direct: Projects &amp; WBS › Milestones &amp; billing / WBS</t>
        </is>
      </c>
      <c r="E145" s="22" t="inlineStr">
        <is>
          <t>Administrator, CEO, HR Manager</t>
        </is>
      </c>
      <c r="F145" s="22" t="inlineStr">
        <is>
          <t>Feature Guide (G13.03)</t>
        </is>
      </c>
      <c r="G145" s="22" t="inlineStr"/>
      <c r="H145" s="28" t="inlineStr">
        <is>
          <t>Live</t>
        </is>
      </c>
    </row>
    <row r="146">
      <c r="A146" s="28" t="n">
        <v>142</v>
      </c>
      <c r="B146" s="22" t="inlineStr">
        <is>
          <t>Finance</t>
        </is>
      </c>
      <c r="C146" s="22" t="inlineStr">
        <is>
          <t>Invoices list with receivables ageing and DSO</t>
        </is>
      </c>
      <c r="D146" s="22" t="inlineStr">
        <is>
          <t>/finance/invoices</t>
        </is>
      </c>
      <c r="E146" s="22" t="inlineStr">
        <is>
          <t>Administrator, CEO</t>
        </is>
      </c>
      <c r="F146" s="22" t="inlineStr">
        <is>
          <t>Additional (v1 base)</t>
        </is>
      </c>
      <c r="G146" s="22" t="inlineStr">
        <is>
          <t>FIN-03</t>
        </is>
      </c>
      <c r="H146" s="28" t="inlineStr">
        <is>
          <t>Live</t>
        </is>
      </c>
    </row>
    <row r="147">
      <c r="A147" s="28" t="n">
        <v>143</v>
      </c>
      <c r="B147" s="22" t="inlineStr">
        <is>
          <t>Finance</t>
        </is>
      </c>
      <c r="C147" s="22" t="inlineStr">
        <is>
          <t>Record client payments (including part payments)</t>
        </is>
      </c>
      <c r="D147" s="22" t="inlineStr">
        <is>
          <t>/finance/invoices</t>
        </is>
      </c>
      <c r="E147" s="22" t="inlineStr">
        <is>
          <t>Administrator, CEO</t>
        </is>
      </c>
      <c r="F147" s="22" t="inlineStr">
        <is>
          <t>Additional (v1 base)</t>
        </is>
      </c>
      <c r="G147" s="22" t="inlineStr">
        <is>
          <t>FIN-02</t>
        </is>
      </c>
      <c r="H147" s="28" t="inlineStr">
        <is>
          <t>Live</t>
        </is>
      </c>
    </row>
    <row r="148">
      <c r="A148" s="28" t="n">
        <v>144</v>
      </c>
      <c r="B148" s="22" t="inlineStr">
        <is>
          <t>Finance</t>
        </is>
      </c>
      <c r="C148" s="22" t="inlineStr">
        <is>
          <t>Cash runway</t>
        </is>
      </c>
      <c r="D148" s="22" t="inlineStr">
        <is>
          <t>/home → CEO; /finance/pnl</t>
        </is>
      </c>
      <c r="E148" s="22" t="inlineStr">
        <is>
          <t>Administrator, CEO</t>
        </is>
      </c>
      <c r="F148" s="22" t="inlineStr">
        <is>
          <t>Additional (v1 base)</t>
        </is>
      </c>
      <c r="G148" s="22" t="inlineStr">
        <is>
          <t>FIN-06</t>
        </is>
      </c>
      <c r="H148" s="28" t="inlineStr">
        <is>
          <t>Live</t>
        </is>
      </c>
    </row>
    <row r="149">
      <c r="A149" s="28" t="n">
        <v>145</v>
      </c>
      <c r="B149" s="22" t="inlineStr">
        <is>
          <t>Finance</t>
        </is>
      </c>
      <c r="C149" s="22" t="inlineStr">
        <is>
          <t>GST tax invoice editor per project: seller and buyer GSTIN, place of supply, HSN/SAC lines, CGST+SGST or IGST, bank and IFSC, amount in words</t>
        </is>
      </c>
      <c r="D149" s="22" t="inlineStr">
        <is>
          <t>/finance/invoices/new</t>
        </is>
      </c>
      <c r="E149" s="22" t="inlineStr">
        <is>
          <t>Administrator, CEO</t>
        </is>
      </c>
      <c r="F149" s="22" t="inlineStr">
        <is>
          <t>Additional (v7 workflows, documents &amp; invoicing)</t>
        </is>
      </c>
      <c r="G149" s="22" t="inlineStr"/>
      <c r="H149" s="28" t="inlineStr">
        <is>
          <t>Live</t>
        </is>
      </c>
    </row>
    <row r="150">
      <c r="A150" s="28" t="n">
        <v>146</v>
      </c>
      <c r="B150" s="22" t="inlineStr">
        <is>
          <t>Finance</t>
        </is>
      </c>
      <c r="C150" s="22" t="inlineStr">
        <is>
          <t>Invoice view, PDF, payments with TDS, email, cancel with credit note; revenue at taxable value</t>
        </is>
      </c>
      <c r="D150" s="22" t="inlineStr">
        <is>
          <t>/finance/invoices/:id</t>
        </is>
      </c>
      <c r="E150" s="22" t="inlineStr">
        <is>
          <t>Administrator, CEO</t>
        </is>
      </c>
      <c r="F150" s="22" t="inlineStr">
        <is>
          <t>Additional (v7 workflows, documents &amp; invoicing)</t>
        </is>
      </c>
      <c r="G150" s="22" t="inlineStr"/>
      <c r="H150" s="28" t="inlineStr">
        <is>
          <t>Live</t>
        </is>
      </c>
    </row>
    <row r="151">
      <c r="A151" s="28" t="n">
        <v>147</v>
      </c>
      <c r="B151" s="22" t="inlineStr">
        <is>
          <t>Spend &amp; procurement</t>
        </is>
      </c>
      <c r="C151" s="22" t="inlineStr">
        <is>
          <t>Submit an expense claim</t>
        </is>
      </c>
      <c r="D151" s="22" t="inlineStr">
        <is>
          <t>/expenses</t>
        </is>
      </c>
      <c r="E151" s="22" t="inlineStr">
        <is>
          <t>Everyone (own data)</t>
        </is>
      </c>
      <c r="F151" s="22" t="inlineStr">
        <is>
          <t>Additional (v3 business processes)</t>
        </is>
      </c>
      <c r="G151" s="22" t="inlineStr">
        <is>
          <t>SPD-01</t>
        </is>
      </c>
      <c r="H151" s="28" t="inlineStr">
        <is>
          <t>Live</t>
        </is>
      </c>
    </row>
    <row r="152">
      <c r="A152" s="28" t="n">
        <v>148</v>
      </c>
      <c r="B152" s="22" t="inlineStr">
        <is>
          <t>Spend &amp; procurement</t>
        </is>
      </c>
      <c r="C152" s="22" t="inlineStr">
        <is>
          <t>Approve or reject expenses (two-step above Rs 25,000)</t>
        </is>
      </c>
      <c r="D152" s="22" t="inlineStr">
        <is>
          <t>/expenses?tab=approve; /inbox</t>
        </is>
      </c>
      <c r="E152" s="22" t="inlineStr">
        <is>
          <t>Administrator, CEO, CTO, Project Manager, HR Manager, Sales Manager</t>
        </is>
      </c>
      <c r="F152" s="22" t="inlineStr">
        <is>
          <t>Additional (v3 business processes)</t>
        </is>
      </c>
      <c r="G152" s="22" t="inlineStr">
        <is>
          <t>SPD-02</t>
        </is>
      </c>
      <c r="H152" s="28" t="inlineStr">
        <is>
          <t>Live</t>
        </is>
      </c>
    </row>
    <row r="153">
      <c r="A153" s="28" t="n">
        <v>149</v>
      </c>
      <c r="B153" s="22" t="inlineStr">
        <is>
          <t>Spend &amp; procurement</t>
        </is>
      </c>
      <c r="C153" s="22" t="inlineStr">
        <is>
          <t>Reimburse an expense</t>
        </is>
      </c>
      <c r="D153" s="22" t="inlineStr">
        <is>
          <t>/expenses?tab=pay; /inbox</t>
        </is>
      </c>
      <c r="E153" s="22" t="inlineStr">
        <is>
          <t>Administrator, CEO, HR Manager</t>
        </is>
      </c>
      <c r="F153" s="22" t="inlineStr">
        <is>
          <t>Additional (v3 business processes)</t>
        </is>
      </c>
      <c r="G153" s="22" t="inlineStr">
        <is>
          <t>SPD-03</t>
        </is>
      </c>
      <c r="H153" s="28" t="inlineStr">
        <is>
          <t>Live</t>
        </is>
      </c>
    </row>
    <row r="154">
      <c r="A154" s="28" t="n">
        <v>150</v>
      </c>
      <c r="B154" s="22" t="inlineStr">
        <is>
          <t>Spend &amp; procurement</t>
        </is>
      </c>
      <c r="C154" s="22" t="inlineStr">
        <is>
          <t>Vendor master (onboard, block, unblock)</t>
        </is>
      </c>
      <c r="D154" s="22" t="inlineStr">
        <is>
          <t>/purchases (Vendors)</t>
        </is>
      </c>
      <c r="E154" s="22" t="inlineStr">
        <is>
          <t>Administrator, CEO, HR Manager</t>
        </is>
      </c>
      <c r="F154" s="22" t="inlineStr">
        <is>
          <t>Additional (v3 business processes)</t>
        </is>
      </c>
      <c r="G154" s="22" t="inlineStr">
        <is>
          <t>ORG-04</t>
        </is>
      </c>
      <c r="H154" s="28" t="inlineStr">
        <is>
          <t>Live</t>
        </is>
      </c>
    </row>
    <row r="155">
      <c r="A155" s="28" t="n">
        <v>151</v>
      </c>
      <c r="B155" s="22" t="inlineStr">
        <is>
          <t>Spend &amp; procurement</t>
        </is>
      </c>
      <c r="C155" s="22" t="inlineStr">
        <is>
          <t>Raise a purchase order</t>
        </is>
      </c>
      <c r="D155" s="22" t="inlineStr">
        <is>
          <t>/purchases</t>
        </is>
      </c>
      <c r="E155" s="22" t="inlineStr">
        <is>
          <t>Administrator, CEO, HR Manager</t>
        </is>
      </c>
      <c r="F155" s="22" t="inlineStr">
        <is>
          <t>Additional (v3 business processes)</t>
        </is>
      </c>
      <c r="G155" s="22" t="inlineStr">
        <is>
          <t>SPD-04</t>
        </is>
      </c>
      <c r="H155" s="28" t="inlineStr">
        <is>
          <t>Live</t>
        </is>
      </c>
    </row>
    <row r="156">
      <c r="A156" s="28" t="n">
        <v>152</v>
      </c>
      <c r="B156" s="22" t="inlineStr">
        <is>
          <t>Spend &amp; procurement</t>
        </is>
      </c>
      <c r="C156" s="22" t="inlineStr">
        <is>
          <t>Approve, reject or close a purchase order</t>
        </is>
      </c>
      <c r="D156" s="22" t="inlineStr">
        <is>
          <t>/purchases; /inbox</t>
        </is>
      </c>
      <c r="E156" s="22" t="inlineStr">
        <is>
          <t>Administrator, CEO, HR Manager</t>
        </is>
      </c>
      <c r="F156" s="22" t="inlineStr">
        <is>
          <t>Additional (v3 business processes)</t>
        </is>
      </c>
      <c r="G156" s="22" t="inlineStr">
        <is>
          <t>SPD-05</t>
        </is>
      </c>
      <c r="H156" s="28" t="inlineStr">
        <is>
          <t>Live</t>
        </is>
      </c>
    </row>
    <row r="157">
      <c r="A157" s="28" t="n">
        <v>153</v>
      </c>
      <c r="B157" s="22" t="inlineStr">
        <is>
          <t>Spend &amp; procurement</t>
        </is>
      </c>
      <c r="C157" s="22" t="inlineStr">
        <is>
          <t>Book a vendor bill with PO match</t>
        </is>
      </c>
      <c r="D157" s="22" t="inlineStr">
        <is>
          <t>/purchases</t>
        </is>
      </c>
      <c r="E157" s="22" t="inlineStr">
        <is>
          <t>Administrator, CEO, HR Manager</t>
        </is>
      </c>
      <c r="F157" s="22" t="inlineStr">
        <is>
          <t>Additional (v3 business processes)</t>
        </is>
      </c>
      <c r="G157" s="22" t="inlineStr">
        <is>
          <t>SPD-06</t>
        </is>
      </c>
      <c r="H157" s="28" t="inlineStr">
        <is>
          <t>Live</t>
        </is>
      </c>
    </row>
    <row r="158">
      <c r="A158" s="28" t="n">
        <v>154</v>
      </c>
      <c r="B158" s="22" t="inlineStr">
        <is>
          <t>Spend &amp; procurement</t>
        </is>
      </c>
      <c r="C158" s="22" t="inlineStr">
        <is>
          <t>Approve, dispute and pay vendor bills</t>
        </is>
      </c>
      <c r="D158" s="22" t="inlineStr">
        <is>
          <t>/purchases; /inbox</t>
        </is>
      </c>
      <c r="E158" s="22" t="inlineStr">
        <is>
          <t>Administrator, CEO, HR Manager</t>
        </is>
      </c>
      <c r="F158" s="22" t="inlineStr">
        <is>
          <t>Additional (v3 business processes)</t>
        </is>
      </c>
      <c r="G158" s="22" t="inlineStr">
        <is>
          <t>SPD-07</t>
        </is>
      </c>
      <c r="H158" s="28" t="inlineStr">
        <is>
          <t>Live</t>
        </is>
      </c>
    </row>
    <row r="159">
      <c r="A159" s="28" t="n">
        <v>155</v>
      </c>
      <c r="B159" s="22" t="inlineStr">
        <is>
          <t>Spend &amp; procurement</t>
        </is>
      </c>
      <c r="C159" s="22" t="inlineStr">
        <is>
          <t>Annual budget with monthly phasing</t>
        </is>
      </c>
      <c r="D159" s="22" t="inlineStr">
        <is>
          <t>/budgets</t>
        </is>
      </c>
      <c r="E159" s="22" t="inlineStr">
        <is>
          <t>Administrator, CEO</t>
        </is>
      </c>
      <c r="F159" s="22" t="inlineStr">
        <is>
          <t>Additional (v3 business processes)</t>
        </is>
      </c>
      <c r="G159" s="22" t="inlineStr">
        <is>
          <t>SPD-08</t>
        </is>
      </c>
      <c r="H159" s="28" t="inlineStr">
        <is>
          <t>Live</t>
        </is>
      </c>
    </row>
    <row r="160">
      <c r="A160" s="28" t="n">
        <v>156</v>
      </c>
      <c r="B160" s="22" t="inlineStr">
        <is>
          <t>Spend &amp; procurement</t>
        </is>
      </c>
      <c r="C160" s="22" t="inlineStr">
        <is>
          <t>Budget vs actual review</t>
        </is>
      </c>
      <c r="D160" s="22" t="inlineStr">
        <is>
          <t>/budgets</t>
        </is>
      </c>
      <c r="E160" s="22" t="inlineStr">
        <is>
          <t>Administrator, CEO</t>
        </is>
      </c>
      <c r="F160" s="22" t="inlineStr">
        <is>
          <t>Additional (v3 business processes)</t>
        </is>
      </c>
      <c r="G160" s="22" t="inlineStr">
        <is>
          <t>SPD-09</t>
        </is>
      </c>
      <c r="H160" s="28" t="inlineStr">
        <is>
          <t>Live</t>
        </is>
      </c>
    </row>
    <row r="161">
      <c r="A161" s="28" t="n">
        <v>157</v>
      </c>
      <c r="B161" s="22" t="inlineStr">
        <is>
          <t>Spend &amp; procurement</t>
        </is>
      </c>
      <c r="C161" s="22" t="inlineStr">
        <is>
          <t>Unbudgeted / additional spend register</t>
        </is>
      </c>
      <c r="D161" s="22" t="inlineStr">
        <is>
          <t>/budgets</t>
        </is>
      </c>
      <c r="E161" s="22" t="inlineStr">
        <is>
          <t>Administrator, CEO</t>
        </is>
      </c>
      <c r="F161" s="22" t="inlineStr">
        <is>
          <t>Additional (v3 business processes)</t>
        </is>
      </c>
      <c r="G161" s="22" t="inlineStr">
        <is>
          <t>SPD-10</t>
        </is>
      </c>
      <c r="H161" s="28" t="inlineStr">
        <is>
          <t>Live</t>
        </is>
      </c>
    </row>
    <row r="162">
      <c r="A162" s="28" t="n">
        <v>158</v>
      </c>
      <c r="B162" s="22" t="inlineStr">
        <is>
          <t>Revenue assurance</t>
        </is>
      </c>
      <c r="C162" s="22" t="inlineStr">
        <is>
          <t>Lost revenue register and reporting</t>
        </is>
      </c>
      <c r="D162" s="22" t="inlineStr">
        <is>
          <t>/leakage</t>
        </is>
      </c>
      <c r="E162" s="22" t="inlineStr">
        <is>
          <t>Administrator, CEO, Sales Manager</t>
        </is>
      </c>
      <c r="F162" s="22" t="inlineStr">
        <is>
          <t>Additional (v3 business processes)</t>
        </is>
      </c>
      <c r="G162" s="22" t="inlineStr">
        <is>
          <t>REV-01</t>
        </is>
      </c>
      <c r="H162" s="28" t="inlineStr">
        <is>
          <t>Live</t>
        </is>
      </c>
    </row>
    <row r="163">
      <c r="A163" s="28" t="n">
        <v>159</v>
      </c>
      <c r="B163" s="22" t="inlineStr">
        <is>
          <t>Revenue assurance</t>
        </is>
      </c>
      <c r="C163" s="22" t="inlineStr">
        <is>
          <t>Auto-detect lost deals</t>
        </is>
      </c>
      <c r="D163" s="22" t="inlineStr">
        <is>
          <t>/leakage</t>
        </is>
      </c>
      <c r="E163" s="22" t="inlineStr">
        <is>
          <t>Administrator, CEO, Sales Manager</t>
        </is>
      </c>
      <c r="F163" s="22" t="inlineStr">
        <is>
          <t>Additional (v3 business processes)</t>
        </is>
      </c>
      <c r="G163" s="22" t="inlineStr">
        <is>
          <t>REV-02</t>
        </is>
      </c>
      <c r="H163" s="28" t="inlineStr">
        <is>
          <t>Live</t>
        </is>
      </c>
    </row>
    <row r="164">
      <c r="A164" s="28" t="n">
        <v>160</v>
      </c>
      <c r="B164" s="22" t="inlineStr">
        <is>
          <t>Revenue assurance</t>
        </is>
      </c>
      <c r="C164" s="22" t="inlineStr">
        <is>
          <t>Auto-detect unbilled hours</t>
        </is>
      </c>
      <c r="D164" s="22" t="inlineStr">
        <is>
          <t>/leakage</t>
        </is>
      </c>
      <c r="E164" s="22" t="inlineStr">
        <is>
          <t>Administrator, CEO, Sales Manager</t>
        </is>
      </c>
      <c r="F164" s="22" t="inlineStr">
        <is>
          <t>Additional (v3 business processes)</t>
        </is>
      </c>
      <c r="G164" s="22" t="inlineStr">
        <is>
          <t>REV-03</t>
        </is>
      </c>
      <c r="H164" s="28" t="inlineStr">
        <is>
          <t>Live</t>
        </is>
      </c>
    </row>
    <row r="165">
      <c r="A165" s="28" t="n">
        <v>161</v>
      </c>
      <c r="B165" s="22" t="inlineStr">
        <is>
          <t>Revenue assurance</t>
        </is>
      </c>
      <c r="C165" s="22" t="inlineStr">
        <is>
          <t>Auto-detect bad-debt risk</t>
        </is>
      </c>
      <c r="D165" s="22" t="inlineStr">
        <is>
          <t>/leakage</t>
        </is>
      </c>
      <c r="E165" s="22" t="inlineStr">
        <is>
          <t>Administrator, CEO, Sales Manager</t>
        </is>
      </c>
      <c r="F165" s="22" t="inlineStr">
        <is>
          <t>Additional (v3 business processes)</t>
        </is>
      </c>
      <c r="G165" s="22" t="inlineStr">
        <is>
          <t>REV-04</t>
        </is>
      </c>
      <c r="H165" s="28" t="inlineStr">
        <is>
          <t>Live</t>
        </is>
      </c>
    </row>
    <row r="166">
      <c r="A166" s="28" t="n">
        <v>162</v>
      </c>
      <c r="B166" s="22" t="inlineStr">
        <is>
          <t>Revenue assurance</t>
        </is>
      </c>
      <c r="C166" s="22" t="inlineStr">
        <is>
          <t>Auto-detect scope creep (rejected / unbilled change requests)</t>
        </is>
      </c>
      <c r="D166" s="22" t="inlineStr">
        <is>
          <t>/leakage</t>
        </is>
      </c>
      <c r="E166" s="22" t="inlineStr">
        <is>
          <t>Administrator, CEO, Sales Manager</t>
        </is>
      </c>
      <c r="F166" s="22" t="inlineStr">
        <is>
          <t>Additional (v3 business processes)</t>
        </is>
      </c>
      <c r="G166" s="22" t="inlineStr">
        <is>
          <t>REV-05</t>
        </is>
      </c>
      <c r="H166" s="28" t="inlineStr">
        <is>
          <t>Live</t>
        </is>
      </c>
    </row>
    <row r="167">
      <c r="A167" s="28" t="n">
        <v>163</v>
      </c>
      <c r="B167" s="22" t="inlineStr">
        <is>
          <t>Revenue assurance</t>
        </is>
      </c>
      <c r="C167" s="22" t="inlineStr">
        <is>
          <t>Record discounts, write-offs, credit notes, penalties and churn</t>
        </is>
      </c>
      <c r="D167" s="22" t="inlineStr">
        <is>
          <t>/leakage</t>
        </is>
      </c>
      <c r="E167" s="22" t="inlineStr">
        <is>
          <t>Administrator, CEO, Sales Manager</t>
        </is>
      </c>
      <c r="F167" s="22" t="inlineStr">
        <is>
          <t>Additional (v3 business processes)</t>
        </is>
      </c>
      <c r="G167" s="22" t="inlineStr">
        <is>
          <t>REV-06</t>
        </is>
      </c>
      <c r="H167" s="28" t="inlineStr">
        <is>
          <t>Live</t>
        </is>
      </c>
    </row>
    <row r="168">
      <c r="A168" s="28" t="n">
        <v>164</v>
      </c>
      <c r="B168" s="22" t="inlineStr">
        <is>
          <t>Revenue assurance</t>
        </is>
      </c>
      <c r="C168" s="22" t="inlineStr">
        <is>
          <t>Recovery tracking</t>
        </is>
      </c>
      <c r="D168" s="22" t="inlineStr">
        <is>
          <t>/leakage</t>
        </is>
      </c>
      <c r="E168" s="22" t="inlineStr">
        <is>
          <t>Administrator, CEO, Sales Manager</t>
        </is>
      </c>
      <c r="F168" s="22" t="inlineStr">
        <is>
          <t>Additional (v3 business processes)</t>
        </is>
      </c>
      <c r="G168" s="22" t="inlineStr">
        <is>
          <t>REV-07</t>
        </is>
      </c>
      <c r="H168" s="28" t="inlineStr">
        <is>
          <t>Live</t>
        </is>
      </c>
    </row>
    <row r="169">
      <c r="A169" s="28" t="n">
        <v>165</v>
      </c>
      <c r="B169" s="22" t="inlineStr">
        <is>
          <t>People &amp; HR</t>
        </is>
      </c>
      <c r="C169" s="22" t="inlineStr">
        <is>
          <t>Team table</t>
        </is>
      </c>
      <c r="D169" s="22" t="inlineStr">
        <is>
          <t>Admin › Team &amp; settings › Team (/settings/team)</t>
        </is>
      </c>
      <c r="E169" s="22" t="inlineStr">
        <is>
          <t>Administrator, CEO, CTO, HR Manager, HR Executive</t>
        </is>
      </c>
      <c r="F169" s="22" t="inlineStr">
        <is>
          <t>Feature Guide (G16.01)</t>
        </is>
      </c>
      <c r="G169" s="22" t="inlineStr"/>
      <c r="H169" s="28" t="inlineStr">
        <is>
          <t>Live</t>
        </is>
      </c>
    </row>
    <row r="170">
      <c r="A170" s="28" t="n">
        <v>166</v>
      </c>
      <c r="B170" s="22" t="inlineStr">
        <is>
          <t>People &amp; HR</t>
        </is>
      </c>
      <c r="C170" s="22" t="inlineStr">
        <is>
          <t>Candidate pipeline</t>
        </is>
      </c>
      <c r="D170" s="22" t="inlineStr">
        <is>
          <t>/recruitment</t>
        </is>
      </c>
      <c r="E170" s="22" t="inlineStr">
        <is>
          <t>Administrator, CEO, CTO, Project Manager, HR Manager, HR Executive</t>
        </is>
      </c>
      <c r="F170" s="22" t="inlineStr">
        <is>
          <t>Additional (v3 business processes)</t>
        </is>
      </c>
      <c r="G170" s="22" t="inlineStr">
        <is>
          <t>HR-02</t>
        </is>
      </c>
      <c r="H170" s="28" t="inlineStr">
        <is>
          <t>Live</t>
        </is>
      </c>
    </row>
    <row r="171">
      <c r="A171" s="28" t="n">
        <v>167</v>
      </c>
      <c r="B171" s="22" t="inlineStr">
        <is>
          <t>People &amp; HR</t>
        </is>
      </c>
      <c r="C171" s="22" t="inlineStr">
        <is>
          <t>Interviews and feedback</t>
        </is>
      </c>
      <c r="D171" s="22" t="inlineStr">
        <is>
          <t>/recruitment</t>
        </is>
      </c>
      <c r="E171" s="22" t="inlineStr">
        <is>
          <t>Administrator, CEO, CTO, Project Manager, HR Manager, HR Executive</t>
        </is>
      </c>
      <c r="F171" s="22" t="inlineStr">
        <is>
          <t>Additional (v3 business processes)</t>
        </is>
      </c>
      <c r="G171" s="22" t="inlineStr">
        <is>
          <t>HR-03</t>
        </is>
      </c>
      <c r="H171" s="28" t="inlineStr">
        <is>
          <t>Live</t>
        </is>
      </c>
    </row>
    <row r="172">
      <c r="A172" s="28" t="n">
        <v>168</v>
      </c>
      <c r="B172" s="22" t="inlineStr">
        <is>
          <t>People &amp; HR</t>
        </is>
      </c>
      <c r="C172" s="22" t="inlineStr">
        <is>
          <t>Make an offer or reject a candidate</t>
        </is>
      </c>
      <c r="D172" s="22" t="inlineStr">
        <is>
          <t>/recruitment</t>
        </is>
      </c>
      <c r="E172" s="22" t="inlineStr">
        <is>
          <t>Administrator, CEO, CTO, Project Manager, HR Manager, HR Executive</t>
        </is>
      </c>
      <c r="F172" s="22" t="inlineStr">
        <is>
          <t>Additional (v3 business processes)</t>
        </is>
      </c>
      <c r="G172" s="22" t="inlineStr">
        <is>
          <t>HR-04</t>
        </is>
      </c>
      <c r="H172" s="28" t="inlineStr">
        <is>
          <t>Live</t>
        </is>
      </c>
    </row>
    <row r="173">
      <c r="A173" s="28" t="n">
        <v>169</v>
      </c>
      <c r="B173" s="22" t="inlineStr">
        <is>
          <t>People &amp; HR</t>
        </is>
      </c>
      <c r="C173" s="22" t="inlineStr">
        <is>
          <t>Hire: invite and start onboarding</t>
        </is>
      </c>
      <c r="D173" s="22" t="inlineStr">
        <is>
          <t>/recruitment</t>
        </is>
      </c>
      <c r="E173" s="22" t="inlineStr">
        <is>
          <t>Administrator, CEO, CTO, Project Manager, HR Manager, HR Executive</t>
        </is>
      </c>
      <c r="F173" s="22" t="inlineStr">
        <is>
          <t>Additional (v3 business processes)</t>
        </is>
      </c>
      <c r="G173" s="22" t="inlineStr">
        <is>
          <t>HR-05</t>
        </is>
      </c>
      <c r="H173" s="28" t="inlineStr">
        <is>
          <t>Live</t>
        </is>
      </c>
    </row>
    <row r="174">
      <c r="A174" s="28" t="n">
        <v>170</v>
      </c>
      <c r="B174" s="22" t="inlineStr">
        <is>
          <t>People &amp; HR</t>
        </is>
      </c>
      <c r="C174" s="22" t="inlineStr">
        <is>
          <t>Onboarding checklist</t>
        </is>
      </c>
      <c r="D174" s="22" t="inlineStr">
        <is>
          <t>/lifecycle</t>
        </is>
      </c>
      <c r="E174" s="22" t="inlineStr">
        <is>
          <t>Administrator, CEO, HR Manager</t>
        </is>
      </c>
      <c r="F174" s="22" t="inlineStr">
        <is>
          <t>Additional (v3 business processes)</t>
        </is>
      </c>
      <c r="G174" s="22" t="inlineStr">
        <is>
          <t>HR-06</t>
        </is>
      </c>
      <c r="H174" s="28" t="inlineStr">
        <is>
          <t>Live</t>
        </is>
      </c>
    </row>
    <row r="175">
      <c r="A175" s="28" t="n">
        <v>171</v>
      </c>
      <c r="B175" s="22" t="inlineStr">
        <is>
          <t>People &amp; HR</t>
        </is>
      </c>
      <c r="C175" s="22" t="inlineStr">
        <is>
          <t>Exit and offboarding checklist</t>
        </is>
      </c>
      <c r="D175" s="22" t="inlineStr">
        <is>
          <t>/lifecycle</t>
        </is>
      </c>
      <c r="E175" s="22" t="inlineStr">
        <is>
          <t>Administrator, CEO, HR Manager</t>
        </is>
      </c>
      <c r="F175" s="22" t="inlineStr">
        <is>
          <t>Additional (v3 business processes)</t>
        </is>
      </c>
      <c r="G175" s="22" t="inlineStr">
        <is>
          <t>HR-15</t>
        </is>
      </c>
      <c r="H175" s="28" t="inlineStr">
        <is>
          <t>Live</t>
        </is>
      </c>
    </row>
    <row r="176">
      <c r="A176" s="28" t="n">
        <v>172</v>
      </c>
      <c r="B176" s="22" t="inlineStr">
        <is>
          <t>People &amp; HR</t>
        </is>
      </c>
      <c r="C176" s="22" t="inlineStr">
        <is>
          <t>Asset register: issue and return</t>
        </is>
      </c>
      <c r="D176" s="22" t="inlineStr">
        <is>
          <t>/assets</t>
        </is>
      </c>
      <c r="E176" s="22" t="inlineStr">
        <is>
          <t>Administrator, CEO, HR Manager</t>
        </is>
      </c>
      <c r="F176" s="22" t="inlineStr">
        <is>
          <t>Additional (v3 business processes)</t>
        </is>
      </c>
      <c r="G176" s="22" t="inlineStr">
        <is>
          <t>HR-07</t>
        </is>
      </c>
      <c r="H176" s="28" t="inlineStr">
        <is>
          <t>Live</t>
        </is>
      </c>
    </row>
    <row r="177">
      <c r="A177" s="28" t="n">
        <v>173</v>
      </c>
      <c r="B177" s="22" t="inlineStr">
        <is>
          <t>People &amp; HR</t>
        </is>
      </c>
      <c r="C177" s="22" t="inlineStr">
        <is>
          <t>Goals and KRAs</t>
        </is>
      </c>
      <c r="D177" s="22" t="inlineStr">
        <is>
          <t>/performance</t>
        </is>
      </c>
      <c r="E177" s="22" t="inlineStr">
        <is>
          <t>All roles (own goals: everyone); full: Administrator, CEO, CTO, Project Manager, HR Manager, Sales Manager</t>
        </is>
      </c>
      <c r="F177" s="22" t="inlineStr">
        <is>
          <t>Additional (v3 business processes)</t>
        </is>
      </c>
      <c r="G177" s="22" t="inlineStr">
        <is>
          <t>HR-08</t>
        </is>
      </c>
      <c r="H177" s="28" t="inlineStr">
        <is>
          <t>Live</t>
        </is>
      </c>
    </row>
    <row r="178">
      <c r="A178" s="28" t="n">
        <v>174</v>
      </c>
      <c r="B178" s="22" t="inlineStr">
        <is>
          <t>People &amp; HR</t>
        </is>
      </c>
      <c r="C178" s="22" t="inlineStr">
        <is>
          <t>Continuous feedback and praise</t>
        </is>
      </c>
      <c r="D178" s="22" t="inlineStr">
        <is>
          <t>/performance</t>
        </is>
      </c>
      <c r="E178" s="22" t="inlineStr">
        <is>
          <t>Everyone (own data)</t>
        </is>
      </c>
      <c r="F178" s="22" t="inlineStr">
        <is>
          <t>Additional (v3 business processes)</t>
        </is>
      </c>
      <c r="G178" s="22" t="inlineStr">
        <is>
          <t>HR-09</t>
        </is>
      </c>
      <c r="H178" s="28" t="inlineStr">
        <is>
          <t>Live</t>
        </is>
      </c>
    </row>
    <row r="179">
      <c r="A179" s="28" t="n">
        <v>175</v>
      </c>
      <c r="B179" s="22" t="inlineStr">
        <is>
          <t>People &amp; HR</t>
        </is>
      </c>
      <c r="C179" s="22" t="inlineStr">
        <is>
          <t>Appraisal cycle: set up and launch</t>
        </is>
      </c>
      <c r="D179" s="22" t="inlineStr">
        <is>
          <t>/appraisals</t>
        </is>
      </c>
      <c r="E179" s="22" t="inlineStr">
        <is>
          <t>Administrator, CEO, HR Manager</t>
        </is>
      </c>
      <c r="F179" s="22" t="inlineStr">
        <is>
          <t>Additional (v3 business processes)</t>
        </is>
      </c>
      <c r="G179" s="22" t="inlineStr">
        <is>
          <t>HR-10</t>
        </is>
      </c>
      <c r="H179" s="28" t="inlineStr">
        <is>
          <t>Live</t>
        </is>
      </c>
    </row>
    <row r="180">
      <c r="A180" s="28" t="n">
        <v>176</v>
      </c>
      <c r="B180" s="22" t="inlineStr">
        <is>
          <t>People &amp; HR</t>
        </is>
      </c>
      <c r="C180" s="22" t="inlineStr">
        <is>
          <t>Self review</t>
        </is>
      </c>
      <c r="D180" s="22" t="inlineStr">
        <is>
          <t>/appraisals/:id</t>
        </is>
      </c>
      <c r="E180" s="22" t="inlineStr">
        <is>
          <t>Everyone (own data)</t>
        </is>
      </c>
      <c r="F180" s="22" t="inlineStr">
        <is>
          <t>Additional (v3 business processes)</t>
        </is>
      </c>
      <c r="G180" s="22" t="inlineStr">
        <is>
          <t>HR-11</t>
        </is>
      </c>
      <c r="H180" s="28" t="inlineStr">
        <is>
          <t>Live</t>
        </is>
      </c>
    </row>
    <row r="181">
      <c r="A181" s="28" t="n">
        <v>177</v>
      </c>
      <c r="B181" s="22" t="inlineStr">
        <is>
          <t>People &amp; HR</t>
        </is>
      </c>
      <c r="C181" s="22" t="inlineStr">
        <is>
          <t>Manager review with system-suggested score</t>
        </is>
      </c>
      <c r="D181" s="22" t="inlineStr">
        <is>
          <t>/appraisals/:id</t>
        </is>
      </c>
      <c r="E181" s="22" t="inlineStr">
        <is>
          <t>Reporting manager of the appraisee</t>
        </is>
      </c>
      <c r="F181" s="22" t="inlineStr">
        <is>
          <t>Additional (v3 business processes)</t>
        </is>
      </c>
      <c r="G181" s="22" t="inlineStr">
        <is>
          <t>HR-12</t>
        </is>
      </c>
      <c r="H181" s="28" t="inlineStr">
        <is>
          <t>Live</t>
        </is>
      </c>
    </row>
    <row r="182">
      <c r="A182" s="28" t="n">
        <v>178</v>
      </c>
      <c r="B182" s="22" t="inlineStr">
        <is>
          <t>People &amp; HR</t>
        </is>
      </c>
      <c r="C182" s="22" t="inlineStr">
        <is>
          <t>HR review, calibration and outcome</t>
        </is>
      </c>
      <c r="D182" s="22" t="inlineStr">
        <is>
          <t>/appraisals/:id</t>
        </is>
      </c>
      <c r="E182" s="22" t="inlineStr">
        <is>
          <t>Administrator, CEO, HR Manager</t>
        </is>
      </c>
      <c r="F182" s="22" t="inlineStr">
        <is>
          <t>Additional (v3 business processes)</t>
        </is>
      </c>
      <c r="G182" s="22" t="inlineStr">
        <is>
          <t>HR-13</t>
        </is>
      </c>
      <c r="H182" s="28" t="inlineStr">
        <is>
          <t>Live</t>
        </is>
      </c>
    </row>
    <row r="183">
      <c r="A183" s="28" t="n">
        <v>179</v>
      </c>
      <c r="B183" s="22" t="inlineStr">
        <is>
          <t>People &amp; HR</t>
        </is>
      </c>
      <c r="C183" s="22" t="inlineStr">
        <is>
          <t>Performance profile (my performance)</t>
        </is>
      </c>
      <c r="D183" s="22" t="inlineStr">
        <is>
          <t>/performance; /performance/:userId</t>
        </is>
      </c>
      <c r="E183" s="22" t="inlineStr">
        <is>
          <t>Everyone (own data)</t>
        </is>
      </c>
      <c r="F183" s="22" t="inlineStr">
        <is>
          <t>Additional (v3 business processes)</t>
        </is>
      </c>
      <c r="G183" s="22" t="inlineStr">
        <is>
          <t>HR-14</t>
        </is>
      </c>
      <c r="H183" s="28" t="inlineStr">
        <is>
          <t>Live</t>
        </is>
      </c>
    </row>
    <row r="184">
      <c r="A184" s="28" t="n">
        <v>180</v>
      </c>
      <c r="B184" s="22" t="inlineStr">
        <is>
          <t>People &amp; HR</t>
        </is>
      </c>
      <c r="C184" s="22" t="inlineStr">
        <is>
          <t>Apply appraisal increments to salary</t>
        </is>
      </c>
      <c r="D184" s="22" t="inlineStr">
        <is>
          <t>/appraisals/:id → /settings/cost-rates</t>
        </is>
      </c>
      <c r="E184" s="22" t="inlineStr">
        <is>
          <t>Administrator, CEO</t>
        </is>
      </c>
      <c r="F184" s="22" t="inlineStr">
        <is>
          <t>Additional (v3 business processes)</t>
        </is>
      </c>
      <c r="G184" s="22" t="inlineStr">
        <is>
          <t>PAY-05</t>
        </is>
      </c>
      <c r="H184" s="28" t="inlineStr">
        <is>
          <t>Live</t>
        </is>
      </c>
    </row>
    <row r="185">
      <c r="A185" s="28" t="n">
        <v>181</v>
      </c>
      <c r="B185" s="22" t="inlineStr">
        <is>
          <t>People &amp; HR</t>
        </is>
      </c>
      <c r="C185" s="22" t="inlineStr">
        <is>
          <t>Annual appraisal workflow: self &gt; manager/TL &gt; unit head &gt; HR &gt; finance &gt; letter issued, email sent, CTC change via maker-checker</t>
        </is>
      </c>
      <c r="D185" s="22" t="inlineStr">
        <is>
          <t>/workflows; /appraisals</t>
        </is>
      </c>
      <c r="E185" s="22" t="inlineStr">
        <is>
          <t>Administrator, CEO, HR Manager, HR Executive</t>
        </is>
      </c>
      <c r="F185" s="22" t="inlineStr">
        <is>
          <t>Additional (v7 workflows, documents &amp; invoicing)</t>
        </is>
      </c>
      <c r="G185" s="22" t="inlineStr"/>
      <c r="H185" s="28" t="inlineStr">
        <is>
          <t>Live</t>
        </is>
      </c>
    </row>
    <row r="186">
      <c r="A186" s="28" t="n">
        <v>182</v>
      </c>
      <c r="B186" s="22" t="inlineStr">
        <is>
          <t>People &amp; HR</t>
        </is>
      </c>
      <c r="C186" s="22" t="inlineStr">
        <is>
          <t>Ready-made workflows: probation confirmation, onboarding, exit clearance, promotion, document approval</t>
        </is>
      </c>
      <c r="D186" s="22" t="inlineStr">
        <is>
          <t>/workflows/designer</t>
        </is>
      </c>
      <c r="E186" s="22" t="inlineStr">
        <is>
          <t>Administrator, CEO, HR Manager</t>
        </is>
      </c>
      <c r="F186" s="22" t="inlineStr">
        <is>
          <t>Additional (v7 workflows, documents &amp; invoicing)</t>
        </is>
      </c>
      <c r="G186" s="22" t="inlineStr"/>
      <c r="H186" s="28" t="inlineStr">
        <is>
          <t>Live</t>
        </is>
      </c>
    </row>
    <row r="187">
      <c r="A187" s="28" t="n">
        <v>183</v>
      </c>
      <c r="B187" s="22" t="inlineStr">
        <is>
          <t>Documents</t>
        </is>
      </c>
      <c r="C187" s="22" t="inlineStr">
        <is>
          <t>Project documents: PM uploads and manages</t>
        </is>
      </c>
      <c r="D187" s="22" t="inlineStr">
        <is>
          <t>/projects/:id/documents</t>
        </is>
      </c>
      <c r="E187" s="22" t="inlineStr">
        <is>
          <t>Administrator, CEO, CTO, Project Manager</t>
        </is>
      </c>
      <c r="F187" s="22" t="inlineStr">
        <is>
          <t>Additional (v3 business processes)</t>
        </is>
      </c>
      <c r="G187" s="22" t="inlineStr">
        <is>
          <t>DOC-01</t>
        </is>
      </c>
      <c r="H187" s="28" t="inlineStr">
        <is>
          <t>Live</t>
        </is>
      </c>
    </row>
    <row r="188">
      <c r="A188" s="28" t="n">
        <v>184</v>
      </c>
      <c r="B188" s="22" t="inlineStr">
        <is>
          <t>Documents</t>
        </is>
      </c>
      <c r="C188" s="22" t="inlineStr">
        <is>
          <t>Employees access project documents</t>
        </is>
      </c>
      <c r="D188" s="22" t="inlineStr">
        <is>
          <t>/documents; /projects/:id/documents</t>
        </is>
      </c>
      <c r="E188" s="22" t="inlineStr">
        <is>
          <t>Everyone (own data)</t>
        </is>
      </c>
      <c r="F188" s="22" t="inlineStr">
        <is>
          <t>Additional (v3 business processes)</t>
        </is>
      </c>
      <c r="G188" s="22" t="inlineStr">
        <is>
          <t>DOC-02</t>
        </is>
      </c>
      <c r="H188" s="28" t="inlineStr">
        <is>
          <t>Live</t>
        </is>
      </c>
    </row>
    <row r="189">
      <c r="A189" s="28" t="n">
        <v>185</v>
      </c>
      <c r="B189" s="22" t="inlineStr">
        <is>
          <t>Documents</t>
        </is>
      </c>
      <c r="C189" s="22" t="inlineStr">
        <is>
          <t>Document versions, archive and restore</t>
        </is>
      </c>
      <c r="D189" s="22" t="inlineStr">
        <is>
          <t>/documents</t>
        </is>
      </c>
      <c r="E189" s="22" t="inlineStr">
        <is>
          <t>Administrator, CEO, CTO, Project Manager</t>
        </is>
      </c>
      <c r="F189" s="22" t="inlineStr">
        <is>
          <t>Additional (v3 business processes)</t>
        </is>
      </c>
      <c r="G189" s="22" t="inlineStr">
        <is>
          <t>DOC-03</t>
        </is>
      </c>
      <c r="H189" s="28" t="inlineStr">
        <is>
          <t>Live</t>
        </is>
      </c>
    </row>
    <row r="190">
      <c r="A190" s="28" t="n">
        <v>186</v>
      </c>
      <c r="B190" s="22" t="inlineStr">
        <is>
          <t>Documents</t>
        </is>
      </c>
      <c r="C190" s="22" t="inlineStr">
        <is>
          <t>Must-read acknowledgements</t>
        </is>
      </c>
      <c r="D190" s="22" t="inlineStr">
        <is>
          <t>/inbox; /documents</t>
        </is>
      </c>
      <c r="E190" s="22" t="inlineStr">
        <is>
          <t>All roles (acknowledge: everyone); full: Administrator, CEO, CTO, Project Manager</t>
        </is>
      </c>
      <c r="F190" s="22" t="inlineStr">
        <is>
          <t>Additional (v3 business processes)</t>
        </is>
      </c>
      <c r="G190" s="22" t="inlineStr">
        <is>
          <t>DOC-04</t>
        </is>
      </c>
      <c r="H190" s="28" t="inlineStr">
        <is>
          <t>Live</t>
        </is>
      </c>
    </row>
    <row r="191">
      <c r="A191" s="28" t="n">
        <v>187</v>
      </c>
      <c r="B191" s="22" t="inlineStr">
        <is>
          <t>Documents</t>
        </is>
      </c>
      <c r="C191" s="22" t="inlineStr">
        <is>
          <t>Company library and policies</t>
        </is>
      </c>
      <c r="D191" s="22" t="inlineStr">
        <is>
          <t>/documents</t>
        </is>
      </c>
      <c r="E191" s="22" t="inlineStr">
        <is>
          <t>All roles (read: everyone); full: Administrator, CEO, HR Manager, HR Executive</t>
        </is>
      </c>
      <c r="F191" s="22" t="inlineStr">
        <is>
          <t>Additional (v3 business processes)</t>
        </is>
      </c>
      <c r="G191" s="22" t="inlineStr">
        <is>
          <t>DOC-05</t>
        </is>
      </c>
      <c r="H191" s="28" t="inlineStr">
        <is>
          <t>Live</t>
        </is>
      </c>
    </row>
    <row r="192">
      <c r="A192" s="28" t="n">
        <v>188</v>
      </c>
      <c r="B192" s="22" t="inlineStr">
        <is>
          <t>Documents</t>
        </is>
      </c>
      <c r="C192" s="22" t="inlineStr">
        <is>
          <t>Documents hub: Templates, Issued documents, Policies, Employee documents, Project documents, My documents</t>
        </is>
      </c>
      <c r="D192" s="22" t="inlineStr">
        <is>
          <t>/documents</t>
        </is>
      </c>
      <c r="E192" s="22" t="inlineStr">
        <is>
          <t>Everyone (own data)</t>
        </is>
      </c>
      <c r="F192" s="22" t="inlineStr">
        <is>
          <t>Additional (v7 workflows, documents &amp; invoicing)</t>
        </is>
      </c>
      <c r="G192" s="22" t="inlineStr"/>
      <c r="H192" s="28" t="inlineStr">
        <is>
          <t>Live</t>
        </is>
      </c>
    </row>
    <row r="193">
      <c r="A193" s="28" t="n">
        <v>189</v>
      </c>
      <c r="B193" s="22" t="inlineStr">
        <is>
          <t>Documents</t>
        </is>
      </c>
      <c r="C193" s="22" t="inlineStr">
        <is>
          <t>Letter templates with placeholders and letterhead; issue to one or many employees; PDF; acknowledgement</t>
        </is>
      </c>
      <c r="D193" s="22" t="inlineStr">
        <is>
          <t>/documents?tab=templates</t>
        </is>
      </c>
      <c r="E193" s="22" t="inlineStr">
        <is>
          <t>Administrator, CEO, HR Manager, HR Executive</t>
        </is>
      </c>
      <c r="F193" s="22" t="inlineStr">
        <is>
          <t>Additional (v7 workflows, documents &amp; invoicing)</t>
        </is>
      </c>
      <c r="G193" s="22" t="inlineStr"/>
      <c r="H193" s="28" t="inlineStr">
        <is>
          <t>Live</t>
        </is>
      </c>
    </row>
    <row r="194">
      <c r="A194" s="28" t="n">
        <v>190</v>
      </c>
      <c r="B194" s="22" t="inlineStr">
        <is>
          <t>Documents</t>
        </is>
      </c>
      <c r="C194" s="22" t="inlineStr">
        <is>
          <t>Payslips issued automatically when payroll is finalised; joining letter on create employee</t>
        </is>
      </c>
      <c r="D194" s="22" t="inlineStr">
        <is>
          <t>/documents?tab=issued; /payroll</t>
        </is>
      </c>
      <c r="E194" s="22" t="inlineStr">
        <is>
          <t>Administrator, CEO, HR Manager, HR Executive</t>
        </is>
      </c>
      <c r="F194" s="22" t="inlineStr">
        <is>
          <t>Additional (v7 workflows, documents &amp; invoicing)</t>
        </is>
      </c>
      <c r="G194" s="22" t="inlineStr"/>
      <c r="H194" s="28" t="inlineStr">
        <is>
          <t>Live</t>
        </is>
      </c>
    </row>
    <row r="195">
      <c r="A195" s="28" t="n">
        <v>191</v>
      </c>
      <c r="B195" s="22" t="inlineStr">
        <is>
          <t>Documents</t>
        </is>
      </c>
      <c r="C195" s="22" t="inlineStr">
        <is>
          <t>Employee documents employee-wise with upload, verify and reject</t>
        </is>
      </c>
      <c r="D195" s="22" t="inlineStr">
        <is>
          <t>/documents?tab=employees; /documents/employees/:id</t>
        </is>
      </c>
      <c r="E195" s="22" t="inlineStr">
        <is>
          <t>Administrator, CEO, HR Manager, HR Executive</t>
        </is>
      </c>
      <c r="F195" s="22" t="inlineStr">
        <is>
          <t>Additional (v7 workflows, documents &amp; invoicing)</t>
        </is>
      </c>
      <c r="G195" s="22" t="inlineStr"/>
      <c r="H195" s="28" t="inlineStr">
        <is>
          <t>Live</t>
        </is>
      </c>
    </row>
    <row r="196">
      <c r="A196" s="28" t="n">
        <v>192</v>
      </c>
      <c r="B196" s="22" t="inlineStr">
        <is>
          <t>Operations</t>
        </is>
      </c>
      <c r="C196" s="22" t="inlineStr">
        <is>
          <t>Operations recurring duties</t>
        </is>
      </c>
      <c r="D196" s="22" t="inlineStr">
        <is>
          <t>Company › Operations (/operations); Dashboard › Operations</t>
        </is>
      </c>
      <c r="E196" s="22" t="inlineStr">
        <is>
          <t>Administrator, CEO, HR Manager, HR Executive</t>
        </is>
      </c>
      <c r="F196" s="22" t="inlineStr">
        <is>
          <t>Feature Guide (G14.04)</t>
        </is>
      </c>
      <c r="G196" s="22" t="inlineStr">
        <is>
          <t>OPS-01, OPS-02, OPS-03</t>
        </is>
      </c>
      <c r="H196" s="28" t="inlineStr">
        <is>
          <t>Live</t>
        </is>
      </c>
    </row>
    <row r="197">
      <c r="A197" s="28" t="n">
        <v>193</v>
      </c>
      <c r="B197" s="22" t="inlineStr">
        <is>
          <t>Operations</t>
        </is>
      </c>
      <c r="C197" s="22" t="inlineStr">
        <is>
          <t>Operations tabs</t>
        </is>
      </c>
      <c r="D197" s="22" t="inlineStr">
        <is>
          <t>Company › Operations (/operations); Dashboard › Operations</t>
        </is>
      </c>
      <c r="E197" s="22" t="inlineStr">
        <is>
          <t>Administrator, CEO, HR Manager, HR Executive</t>
        </is>
      </c>
      <c r="F197" s="22" t="inlineStr">
        <is>
          <t>Feature Guide (G14.05)</t>
        </is>
      </c>
      <c r="G197" s="22" t="inlineStr">
        <is>
          <t>ANA-04</t>
        </is>
      </c>
      <c r="H197" s="28" t="inlineStr">
        <is>
          <t>Live</t>
        </is>
      </c>
    </row>
    <row r="198">
      <c r="A198" s="28" t="n">
        <v>194</v>
      </c>
      <c r="B198" s="22" t="inlineStr">
        <is>
          <t>Insights, reports &amp; AI</t>
        </is>
      </c>
      <c r="C198" s="22" t="inlineStr">
        <is>
          <t>Delivery predictions per project (P50 / P80)</t>
        </is>
      </c>
      <c r="D198" s="22" t="inlineStr">
        <is>
          <t>Company › Insights › Delivery predictions (/insights/predictions)</t>
        </is>
      </c>
      <c r="E198" s="22" t="inlineStr">
        <is>
          <t>Administrator, CEO, CTO, Project Manager, HR Manager, Sales Manager, Sales Executive</t>
        </is>
      </c>
      <c r="F198" s="22" t="inlineStr">
        <is>
          <t>Feature Guide (G15.01)</t>
        </is>
      </c>
      <c r="G198" s="22" t="inlineStr">
        <is>
          <t>ANA-06</t>
        </is>
      </c>
      <c r="H198" s="28" t="inlineStr">
        <is>
          <t>Live</t>
        </is>
      </c>
    </row>
    <row r="199">
      <c r="A199" s="28" t="n">
        <v>195</v>
      </c>
      <c r="B199" s="22" t="inlineStr">
        <is>
          <t>Insights, reports &amp; AI</t>
        </is>
      </c>
      <c r="C199" s="22" t="inlineStr">
        <is>
          <t>Milestone predictions</t>
        </is>
      </c>
      <c r="D199" s="22" t="inlineStr">
        <is>
          <t>Company › Insights › Delivery predictions (/insights/predictions)</t>
        </is>
      </c>
      <c r="E199" s="22" t="inlineStr">
        <is>
          <t>Administrator, CEO, CTO, Project Manager, HR Manager, Sales Manager, Sales Executive</t>
        </is>
      </c>
      <c r="F199" s="22" t="inlineStr">
        <is>
          <t>Feature Guide (G15.02)</t>
        </is>
      </c>
      <c r="G199" s="22" t="inlineStr"/>
      <c r="H199" s="28" t="inlineStr">
        <is>
          <t>Live</t>
        </is>
      </c>
    </row>
    <row r="200">
      <c r="A200" s="28" t="n">
        <v>196</v>
      </c>
      <c r="B200" s="22" t="inlineStr">
        <is>
          <t>Insights, reports &amp; AI</t>
        </is>
      </c>
      <c r="C200" s="22" t="inlineStr">
        <is>
          <t>Tasks most likely to slip</t>
        </is>
      </c>
      <c r="D200" s="22" t="inlineStr">
        <is>
          <t>Company › Insights › Delivery predictions (/insights/predictions)</t>
        </is>
      </c>
      <c r="E200" s="22" t="inlineStr">
        <is>
          <t>Administrator, CEO, CTO, Project Manager, HR Manager, Sales Manager, Sales Executive</t>
        </is>
      </c>
      <c r="F200" s="22" t="inlineStr">
        <is>
          <t>Feature Guide (G15.03)</t>
        </is>
      </c>
      <c r="G200" s="22" t="inlineStr"/>
      <c r="H200" s="28" t="inlineStr">
        <is>
          <t>Live</t>
        </is>
      </c>
    </row>
    <row r="201">
      <c r="A201" s="28" t="n">
        <v>197</v>
      </c>
      <c r="B201" s="22" t="inlineStr">
        <is>
          <t>Insights, reports &amp; AI</t>
        </is>
      </c>
      <c r="C201" s="22" t="inlineStr">
        <is>
          <t>Estimation accuracy</t>
        </is>
      </c>
      <c r="D201" s="22" t="inlineStr">
        <is>
          <t>Company › Insights › Estimation accuracy (/insights/estimation); task page</t>
        </is>
      </c>
      <c r="E201" s="22" t="inlineStr">
        <is>
          <t>Administrator, CEO, CTO, Project Manager, HR Manager, Sales Manager, Sales Executive</t>
        </is>
      </c>
      <c r="F201" s="22" t="inlineStr">
        <is>
          <t>Feature Guide (G15.04)</t>
        </is>
      </c>
      <c r="G201" s="22" t="inlineStr"/>
      <c r="H201" s="28" t="inlineStr">
        <is>
          <t>Live</t>
        </is>
      </c>
    </row>
    <row r="202">
      <c r="A202" s="28" t="n">
        <v>198</v>
      </c>
      <c r="B202" s="22" t="inlineStr">
        <is>
          <t>Insights, reports &amp; AI</t>
        </is>
      </c>
      <c r="C202" s="22" t="inlineStr">
        <is>
          <t>Insights operational views: tasks at risk, blocked, overdue milestones, effort ratio, allocation, timesheet compliance, approval KPI, stale deals</t>
        </is>
      </c>
      <c r="D202" s="22" t="inlineStr">
        <is>
          <t>/insights/:view</t>
        </is>
      </c>
      <c r="E202" s="22" t="inlineStr">
        <is>
          <t>Administrator, CEO, CTO, Project Manager, HR Manager, Sales Manager, Sales Executive</t>
        </is>
      </c>
      <c r="F202" s="22" t="inlineStr">
        <is>
          <t>Additional (v1 base)</t>
        </is>
      </c>
      <c r="G202" s="22" t="inlineStr">
        <is>
          <t>ANA-06, SAL-06</t>
        </is>
      </c>
      <c r="H202" s="28" t="inlineStr">
        <is>
          <t>Live</t>
        </is>
      </c>
    </row>
    <row r="203">
      <c r="A203" s="28" t="n">
        <v>199</v>
      </c>
      <c r="B203" s="22" t="inlineStr">
        <is>
          <t>Insights, reports &amp; AI</t>
        </is>
      </c>
      <c r="C203" s="22" t="inlineStr">
        <is>
          <t>'Ask AI' button on every insight view</t>
        </is>
      </c>
      <c r="D203" s="22" t="inlineStr">
        <is>
          <t>/insights/:view</t>
        </is>
      </c>
      <c r="E203" s="22" t="inlineStr">
        <is>
          <t>All roles</t>
        </is>
      </c>
      <c r="F203" s="22" t="inlineStr">
        <is>
          <t>Additional (v1 base)</t>
        </is>
      </c>
      <c r="G203" s="22" t="inlineStr">
        <is>
          <t>ANA-08</t>
        </is>
      </c>
      <c r="H203" s="28" t="inlineStr">
        <is>
          <t>Live</t>
        </is>
      </c>
    </row>
    <row r="204">
      <c r="A204" s="28" t="n">
        <v>200</v>
      </c>
      <c r="B204" s="22" t="inlineStr">
        <is>
          <t>Insights, reports &amp; AI</t>
        </is>
      </c>
      <c r="C204" s="22" t="inlineStr">
        <is>
          <t>Standard reports library (templates, pinned, mine, shared)</t>
        </is>
      </c>
      <c r="D204" s="22" t="inlineStr">
        <is>
          <t>/reports</t>
        </is>
      </c>
      <c r="E204" s="22" t="inlineStr">
        <is>
          <t>Administrator, CEO, CTO, Project Manager, HR Manager, HR Executive, Sales Manager, Sales Executive</t>
        </is>
      </c>
      <c r="F204" s="22" t="inlineStr">
        <is>
          <t>Additional (v1 base)</t>
        </is>
      </c>
      <c r="G204" s="22" t="inlineStr">
        <is>
          <t>ANA-07</t>
        </is>
      </c>
      <c r="H204" s="28" t="inlineStr">
        <is>
          <t>Live</t>
        </is>
      </c>
    </row>
    <row r="205">
      <c r="A205" s="28" t="n">
        <v>201</v>
      </c>
      <c r="B205" s="22" t="inlineStr">
        <is>
          <t>Insights, reports &amp; AI</t>
        </is>
      </c>
      <c r="C205" s="22" t="inlineStr">
        <is>
          <t>Custom report builder (datasets, measures, dimensions, filters, charts)</t>
        </is>
      </c>
      <c r="D205" s="22" t="inlineStr">
        <is>
          <t>/reports/new; /reports/:id/edit</t>
        </is>
      </c>
      <c r="E205" s="22" t="inlineStr">
        <is>
          <t>Administrator, CEO, CTO, Project Manager, HR Manager, Sales Manager, Sales Executive</t>
        </is>
      </c>
      <c r="F205" s="22" t="inlineStr">
        <is>
          <t>Additional (v1 base)</t>
        </is>
      </c>
      <c r="G205" s="22" t="inlineStr">
        <is>
          <t>ANA-07</t>
        </is>
      </c>
      <c r="H205" s="28" t="inlineStr">
        <is>
          <t>Live</t>
        </is>
      </c>
    </row>
    <row r="206">
      <c r="A206" s="28" t="n">
        <v>202</v>
      </c>
      <c r="B206" s="22" t="inlineStr">
        <is>
          <t>Insights, reports &amp; AI</t>
        </is>
      </c>
      <c r="C206" s="22" t="inlineStr">
        <is>
          <t>Saved and shared reports (duplicate, edit, delete)</t>
        </is>
      </c>
      <c r="D206" s="22" t="inlineStr">
        <is>
          <t>/reports/:id</t>
        </is>
      </c>
      <c r="E206" s="22" t="inlineStr">
        <is>
          <t>Administrator, CEO, CTO, Project Manager, HR Manager, HR Executive, Sales Manager, Sales Executive</t>
        </is>
      </c>
      <c r="F206" s="22" t="inlineStr">
        <is>
          <t>Additional (v1 base)</t>
        </is>
      </c>
      <c r="G206" s="22" t="inlineStr">
        <is>
          <t>ANA-07</t>
        </is>
      </c>
      <c r="H206" s="28" t="inlineStr">
        <is>
          <t>Live</t>
        </is>
      </c>
    </row>
    <row r="207">
      <c r="A207" s="28" t="n">
        <v>203</v>
      </c>
      <c r="B207" s="22" t="inlineStr">
        <is>
          <t>Insights, reports &amp; AI</t>
        </is>
      </c>
      <c r="C207" s="22" t="inlineStr">
        <is>
          <t>Report datasets for all business processes (22 datasets)</t>
        </is>
      </c>
      <c r="D207" s="22" t="inlineStr">
        <is>
          <t>/reports/new; /ai</t>
        </is>
      </c>
      <c r="E207" s="22" t="inlineStr">
        <is>
          <t>Administrator, CEO, CTO, Project Manager, HR Manager, Sales Manager, Sales Executive</t>
        </is>
      </c>
      <c r="F207" s="22" t="inlineStr">
        <is>
          <t>Additional (v3 business processes)</t>
        </is>
      </c>
      <c r="G207" s="22" t="inlineStr">
        <is>
          <t>ANA-10</t>
        </is>
      </c>
      <c r="H207" s="28" t="inlineStr">
        <is>
          <t>Live</t>
        </is>
      </c>
    </row>
    <row r="208">
      <c r="A208" s="28" t="n">
        <v>204</v>
      </c>
      <c r="B208" s="22" t="inlineStr">
        <is>
          <t>Insights, reports &amp; AI</t>
        </is>
      </c>
      <c r="C208" s="22" t="inlineStr">
        <is>
          <t>Ask AI: plain-English questions answered from live data</t>
        </is>
      </c>
      <c r="D208" s="22" t="inlineStr">
        <is>
          <t>/ai</t>
        </is>
      </c>
      <c r="E208" s="22" t="inlineStr">
        <is>
          <t>All roles</t>
        </is>
      </c>
      <c r="F208" s="22" t="inlineStr">
        <is>
          <t>Additional (v1 base)</t>
        </is>
      </c>
      <c r="G208" s="22" t="inlineStr">
        <is>
          <t>ANA-08</t>
        </is>
      </c>
      <c r="H208" s="28" t="inlineStr">
        <is>
          <t>Live</t>
        </is>
      </c>
    </row>
    <row r="209">
      <c r="A209" s="28" t="n">
        <v>205</v>
      </c>
      <c r="B209" s="22" t="inlineStr">
        <is>
          <t>Insights, reports &amp; AI</t>
        </is>
      </c>
      <c r="C209" s="22" t="inlineStr">
        <is>
          <t>AI report studio (AI plans a report, engine computes every figure)</t>
        </is>
      </c>
      <c r="D209" s="22" t="inlineStr">
        <is>
          <t>/ai</t>
        </is>
      </c>
      <c r="E209" s="22" t="inlineStr">
        <is>
          <t>Administrator, CEO, CTO, Project Manager, HR Manager, Sales Manager, Sales Executive</t>
        </is>
      </c>
      <c r="F209" s="22" t="inlineStr">
        <is>
          <t>Additional (v1 base)</t>
        </is>
      </c>
      <c r="G209" s="22" t="inlineStr">
        <is>
          <t>ANA-08</t>
        </is>
      </c>
      <c r="H209" s="28" t="inlineStr">
        <is>
          <t>Live</t>
        </is>
      </c>
    </row>
    <row r="210">
      <c r="A210" s="28" t="n">
        <v>206</v>
      </c>
      <c r="B210" s="22" t="inlineStr">
        <is>
          <t>Insights, reports &amp; AI</t>
        </is>
      </c>
      <c r="C210" s="22" t="inlineStr">
        <is>
          <t>AI assistant panel from any page</t>
        </is>
      </c>
      <c r="D210" s="22" t="inlineStr">
        <is>
          <t>Top bar / phone tab bar → Ask AI</t>
        </is>
      </c>
      <c r="E210" s="22" t="inlineStr">
        <is>
          <t>All roles</t>
        </is>
      </c>
      <c r="F210" s="22" t="inlineStr">
        <is>
          <t>Additional (v1 base)</t>
        </is>
      </c>
      <c r="G210" s="22" t="inlineStr">
        <is>
          <t>ANA-08</t>
        </is>
      </c>
      <c r="H210" s="28" t="inlineStr">
        <is>
          <t>Live</t>
        </is>
      </c>
    </row>
    <row r="211">
      <c r="A211" s="28" t="n">
        <v>207</v>
      </c>
      <c r="B211" s="22" t="inlineStr">
        <is>
          <t>Rules &amp; KPIs</t>
        </is>
      </c>
      <c r="C211" s="22" t="inlineStr">
        <is>
          <t>Rules tab</t>
        </is>
      </c>
      <c r="D211" s="22" t="inlineStr">
        <is>
          <t>Company › Rules (/rules)</t>
        </is>
      </c>
      <c r="E211" s="22" t="inlineStr">
        <is>
          <t>Everyone (own data)</t>
        </is>
      </c>
      <c r="F211" s="22" t="inlineStr">
        <is>
          <t>Feature Guide (G17.01)</t>
        </is>
      </c>
      <c r="G211" s="22" t="inlineStr"/>
      <c r="H211" s="28" t="inlineStr">
        <is>
          <t>Live</t>
        </is>
      </c>
    </row>
    <row r="212">
      <c r="A212" s="28" t="n">
        <v>208</v>
      </c>
      <c r="B212" s="22" t="inlineStr">
        <is>
          <t>Rules &amp; KPIs</t>
        </is>
      </c>
      <c r="C212" s="22" t="inlineStr">
        <is>
          <t>KPI definitions</t>
        </is>
      </c>
      <c r="D212" s="22" t="inlineStr">
        <is>
          <t>Company › Rules (/rules)</t>
        </is>
      </c>
      <c r="E212" s="22" t="inlineStr">
        <is>
          <t>Everyone (own data)</t>
        </is>
      </c>
      <c r="F212" s="22" t="inlineStr">
        <is>
          <t>Feature Guide (G17.02)</t>
        </is>
      </c>
      <c r="G212" s="22" t="inlineStr"/>
      <c r="H212" s="28" t="inlineStr">
        <is>
          <t>Live</t>
        </is>
      </c>
    </row>
    <row r="213">
      <c r="A213" s="28" t="n">
        <v>209</v>
      </c>
      <c r="B213" s="22" t="inlineStr">
        <is>
          <t>Roles &amp; controls</t>
        </is>
      </c>
      <c r="C213" s="22" t="inlineStr">
        <is>
          <t>View as another role (read-only)</t>
        </is>
      </c>
      <c r="D213" s="22" t="inlineStr">
        <is>
          <t>Top bar › View as</t>
        </is>
      </c>
      <c r="E213" s="22" t="inlineStr">
        <is>
          <t>Administrator, CEO</t>
        </is>
      </c>
      <c r="F213" s="22" t="inlineStr">
        <is>
          <t>Feature Guide (G1.03)</t>
        </is>
      </c>
      <c r="G213" s="22" t="inlineStr">
        <is>
          <t>WS-07, ACC-08</t>
        </is>
      </c>
      <c r="H213" s="28" t="inlineStr">
        <is>
          <t>Live</t>
        </is>
      </c>
    </row>
    <row r="214">
      <c r="A214" s="28" t="n">
        <v>210</v>
      </c>
      <c r="B214" s="22" t="inlineStr">
        <is>
          <t>Roles &amp; controls</t>
        </is>
      </c>
      <c r="C214" s="22" t="inlineStr">
        <is>
          <t>Role access matrix (PM, Sales, Ops, Employee scopes)</t>
        </is>
      </c>
      <c r="D214" s="22" t="inlineStr">
        <is>
          <t>Admin › Organisation setup › Roles &amp; permissions (/setup/roles)</t>
        </is>
      </c>
      <c r="E214" s="22" t="inlineStr">
        <is>
          <t>Administrator, CEO, CTO, HR Manager</t>
        </is>
      </c>
      <c r="F214" s="22" t="inlineStr">
        <is>
          <t>Feature Guide (G1.05)</t>
        </is>
      </c>
      <c r="G214" s="22" t="inlineStr">
        <is>
          <t>HR-01</t>
        </is>
      </c>
      <c r="H214" s="28" t="inlineStr">
        <is>
          <t>Live</t>
        </is>
      </c>
    </row>
    <row r="215">
      <c r="A215" s="28" t="n">
        <v>211</v>
      </c>
      <c r="B215" s="22" t="inlineStr">
        <is>
          <t>Roles &amp; controls</t>
        </is>
      </c>
      <c r="C215" s="22" t="inlineStr">
        <is>
          <t>Permission catalogue: 70+ permission keys in 9 modules</t>
        </is>
      </c>
      <c r="D215" s="22" t="inlineStr">
        <is>
          <t>/setup/roles</t>
        </is>
      </c>
      <c r="E215" s="22" t="inlineStr">
        <is>
          <t>Administrator, CEO, CTO, HR Manager</t>
        </is>
      </c>
      <c r="F215" s="22" t="inlineStr">
        <is>
          <t>Additional (v4 access &amp; controls)</t>
        </is>
      </c>
      <c r="G215" s="22" t="inlineStr">
        <is>
          <t>ACC-09</t>
        </is>
      </c>
      <c r="H215" s="28" t="inlineStr">
        <is>
          <t>Live</t>
        </is>
      </c>
    </row>
    <row r="216">
      <c r="A216" s="28" t="n">
        <v>212</v>
      </c>
      <c r="B216" s="22" t="inlineStr">
        <is>
          <t>Roles &amp; controls</t>
        </is>
      </c>
      <c r="C216" s="22" t="inlineStr">
        <is>
          <t>Nine default roles shipped with every workspace</t>
        </is>
      </c>
      <c r="D216" s="22" t="inlineStr">
        <is>
          <t>/setup/roles</t>
        </is>
      </c>
      <c r="E216" s="22" t="inlineStr">
        <is>
          <t>Administrator, CEO, CTO, HR Manager</t>
        </is>
      </c>
      <c r="F216" s="22" t="inlineStr">
        <is>
          <t>Additional (v4 access &amp; controls)</t>
        </is>
      </c>
      <c r="G216" s="22" t="inlineStr">
        <is>
          <t>ACC-01</t>
        </is>
      </c>
      <c r="H216" s="28" t="inlineStr">
        <is>
          <t>Live</t>
        </is>
      </c>
    </row>
    <row r="217">
      <c r="A217" s="28" t="n">
        <v>213</v>
      </c>
      <c r="B217" s="22" t="inlineStr">
        <is>
          <t>Roles &amp; controls</t>
        </is>
      </c>
      <c r="C217" s="22" t="inlineStr">
        <is>
          <t>Role editor and permission matrix (custom roles)</t>
        </is>
      </c>
      <c r="D217" s="22" t="inlineStr">
        <is>
          <t>/setup/roles/:key</t>
        </is>
      </c>
      <c r="E217" s="22" t="inlineStr">
        <is>
          <t>Administrator, CEO</t>
        </is>
      </c>
      <c r="F217" s="22" t="inlineStr">
        <is>
          <t>Additional (v4 access &amp; controls)</t>
        </is>
      </c>
      <c r="G217" s="22" t="inlineStr">
        <is>
          <t>ACC-01</t>
        </is>
      </c>
      <c r="H217" s="28" t="inlineStr">
        <is>
          <t>Live</t>
        </is>
      </c>
    </row>
    <row r="218">
      <c r="A218" s="28" t="n">
        <v>214</v>
      </c>
      <c r="B218" s="22" t="inlineStr">
        <is>
          <t>Roles &amp; controls</t>
        </is>
      </c>
      <c r="C218" s="22" t="inlineStr">
        <is>
          <t>Clone and compare roles</t>
        </is>
      </c>
      <c r="D218" s="22" t="inlineStr">
        <is>
          <t>/setup/roles?tab=compare</t>
        </is>
      </c>
      <c r="E218" s="22" t="inlineStr">
        <is>
          <t>Administrator, CEO</t>
        </is>
      </c>
      <c r="F218" s="22" t="inlineStr">
        <is>
          <t>Additional (v4 access &amp; controls)</t>
        </is>
      </c>
      <c r="G218" s="22" t="inlineStr">
        <is>
          <t>ACC-02</t>
        </is>
      </c>
      <c r="H218" s="28" t="inlineStr">
        <is>
          <t>Live</t>
        </is>
      </c>
    </row>
    <row r="219">
      <c r="A219" s="28" t="n">
        <v>215</v>
      </c>
      <c r="B219" s="22" t="inlineStr">
        <is>
          <t>Roles &amp; controls</t>
        </is>
      </c>
      <c r="C219" s="22" t="inlineStr">
        <is>
          <t>Change a person's role, reporting line, extra and revoked permissions</t>
        </is>
      </c>
      <c r="D219" s="22" t="inlineStr">
        <is>
          <t>/people</t>
        </is>
      </c>
      <c r="E219" s="22" t="inlineStr">
        <is>
          <t>Administrator, CEO</t>
        </is>
      </c>
      <c r="F219" s="22" t="inlineStr">
        <is>
          <t>Additional (v4 access &amp; controls)</t>
        </is>
      </c>
      <c r="G219" s="22" t="inlineStr">
        <is>
          <t>WS-05, ACC-03</t>
        </is>
      </c>
      <c r="H219" s="28" t="inlineStr">
        <is>
          <t>Live</t>
        </is>
      </c>
    </row>
    <row r="220">
      <c r="A220" s="28" t="n">
        <v>216</v>
      </c>
      <c r="B220" s="22" t="inlineStr">
        <is>
          <t>Roles &amp; controls</t>
        </is>
      </c>
      <c r="C220" s="22" t="inlineStr">
        <is>
          <t>One login: screens, actions and data scope follow permissions</t>
        </is>
      </c>
      <c r="D220" s="22" t="inlineStr">
        <is>
          <t>All screens</t>
        </is>
      </c>
      <c r="E220" s="22" t="inlineStr">
        <is>
          <t>Everyone (own data)</t>
        </is>
      </c>
      <c r="F220" s="22" t="inlineStr">
        <is>
          <t>Additional (v4 access &amp; controls)</t>
        </is>
      </c>
      <c r="G220" s="22" t="inlineStr">
        <is>
          <t>ACC-09</t>
        </is>
      </c>
      <c r="H220" s="28" t="inlineStr">
        <is>
          <t>Live</t>
        </is>
      </c>
    </row>
    <row r="221">
      <c r="A221" s="28" t="n">
        <v>217</v>
      </c>
      <c r="B221" s="22" t="inlineStr">
        <is>
          <t>Roles &amp; controls</t>
        </is>
      </c>
      <c r="C221" s="22" t="inlineStr">
        <is>
          <t>Create employee (job, role, manager, shift, extra permissions, CTC)</t>
        </is>
      </c>
      <c r="D221" s="22" t="inlineStr">
        <is>
          <t>/people/new</t>
        </is>
      </c>
      <c r="E221" s="22" t="inlineStr">
        <is>
          <t>Administrator, CEO, HR Manager, HR Executive</t>
        </is>
      </c>
      <c r="F221" s="22" t="inlineStr">
        <is>
          <t>Additional (v4 access &amp; controls)</t>
        </is>
      </c>
      <c r="G221" s="22" t="inlineStr">
        <is>
          <t>ACC-04</t>
        </is>
      </c>
      <c r="H221" s="28" t="inlineStr">
        <is>
          <t>Live</t>
        </is>
      </c>
    </row>
    <row r="222">
      <c r="A222" s="28" t="n">
        <v>218</v>
      </c>
      <c r="B222" s="22" t="inlineStr">
        <is>
          <t>Roles &amp; controls</t>
        </is>
      </c>
      <c r="C222" s="22" t="inlineStr">
        <is>
          <t>Welcome email with employee code and temporary password</t>
        </is>
      </c>
      <c r="D222" s="22" t="inlineStr">
        <is>
          <t>/people/new → Setup → Emails (Sent)</t>
        </is>
      </c>
      <c r="E222" s="22" t="inlineStr">
        <is>
          <t>Administrator, CEO, HR Manager, HR Executive</t>
        </is>
      </c>
      <c r="F222" s="22" t="inlineStr">
        <is>
          <t>Additional (v4 access &amp; controls)</t>
        </is>
      </c>
      <c r="G222" s="22" t="inlineStr">
        <is>
          <t>ACC-04</t>
        </is>
      </c>
      <c r="H222" s="28" t="inlineStr">
        <is>
          <t>Live</t>
        </is>
      </c>
    </row>
    <row r="223">
      <c r="A223" s="28" t="n">
        <v>219</v>
      </c>
      <c r="B223" s="22" t="inlineStr">
        <is>
          <t>Roles &amp; controls</t>
        </is>
      </c>
      <c r="C223" s="22" t="inlineStr">
        <is>
          <t>First sign-in forced password change</t>
        </is>
      </c>
      <c r="D223" s="22" t="inlineStr">
        <is>
          <t>/welcome/password</t>
        </is>
      </c>
      <c r="E223" s="22" t="inlineStr">
        <is>
          <t>Everyone (own data)</t>
        </is>
      </c>
      <c r="F223" s="22" t="inlineStr">
        <is>
          <t>Additional (v4 access &amp; controls)</t>
        </is>
      </c>
      <c r="G223" s="22" t="inlineStr">
        <is>
          <t>ACC-05</t>
        </is>
      </c>
      <c r="H223" s="28" t="inlineStr">
        <is>
          <t>Live</t>
        </is>
      </c>
    </row>
    <row r="224">
      <c r="A224" s="28" t="n">
        <v>220</v>
      </c>
      <c r="B224" s="22" t="inlineStr">
        <is>
          <t>Roles &amp; controls</t>
        </is>
      </c>
      <c r="C224" s="22" t="inlineStr">
        <is>
          <t>Administrator password reset for a user</t>
        </is>
      </c>
      <c r="D224" s="22" t="inlineStr">
        <is>
          <t>/people</t>
        </is>
      </c>
      <c r="E224" s="22" t="inlineStr">
        <is>
          <t>Administrator, CEO</t>
        </is>
      </c>
      <c r="F224" s="22" t="inlineStr">
        <is>
          <t>Additional (v4 access &amp; controls)</t>
        </is>
      </c>
      <c r="G224" s="22" t="inlineStr">
        <is>
          <t>ACC-06</t>
        </is>
      </c>
      <c r="H224" s="28" t="inlineStr">
        <is>
          <t>Live</t>
        </is>
      </c>
    </row>
    <row r="225">
      <c r="A225" s="28" t="n">
        <v>221</v>
      </c>
      <c r="B225" s="22" t="inlineStr">
        <is>
          <t>Roles &amp; controls</t>
        </is>
      </c>
      <c r="C225" s="22" t="inlineStr">
        <is>
          <t>Deactivate or reactivate an employee</t>
        </is>
      </c>
      <c r="D225" s="22" t="inlineStr">
        <is>
          <t>/people</t>
        </is>
      </c>
      <c r="E225" s="22" t="inlineStr">
        <is>
          <t>Administrator, CEO, HR Manager</t>
        </is>
      </c>
      <c r="F225" s="22" t="inlineStr">
        <is>
          <t>Additional (v4 access &amp; controls)</t>
        </is>
      </c>
      <c r="G225" s="22" t="inlineStr">
        <is>
          <t>WS-09, ACC-07</t>
        </is>
      </c>
      <c r="H225" s="28" t="inlineStr">
        <is>
          <t>Live</t>
        </is>
      </c>
    </row>
    <row r="226">
      <c r="A226" s="28" t="n">
        <v>222</v>
      </c>
      <c r="B226" s="22" t="inlineStr">
        <is>
          <t>Roles &amp; controls</t>
        </is>
      </c>
      <c r="C226" s="22" t="inlineStr">
        <is>
          <t>Maker-checker: propose a sensitive change (maker)</t>
        </is>
      </c>
      <c r="D226" s="22" t="inlineStr">
        <is>
          <t>/changes</t>
        </is>
      </c>
      <c r="E226" s="22" t="inlineStr">
        <is>
          <t>Anyone making a guarded change (roles, access, salaries, payroll finalisation, vendor bank, workflows, settings)</t>
        </is>
      </c>
      <c r="F226" s="22" t="inlineStr">
        <is>
          <t>Additional (v4 access &amp; controls)</t>
        </is>
      </c>
      <c r="G226" s="22" t="inlineStr">
        <is>
          <t>MC-01</t>
        </is>
      </c>
      <c r="H226" s="28" t="inlineStr">
        <is>
          <t>Live</t>
        </is>
      </c>
    </row>
    <row r="227">
      <c r="A227" s="28" t="n">
        <v>223</v>
      </c>
      <c r="B227" s="22" t="inlineStr">
        <is>
          <t>Roles &amp; controls</t>
        </is>
      </c>
      <c r="C227" s="22" t="inlineStr">
        <is>
          <t>Maker-checker: approve or reject a change (checker)</t>
        </is>
      </c>
      <c r="D227" s="22" t="inlineStr">
        <is>
          <t>/changes; /inbox</t>
        </is>
      </c>
      <c r="E227" s="22" t="inlineStr">
        <is>
          <t>Administrator, CEO, HR Manager</t>
        </is>
      </c>
      <c r="F227" s="22" t="inlineStr">
        <is>
          <t>Additional (v4 access &amp; controls)</t>
        </is>
      </c>
      <c r="G227" s="22" t="inlineStr">
        <is>
          <t>MC-02</t>
        </is>
      </c>
      <c r="H227" s="28" t="inlineStr">
        <is>
          <t>Live</t>
        </is>
      </c>
    </row>
    <row r="228">
      <c r="A228" s="28" t="n">
        <v>224</v>
      </c>
      <c r="B228" s="22" t="inlineStr">
        <is>
          <t>Roles &amp; controls</t>
        </is>
      </c>
      <c r="C228" s="22" t="inlineStr">
        <is>
          <t>Withdraw a pending change</t>
        </is>
      </c>
      <c r="D228" s="22" t="inlineStr">
        <is>
          <t>/changes</t>
        </is>
      </c>
      <c r="E228" s="22" t="inlineStr">
        <is>
          <t>The maker of the change</t>
        </is>
      </c>
      <c r="F228" s="22" t="inlineStr">
        <is>
          <t>Additional (v4 access &amp; controls)</t>
        </is>
      </c>
      <c r="G228" s="22" t="inlineStr">
        <is>
          <t>MC-03</t>
        </is>
      </c>
      <c r="H228" s="28" t="inlineStr">
        <is>
          <t>Live</t>
        </is>
      </c>
    </row>
    <row r="229">
      <c r="A229" s="28" t="n">
        <v>225</v>
      </c>
      <c r="B229" s="22" t="inlineStr">
        <is>
          <t>Roles &amp; controls</t>
        </is>
      </c>
      <c r="C229" s="22" t="inlineStr">
        <is>
          <t>Configure maker-checker (which changes need a second person, SLA)</t>
        </is>
      </c>
      <c r="D229" s="22" t="inlineStr">
        <is>
          <t>/setup/maker-checker</t>
        </is>
      </c>
      <c r="E229" s="22" t="inlineStr">
        <is>
          <t>Administrator, CEO</t>
        </is>
      </c>
      <c r="F229" s="22" t="inlineStr">
        <is>
          <t>Additional (v4 access &amp; controls)</t>
        </is>
      </c>
      <c r="G229" s="22" t="inlineStr">
        <is>
          <t>MC-04</t>
        </is>
      </c>
      <c r="H229" s="28" t="inlineStr">
        <is>
          <t>Live</t>
        </is>
      </c>
    </row>
    <row r="230">
      <c r="A230" s="28" t="n">
        <v>226</v>
      </c>
      <c r="B230" s="22" t="inlineStr">
        <is>
          <t>Roles &amp; controls</t>
        </is>
      </c>
      <c r="C230" s="22" t="inlineStr">
        <is>
          <t>Approval workflows: step chains, amount thresholds, SLAs, escalation</t>
        </is>
      </c>
      <c r="D230" s="22" t="inlineStr">
        <is>
          <t>/setup/workflows</t>
        </is>
      </c>
      <c r="E230" s="22" t="inlineStr">
        <is>
          <t>Administrator, CEO</t>
        </is>
      </c>
      <c r="F230" s="22" t="inlineStr">
        <is>
          <t>Additional (v4 access &amp; controls)</t>
        </is>
      </c>
      <c r="G230" s="22" t="inlineStr">
        <is>
          <t>WF-01</t>
        </is>
      </c>
      <c r="H230" s="28" t="inlineStr">
        <is>
          <t>Live</t>
        </is>
      </c>
    </row>
    <row r="231">
      <c r="A231" s="28" t="n">
        <v>227</v>
      </c>
      <c r="B231" s="22" t="inlineStr">
        <is>
          <t>Roles &amp; controls</t>
        </is>
      </c>
      <c r="C231" s="22" t="inlineStr">
        <is>
          <t>Simulate (test) a workflow</t>
        </is>
      </c>
      <c r="D231" s="22" t="inlineStr">
        <is>
          <t>/setup/workflows</t>
        </is>
      </c>
      <c r="E231" s="22" t="inlineStr">
        <is>
          <t>Administrator, CEO</t>
        </is>
      </c>
      <c r="F231" s="22" t="inlineStr">
        <is>
          <t>Additional (v4 access &amp; controls)</t>
        </is>
      </c>
      <c r="G231" s="22" t="inlineStr">
        <is>
          <t>WF-02</t>
        </is>
      </c>
      <c r="H231" s="28" t="inlineStr">
        <is>
          <t>Live</t>
        </is>
      </c>
    </row>
    <row r="232">
      <c r="A232" s="28" t="n">
        <v>228</v>
      </c>
      <c r="B232" s="22" t="inlineStr">
        <is>
          <t>Roles &amp; controls</t>
        </is>
      </c>
      <c r="C232" s="22" t="inlineStr">
        <is>
          <t>Multi-step routing, SLA and escalation at run time</t>
        </is>
      </c>
      <c r="D232" s="22" t="inlineStr">
        <is>
          <t>/inbox</t>
        </is>
      </c>
      <c r="E232" s="22" t="inlineStr">
        <is>
          <t>All roles</t>
        </is>
      </c>
      <c r="F232" s="22" t="inlineStr">
        <is>
          <t>Additional (v4 access &amp; controls)</t>
        </is>
      </c>
      <c r="G232" s="22" t="inlineStr">
        <is>
          <t>WF-03</t>
        </is>
      </c>
      <c r="H232" s="28" t="inlineStr">
        <is>
          <t>Live</t>
        </is>
      </c>
    </row>
    <row r="233">
      <c r="A233" s="28" t="n">
        <v>229</v>
      </c>
      <c r="B233" s="22" t="inlineStr">
        <is>
          <t>Organisation setup</t>
        </is>
      </c>
      <c r="C233" s="22" t="inlineStr">
        <is>
          <t>Guided setup checklist (org data → roles → people)</t>
        </is>
      </c>
      <c r="D233" s="22" t="inlineStr">
        <is>
          <t>/setup</t>
        </is>
      </c>
      <c r="E233" s="22" t="inlineStr">
        <is>
          <t>Administrator, CEO, CTO, HR Manager, HR Executive</t>
        </is>
      </c>
      <c r="F233" s="22" t="inlineStr">
        <is>
          <t>Additional (v4 access &amp; controls)</t>
        </is>
      </c>
      <c r="G233" s="22" t="inlineStr">
        <is>
          <t>SET-01</t>
        </is>
      </c>
      <c r="H233" s="28" t="inlineStr">
        <is>
          <t>Live</t>
        </is>
      </c>
    </row>
    <row r="234">
      <c r="A234" s="28" t="n">
        <v>230</v>
      </c>
      <c r="B234" s="22" t="inlineStr">
        <is>
          <t>Organisation setup</t>
        </is>
      </c>
      <c r="C234" s="22" t="inlineStr">
        <is>
          <t>Organisation profile (legal, tax IDs with format checks, addresses, numbering, bank)</t>
        </is>
      </c>
      <c r="D234" s="22" t="inlineStr">
        <is>
          <t>/setup/org</t>
        </is>
      </c>
      <c r="E234" s="22" t="inlineStr">
        <is>
          <t>Administrator, CEO, HR Manager</t>
        </is>
      </c>
      <c r="F234" s="22" t="inlineStr">
        <is>
          <t>Additional (v4 access &amp; controls)</t>
        </is>
      </c>
      <c r="G234" s="22" t="inlineStr">
        <is>
          <t>ADM-01</t>
        </is>
      </c>
      <c r="H234" s="28" t="inlineStr">
        <is>
          <t>Live</t>
        </is>
      </c>
    </row>
    <row r="235">
      <c r="A235" s="28" t="n">
        <v>231</v>
      </c>
      <c r="B235" s="22" t="inlineStr">
        <is>
          <t>Organisation setup</t>
        </is>
      </c>
      <c r="C235" s="22" t="inlineStr">
        <is>
          <t>Locations</t>
        </is>
      </c>
      <c r="D235" s="22" t="inlineStr">
        <is>
          <t>/setup/locations</t>
        </is>
      </c>
      <c r="E235" s="22" t="inlineStr">
        <is>
          <t>Administrator, CEO, HR Manager</t>
        </is>
      </c>
      <c r="F235" s="22" t="inlineStr">
        <is>
          <t>Additional (v4 access &amp; controls)</t>
        </is>
      </c>
      <c r="G235" s="22" t="inlineStr">
        <is>
          <t>ADM-02</t>
        </is>
      </c>
      <c r="H235" s="28" t="inlineStr">
        <is>
          <t>Live</t>
        </is>
      </c>
    </row>
    <row r="236">
      <c r="A236" s="28" t="n">
        <v>232</v>
      </c>
      <c r="B236" s="22" t="inlineStr">
        <is>
          <t>Organisation setup</t>
        </is>
      </c>
      <c r="C236" s="22" t="inlineStr">
        <is>
          <t>Departments (tree, heads, cost centres)</t>
        </is>
      </c>
      <c r="D236" s="22" t="inlineStr">
        <is>
          <t>/setup/departments</t>
        </is>
      </c>
      <c r="E236" s="22" t="inlineStr">
        <is>
          <t>Administrator, CEO, HR Manager</t>
        </is>
      </c>
      <c r="F236" s="22" t="inlineStr">
        <is>
          <t>Additional (v4 access &amp; controls)</t>
        </is>
      </c>
      <c r="G236" s="22" t="inlineStr">
        <is>
          <t>ADM-03</t>
        </is>
      </c>
      <c r="H236" s="28" t="inlineStr">
        <is>
          <t>Live</t>
        </is>
      </c>
    </row>
    <row r="237">
      <c r="A237" s="28" t="n">
        <v>233</v>
      </c>
      <c r="B237" s="22" t="inlineStr">
        <is>
          <t>Organisation setup</t>
        </is>
      </c>
      <c r="C237" s="22" t="inlineStr">
        <is>
          <t>Cost centres</t>
        </is>
      </c>
      <c r="D237" s="22" t="inlineStr">
        <is>
          <t>/setup/cost-centres</t>
        </is>
      </c>
      <c r="E237" s="22" t="inlineStr">
        <is>
          <t>Administrator, CEO, HR Manager</t>
        </is>
      </c>
      <c r="F237" s="22" t="inlineStr">
        <is>
          <t>Additional (v4 access &amp; controls)</t>
        </is>
      </c>
      <c r="G237" s="22" t="inlineStr">
        <is>
          <t>ADM-03</t>
        </is>
      </c>
      <c r="H237" s="28" t="inlineStr">
        <is>
          <t>Live</t>
        </is>
      </c>
    </row>
    <row r="238">
      <c r="A238" s="28" t="n">
        <v>234</v>
      </c>
      <c r="B238" s="22" t="inlineStr">
        <is>
          <t>Organisation setup</t>
        </is>
      </c>
      <c r="C238" s="22" t="inlineStr">
        <is>
          <t>Designations with default role</t>
        </is>
      </c>
      <c r="D238" s="22" t="inlineStr">
        <is>
          <t>/setup/designations</t>
        </is>
      </c>
      <c r="E238" s="22" t="inlineStr">
        <is>
          <t>Administrator, CEO, HR Manager</t>
        </is>
      </c>
      <c r="F238" s="22" t="inlineStr">
        <is>
          <t>Additional (v4 access &amp; controls)</t>
        </is>
      </c>
      <c r="G238" s="22" t="inlineStr">
        <is>
          <t>ADM-04</t>
        </is>
      </c>
      <c r="H238" s="28" t="inlineStr">
        <is>
          <t>Live</t>
        </is>
      </c>
    </row>
    <row r="239">
      <c r="A239" s="28" t="n">
        <v>235</v>
      </c>
      <c r="B239" s="22" t="inlineStr">
        <is>
          <t>Organisation setup</t>
        </is>
      </c>
      <c r="C239" s="22" t="inlineStr">
        <is>
          <t>Grades and CTC bands</t>
        </is>
      </c>
      <c r="D239" s="22" t="inlineStr">
        <is>
          <t>/setup/grades</t>
        </is>
      </c>
      <c r="E239" s="22" t="inlineStr">
        <is>
          <t>Administrator, CEO, HR Manager</t>
        </is>
      </c>
      <c r="F239" s="22" t="inlineStr">
        <is>
          <t>Additional (v4 access &amp; controls)</t>
        </is>
      </c>
      <c r="G239" s="22" t="inlineStr">
        <is>
          <t>ADM-04</t>
        </is>
      </c>
      <c r="H239" s="28" t="inlineStr">
        <is>
          <t>Live</t>
        </is>
      </c>
    </row>
    <row r="240">
      <c r="A240" s="28" t="n">
        <v>236</v>
      </c>
      <c r="B240" s="22" t="inlineStr">
        <is>
          <t>Organisation setup</t>
        </is>
      </c>
      <c r="C240" s="22" t="inlineStr">
        <is>
          <t>Shifts and shift assignment</t>
        </is>
      </c>
      <c r="D240" s="22" t="inlineStr">
        <is>
          <t>/setup/shifts</t>
        </is>
      </c>
      <c r="E240" s="22" t="inlineStr">
        <is>
          <t>Administrator, CEO, HR Manager</t>
        </is>
      </c>
      <c r="F240" s="22" t="inlineStr">
        <is>
          <t>Additional (v4 access &amp; controls)</t>
        </is>
      </c>
      <c r="G240" s="22" t="inlineStr">
        <is>
          <t>ADM-05</t>
        </is>
      </c>
      <c r="H240" s="28" t="inlineStr">
        <is>
          <t>Live</t>
        </is>
      </c>
    </row>
    <row r="241">
      <c r="A241" s="28" t="n">
        <v>237</v>
      </c>
      <c r="B241" s="22" t="inlineStr">
        <is>
          <t>Organisation setup</t>
        </is>
      </c>
      <c r="C241" s="22" t="inlineStr">
        <is>
          <t>Email templates editor</t>
        </is>
      </c>
      <c r="D241" s="22" t="inlineStr">
        <is>
          <t>/setup/emails</t>
        </is>
      </c>
      <c r="E241" s="22" t="inlineStr">
        <is>
          <t>Administrator, CEO, HR Manager, HR Executive</t>
        </is>
      </c>
      <c r="F241" s="22" t="inlineStr">
        <is>
          <t>Additional (v4 access &amp; controls)</t>
        </is>
      </c>
      <c r="G241" s="22" t="inlineStr">
        <is>
          <t>ADM-06</t>
        </is>
      </c>
      <c r="H241" s="28" t="inlineStr">
        <is>
          <t>Live</t>
        </is>
      </c>
    </row>
    <row r="242">
      <c r="A242" s="28" t="n">
        <v>238</v>
      </c>
      <c r="B242" s="22" t="inlineStr">
        <is>
          <t>Organisation setup</t>
        </is>
      </c>
      <c r="C242" s="22" t="inlineStr">
        <is>
          <t>Email outbox / sent log</t>
        </is>
      </c>
      <c r="D242" s="22" t="inlineStr">
        <is>
          <t>/setup/emails?tab=sent</t>
        </is>
      </c>
      <c r="E242" s="22" t="inlineStr">
        <is>
          <t>Administrator, CEO, HR Manager, HR Executive</t>
        </is>
      </c>
      <c r="F242" s="22" t="inlineStr">
        <is>
          <t>Additional (v4 access &amp; controls)</t>
        </is>
      </c>
      <c r="G242" s="22" t="inlineStr">
        <is>
          <t>ADM-06</t>
        </is>
      </c>
      <c r="H242" s="28" t="inlineStr">
        <is>
          <t>Live</t>
        </is>
      </c>
    </row>
    <row r="243">
      <c r="A243" s="28" t="n">
        <v>239</v>
      </c>
      <c r="B243" s="22" t="inlineStr">
        <is>
          <t>Settings &amp; appearance</t>
        </is>
      </c>
      <c r="C243" s="22" t="inlineStr">
        <is>
          <t>Deduct-unapproved-days company setting</t>
        </is>
      </c>
      <c r="D243" s="22" t="inlineStr">
        <is>
          <t>Admin › Team &amp; settings › Company &amp; rules › Pay</t>
        </is>
      </c>
      <c r="E243" s="22" t="inlineStr">
        <is>
          <t>Administrator, CEO</t>
        </is>
      </c>
      <c r="F243" s="22" t="inlineStr">
        <is>
          <t>Feature Guide (G10.08)</t>
        </is>
      </c>
      <c r="G243" s="22" t="inlineStr"/>
      <c r="H243" s="28" t="inlineStr">
        <is>
          <t>Live</t>
        </is>
      </c>
    </row>
    <row r="244">
      <c r="A244" s="28" t="n">
        <v>240</v>
      </c>
      <c r="B244" s="22" t="inlineStr">
        <is>
          <t>Settings &amp; appearance</t>
        </is>
      </c>
      <c r="C244" s="22" t="inlineStr">
        <is>
          <t>Cost loading % setting (removed in v6)</t>
        </is>
      </c>
      <c r="D244" s="22" t="inlineStr">
        <is>
          <t>Admin › Team &amp; settings › Company &amp; rules › Finance</t>
        </is>
      </c>
      <c r="E244" s="22" t="inlineStr">
        <is>
          <t>Administrator, CEO</t>
        </is>
      </c>
      <c r="F244" s="22" t="inlineStr">
        <is>
          <t>Feature Guide (G13.04)</t>
        </is>
      </c>
      <c r="G244" s="22" t="inlineStr"/>
      <c r="H244" s="28" t="inlineStr">
        <is>
          <t>Live</t>
        </is>
      </c>
    </row>
    <row r="245">
      <c r="A245" s="28" t="n">
        <v>241</v>
      </c>
      <c r="B245" s="22" t="inlineStr">
        <is>
          <t>Settings &amp; appearance</t>
        </is>
      </c>
      <c r="C245" s="22" t="inlineStr">
        <is>
          <t>Working hours and calendar settings</t>
        </is>
      </c>
      <c r="D245" s="22" t="inlineStr">
        <is>
          <t>Admin › Team &amp; settings › Working hours &amp; calendar (/settings/company#calendar)</t>
        </is>
      </c>
      <c r="E245" s="22" t="inlineStr">
        <is>
          <t>Administrator, CEO</t>
        </is>
      </c>
      <c r="F245" s="22" t="inlineStr">
        <is>
          <t>Feature Guide (G16.02)</t>
        </is>
      </c>
      <c r="G245" s="22" t="inlineStr">
        <is>
          <t>ORG-01</t>
        </is>
      </c>
      <c r="H245" s="28" t="inlineStr">
        <is>
          <t>Live</t>
        </is>
      </c>
    </row>
    <row r="246">
      <c r="A246" s="28" t="n">
        <v>242</v>
      </c>
      <c r="B246" s="22" t="inlineStr">
        <is>
          <t>Settings &amp; appearance</t>
        </is>
      </c>
      <c r="C246" s="22" t="inlineStr">
        <is>
          <t>Holiday calendar</t>
        </is>
      </c>
      <c r="D246" s="22" t="inlineStr">
        <is>
          <t>Admin › Team &amp; settings › Holidays (/settings/holidays); card under Working hours &amp; calendar</t>
        </is>
      </c>
      <c r="E246" s="22" t="inlineStr">
        <is>
          <t>All roles (view: everyone); full: Administrator, CEO, HR Manager</t>
        </is>
      </c>
      <c r="F246" s="22" t="inlineStr">
        <is>
          <t>Feature Guide (G16.03)</t>
        </is>
      </c>
      <c r="G246" s="22" t="inlineStr">
        <is>
          <t>ORG-02</t>
        </is>
      </c>
      <c r="H246" s="28" t="inlineStr">
        <is>
          <t>Live</t>
        </is>
      </c>
    </row>
    <row r="247">
      <c r="A247" s="28" t="n">
        <v>243</v>
      </c>
      <c r="B247" s="22" t="inlineStr">
        <is>
          <t>Settings &amp; appearance</t>
        </is>
      </c>
      <c r="C247" s="22" t="inlineStr">
        <is>
          <t>All settings with default and allowed range</t>
        </is>
      </c>
      <c r="D247" s="22" t="inlineStr">
        <is>
          <t>Admin › Team &amp; settings › Company &amp; rules (/settings/company)</t>
        </is>
      </c>
      <c r="E247" s="22" t="inlineStr">
        <is>
          <t>Administrator, CEO</t>
        </is>
      </c>
      <c r="F247" s="22" t="inlineStr">
        <is>
          <t>Feature Guide (G16.06)</t>
        </is>
      </c>
      <c r="G247" s="22" t="inlineStr">
        <is>
          <t>ORG-01</t>
        </is>
      </c>
      <c r="H247" s="28" t="inlineStr">
        <is>
          <t>Live</t>
        </is>
      </c>
    </row>
    <row r="248">
      <c r="A248" s="28" t="n">
        <v>244</v>
      </c>
      <c r="B248" s="22" t="inlineStr">
        <is>
          <t>Settings &amp; appearance</t>
        </is>
      </c>
      <c r="C248" s="22" t="inlineStr">
        <is>
          <t>Cost rates with CTC history and effective dates</t>
        </is>
      </c>
      <c r="D248" s="22" t="inlineStr">
        <is>
          <t>/settings/cost-rates</t>
        </is>
      </c>
      <c r="E248" s="22" t="inlineStr">
        <is>
          <t>Administrator, CEO, HR Manager</t>
        </is>
      </c>
      <c r="F248" s="22" t="inlineStr">
        <is>
          <t>Additional (v1 base)</t>
        </is>
      </c>
      <c r="G248" s="22" t="inlineStr">
        <is>
          <t>ORG-03</t>
        </is>
      </c>
      <c r="H248" s="28" t="inlineStr">
        <is>
          <t>Live</t>
        </is>
      </c>
    </row>
    <row r="249">
      <c r="A249" s="28" t="n">
        <v>245</v>
      </c>
      <c r="B249" s="22" t="inlineStr">
        <is>
          <t>Settings &amp; appearance</t>
        </is>
      </c>
      <c r="C249" s="22" t="inlineStr">
        <is>
          <t>Settings sections for timesheets, sales, notification times, security and AI</t>
        </is>
      </c>
      <c r="D249" s="22" t="inlineStr">
        <is>
          <t>/settings/company</t>
        </is>
      </c>
      <c r="E249" s="22" t="inlineStr">
        <is>
          <t>Administrator, CEO</t>
        </is>
      </c>
      <c r="F249" s="22" t="inlineStr">
        <is>
          <t>Additional (v1 base)</t>
        </is>
      </c>
      <c r="G249" s="22" t="inlineStr">
        <is>
          <t>ORG-01</t>
        </is>
      </c>
      <c r="H249" s="28" t="inlineStr">
        <is>
          <t>Live</t>
        </is>
      </c>
    </row>
    <row r="250">
      <c r="A250" s="28" t="n">
        <v>246</v>
      </c>
      <c r="B250" s="22" t="inlineStr">
        <is>
          <t>Settings &amp; appearance</t>
        </is>
      </c>
      <c r="C250" s="22" t="inlineStr">
        <is>
          <t>Themes: presets, brand colours, radius, density, font, sidebar style, default mode</t>
        </is>
      </c>
      <c r="D250" s="22" t="inlineStr">
        <is>
          <t>/settings/appearance</t>
        </is>
      </c>
      <c r="E250" s="22" t="inlineStr">
        <is>
          <t>Administrator, CEO</t>
        </is>
      </c>
      <c r="F250" s="22" t="inlineStr">
        <is>
          <t>Additional (v1 base)</t>
        </is>
      </c>
      <c r="G250" s="22" t="inlineStr"/>
      <c r="H250" s="28" t="inlineStr">
        <is>
          <t>Live</t>
        </is>
      </c>
    </row>
    <row r="251">
      <c r="A251" s="28" t="n">
        <v>247</v>
      </c>
      <c r="B251" s="22" t="inlineStr">
        <is>
          <t>Settings &amp; appearance</t>
        </is>
      </c>
      <c r="C251" s="22" t="inlineStr">
        <is>
          <t>Personal light / dark mode</t>
        </is>
      </c>
      <c r="D251" s="22" t="inlineStr">
        <is>
          <t>/settings/appearance</t>
        </is>
      </c>
      <c r="E251" s="22" t="inlineStr">
        <is>
          <t>Everyone (own data)</t>
        </is>
      </c>
      <c r="F251" s="22" t="inlineStr">
        <is>
          <t>Additional (v1 base)</t>
        </is>
      </c>
      <c r="G251" s="22" t="inlineStr"/>
      <c r="H251" s="28" t="inlineStr">
        <is>
          <t>Live</t>
        </is>
      </c>
    </row>
    <row r="252">
      <c r="A252" s="28" t="n">
        <v>248</v>
      </c>
      <c r="B252" s="22" t="inlineStr">
        <is>
          <t>Workspace &amp; access</t>
        </is>
      </c>
      <c r="C252" s="22" t="inlineStr">
        <is>
          <t>Company sign-up with 14-day trial (up to 25 people)</t>
        </is>
      </c>
      <c r="D252" s="22" t="inlineStr">
        <is>
          <t>/signup</t>
        </is>
      </c>
      <c r="E252" s="22" t="inlineStr">
        <is>
          <t>Anyone (new company); signer becomes Administrator</t>
        </is>
      </c>
      <c r="F252" s="22" t="inlineStr">
        <is>
          <t>Additional (v1 base)</t>
        </is>
      </c>
      <c r="G252" s="22" t="inlineStr">
        <is>
          <t>WS-01</t>
        </is>
      </c>
      <c r="H252" s="28" t="inlineStr">
        <is>
          <t>Live</t>
        </is>
      </c>
    </row>
    <row r="253">
      <c r="A253" s="28" t="n">
        <v>249</v>
      </c>
      <c r="B253" s="22" t="inlineStr">
        <is>
          <t>Workspace &amp; access</t>
        </is>
      </c>
      <c r="C253" s="22" t="inlineStr">
        <is>
          <t>Getting-started onboarding checklist and sample data</t>
        </is>
      </c>
      <c r="D253" s="22" t="inlineStr">
        <is>
          <t>/onboarding; /home</t>
        </is>
      </c>
      <c r="E253" s="22" t="inlineStr">
        <is>
          <t>Administrator, CEO</t>
        </is>
      </c>
      <c r="F253" s="22" t="inlineStr">
        <is>
          <t>Additional (v1 base)</t>
        </is>
      </c>
      <c r="G253" s="22" t="inlineStr">
        <is>
          <t>WS-02</t>
        </is>
      </c>
      <c r="H253" s="28" t="inlineStr">
        <is>
          <t>Live</t>
        </is>
      </c>
    </row>
    <row r="254">
      <c r="A254" s="28" t="n">
        <v>250</v>
      </c>
      <c r="B254" s="22" t="inlineStr">
        <is>
          <t>Workspace &amp; access</t>
        </is>
      </c>
      <c r="C254" s="22" t="inlineStr">
        <is>
          <t>Sign in, lockout and password reset</t>
        </is>
      </c>
      <c r="D254" s="22" t="inlineStr">
        <is>
          <t>/login; /reset-password</t>
        </is>
      </c>
      <c r="E254" s="22" t="inlineStr">
        <is>
          <t>Everyone (own data)</t>
        </is>
      </c>
      <c r="F254" s="22" t="inlineStr">
        <is>
          <t>Additional (v1 base)</t>
        </is>
      </c>
      <c r="G254" s="22" t="inlineStr">
        <is>
          <t>WS-03</t>
        </is>
      </c>
      <c r="H254" s="28" t="inlineStr">
        <is>
          <t>Live</t>
        </is>
      </c>
    </row>
    <row r="255">
      <c r="A255" s="28" t="n">
        <v>251</v>
      </c>
      <c r="B255" s="22" t="inlineStr">
        <is>
          <t>Workspace &amp; access</t>
        </is>
      </c>
      <c r="C255" s="22" t="inlineStr">
        <is>
          <t>Invite people (single or bulk CSV) and accept invitation</t>
        </is>
      </c>
      <c r="D255" s="22" t="inlineStr">
        <is>
          <t>/people; /invite/:token</t>
        </is>
      </c>
      <c r="E255" s="22" t="inlineStr">
        <is>
          <t>Administrator, CEO, HR Manager, HR Executive</t>
        </is>
      </c>
      <c r="F255" s="22" t="inlineStr">
        <is>
          <t>Additional (v1 base)</t>
        </is>
      </c>
      <c r="G255" s="22" t="inlineStr">
        <is>
          <t>WS-04</t>
        </is>
      </c>
      <c r="H255" s="28" t="inlineStr">
        <is>
          <t>Live</t>
        </is>
      </c>
    </row>
    <row r="256">
      <c r="A256" s="28" t="n">
        <v>252</v>
      </c>
      <c r="B256" s="22" t="inlineStr">
        <is>
          <t>Workspace &amp; access</t>
        </is>
      </c>
      <c r="C256" s="22" t="inlineStr">
        <is>
          <t>Security: two-step verification and personal profile</t>
        </is>
      </c>
      <c r="D256" s="22" t="inlineStr">
        <is>
          <t>/settings/security; /settings/profile</t>
        </is>
      </c>
      <c r="E256" s="22" t="inlineStr">
        <is>
          <t>Everyone (own data)</t>
        </is>
      </c>
      <c r="F256" s="22" t="inlineStr">
        <is>
          <t>Additional (v1 base)</t>
        </is>
      </c>
      <c r="G256" s="22" t="inlineStr">
        <is>
          <t>WS-08</t>
        </is>
      </c>
      <c r="H256" s="28" t="inlineStr">
        <is>
          <t>Live</t>
        </is>
      </c>
    </row>
    <row r="257">
      <c r="A257" s="28" t="n">
        <v>253</v>
      </c>
      <c r="B257" s="22" t="inlineStr">
        <is>
          <t>Workspace &amp; access</t>
        </is>
      </c>
      <c r="C257" s="22" t="inlineStr">
        <is>
          <t>Full workspace data export</t>
        </is>
      </c>
      <c r="D257" s="22" t="inlineStr">
        <is>
          <t>/settings/data</t>
        </is>
      </c>
      <c r="E257" s="22" t="inlineStr">
        <is>
          <t>Administrator, CEO</t>
        </is>
      </c>
      <c r="F257" s="22" t="inlineStr">
        <is>
          <t>Additional (v1 base)</t>
        </is>
      </c>
      <c r="G257" s="22" t="inlineStr">
        <is>
          <t>WS-10</t>
        </is>
      </c>
      <c r="H257" s="28" t="inlineStr">
        <is>
          <t>Live</t>
        </is>
      </c>
    </row>
    <row r="258">
      <c r="A258" s="28" t="n">
        <v>254</v>
      </c>
      <c r="B258" s="22" t="inlineStr">
        <is>
          <t>Workspace &amp; access</t>
        </is>
      </c>
      <c r="C258" s="22" t="inlineStr">
        <is>
          <t>Subscription plan, seats and payment</t>
        </is>
      </c>
      <c r="D258" s="22" t="inlineStr">
        <is>
          <t>/billing</t>
        </is>
      </c>
      <c r="E258" s="22" t="inlineStr">
        <is>
          <t>Administrator, CEO</t>
        </is>
      </c>
      <c r="F258" s="22" t="inlineStr">
        <is>
          <t>Additional (v1 base)</t>
        </is>
      </c>
      <c r="G258" s="22" t="inlineStr">
        <is>
          <t>WS-11</t>
        </is>
      </c>
      <c r="H258" s="28" t="inlineStr">
        <is>
          <t>Live</t>
        </is>
      </c>
    </row>
    <row r="259">
      <c r="A259" s="28" t="n">
        <v>255</v>
      </c>
      <c r="B259" s="22" t="inlineStr">
        <is>
          <t>Workspace &amp; access</t>
        </is>
      </c>
      <c r="C259" s="22" t="inlineStr">
        <is>
          <t>Multi-tenancy: isolated company workspaces (tenant-scoped data and cache)</t>
        </is>
      </c>
      <c r="D259" s="22" t="inlineStr">
        <is>
          <t>All screens</t>
        </is>
      </c>
      <c r="E259" s="22" t="inlineStr">
        <is>
          <t>Platform (every workspace)</t>
        </is>
      </c>
      <c r="F259" s="22" t="inlineStr">
        <is>
          <t>Additional (v1 base)</t>
        </is>
      </c>
      <c r="G259" s="22" t="inlineStr"/>
      <c r="H259" s="28" t="inlineStr">
        <is>
          <t>Live</t>
        </is>
      </c>
    </row>
    <row r="260">
      <c r="A260" s="28" t="n">
        <v>256</v>
      </c>
      <c r="B260" s="22" t="inlineStr">
        <is>
          <t>Workspace &amp; access</t>
        </is>
      </c>
      <c r="C260" s="22" t="inlineStr">
        <is>
          <t>Read-only workspace when a subscription lapses (billing stays open)</t>
        </is>
      </c>
      <c r="D260" s="22" t="inlineStr">
        <is>
          <t>All screens; /billing</t>
        </is>
      </c>
      <c r="E260" s="22" t="inlineStr">
        <is>
          <t>Platform (every workspace)</t>
        </is>
      </c>
      <c r="F260" s="22" t="inlineStr">
        <is>
          <t>Additional (v1 base)</t>
        </is>
      </c>
      <c r="G260" s="22" t="inlineStr">
        <is>
          <t>WS-11</t>
        </is>
      </c>
      <c r="H260" s="28" t="inlineStr">
        <is>
          <t>Live</t>
        </is>
      </c>
    </row>
    <row r="261">
      <c r="A261" s="28" t="n">
        <v>257</v>
      </c>
      <c r="B261" s="22" t="inlineStr">
        <is>
          <t>Workspace &amp; access</t>
        </is>
      </c>
      <c r="C261" s="22" t="inlineStr">
        <is>
          <t>Platform super admin: tenants, trials and suspensions</t>
        </is>
      </c>
      <c r="D261" s="22" t="inlineStr">
        <is>
          <t>/admin</t>
        </is>
      </c>
      <c r="E261" s="22" t="inlineStr">
        <is>
          <t>Platform super admin only</t>
        </is>
      </c>
      <c r="F261" s="22" t="inlineStr">
        <is>
          <t>Additional (v1 base)</t>
        </is>
      </c>
      <c r="G261" s="22" t="inlineStr">
        <is>
          <t>WS-12</t>
        </is>
      </c>
      <c r="H261" s="28" t="inlineStr">
        <is>
          <t>Live</t>
        </is>
      </c>
    </row>
    <row r="262">
      <c r="A262" s="28" t="n">
        <v>258</v>
      </c>
      <c r="B262" s="22" t="inlineStr">
        <is>
          <t>Workspace &amp; access</t>
        </is>
      </c>
      <c r="C262" s="22" t="inlineStr">
        <is>
          <t>Privacy and terms pages</t>
        </is>
      </c>
      <c r="D262" s="22" t="inlineStr">
        <is>
          <t>/privacy; /terms</t>
        </is>
      </c>
      <c r="E262" s="22" t="inlineStr">
        <is>
          <t>Everyone (own data)</t>
        </is>
      </c>
      <c r="F262" s="22" t="inlineStr">
        <is>
          <t>Additional (v1 base)</t>
        </is>
      </c>
      <c r="G262" s="22" t="inlineStr"/>
      <c r="H262" s="28" t="inlineStr">
        <is>
          <t>Live</t>
        </is>
      </c>
    </row>
    <row r="263">
      <c r="A263" s="28" t="n">
        <v>259</v>
      </c>
      <c r="B263" s="22" t="inlineStr">
        <is>
          <t>Platform &amp; UX</t>
        </is>
      </c>
      <c r="C263" s="22" t="inlineStr">
        <is>
          <t>Header with company name and week switcher</t>
        </is>
      </c>
      <c r="D263" s="22" t="inlineStr">
        <is>
          <t>Top bar (every page) + left menu</t>
        </is>
      </c>
      <c r="E263" s="22" t="inlineStr">
        <is>
          <t>Everyone (own data)</t>
        </is>
      </c>
      <c r="F263" s="22" t="inlineStr">
        <is>
          <t>Feature Guide (G1.01)</t>
        </is>
      </c>
      <c r="G263" s="22" t="inlineStr"/>
      <c r="H263" s="28" t="inlineStr">
        <is>
          <t>Live</t>
        </is>
      </c>
    </row>
    <row r="264">
      <c r="A264" s="28" t="n">
        <v>260</v>
      </c>
      <c r="B264" s="22" t="inlineStr">
        <is>
          <t>Platform &amp; UX</t>
        </is>
      </c>
      <c r="C264" s="22" t="inlineStr">
        <is>
          <t>Tabs / navigation visible per role</t>
        </is>
      </c>
      <c r="D264" s="22" t="inlineStr">
        <is>
          <t>Left menu (v7 groups with submenus), More sheet, phone tab bar</t>
        </is>
      </c>
      <c r="E264" s="22" t="inlineStr">
        <is>
          <t>Everyone (own data)</t>
        </is>
      </c>
      <c r="F264" s="22" t="inlineStr">
        <is>
          <t>Feature Guide (G1.02)</t>
        </is>
      </c>
      <c r="G264" s="22" t="inlineStr"/>
      <c r="H264" s="28" t="inlineStr">
        <is>
          <t>Live</t>
        </is>
      </c>
    </row>
    <row r="265">
      <c r="A265" s="28" t="n">
        <v>261</v>
      </c>
      <c r="B265" s="22" t="inlineStr">
        <is>
          <t>Platform &amp; UX</t>
        </is>
      </c>
      <c r="C265" s="22" t="inlineStr">
        <is>
          <t>Command palette search (Ctrl/Cmd+K)</t>
        </is>
      </c>
      <c r="D265" s="22" t="inlineStr">
        <is>
          <t>Top bar (every page)</t>
        </is>
      </c>
      <c r="E265" s="22" t="inlineStr">
        <is>
          <t>Everyone (own data)</t>
        </is>
      </c>
      <c r="F265" s="22" t="inlineStr">
        <is>
          <t>Additional (v1 base)</t>
        </is>
      </c>
      <c r="G265" s="22" t="inlineStr"/>
      <c r="H265" s="28" t="inlineStr">
        <is>
          <t>Live</t>
        </is>
      </c>
    </row>
    <row r="266">
      <c r="A266" s="28" t="n">
        <v>262</v>
      </c>
      <c r="B266" s="22" t="inlineStr">
        <is>
          <t>Platform &amp; UX</t>
        </is>
      </c>
      <c r="C266" s="22" t="inlineStr">
        <is>
          <t>Notifications centre and bell</t>
        </is>
      </c>
      <c r="D266" s="22" t="inlineStr">
        <is>
          <t>/notifications; top bar</t>
        </is>
      </c>
      <c r="E266" s="22" t="inlineStr">
        <is>
          <t>Everyone (own data)</t>
        </is>
      </c>
      <c r="F266" s="22" t="inlineStr">
        <is>
          <t>Additional (v1 base)</t>
        </is>
      </c>
      <c r="G266" s="22" t="inlineStr">
        <is>
          <t>GOV-05</t>
        </is>
      </c>
      <c r="H266" s="28" t="inlineStr">
        <is>
          <t>Live</t>
        </is>
      </c>
    </row>
    <row r="267">
      <c r="A267" s="28" t="n">
        <v>263</v>
      </c>
      <c r="B267" s="22" t="inlineStr">
        <is>
          <t>Platform &amp; UX</t>
        </is>
      </c>
      <c r="C267" s="22" t="inlineStr">
        <is>
          <t>Phone layout: bottom tab bar with role-specific shortcuts and More sheet</t>
        </is>
      </c>
      <c r="D267" s="22" t="inlineStr">
        <is>
          <t>Phones (every page)</t>
        </is>
      </c>
      <c r="E267" s="22" t="inlineStr">
        <is>
          <t>Everyone (own data)</t>
        </is>
      </c>
      <c r="F267" s="22" t="inlineStr">
        <is>
          <t>Additional (v1 base)</t>
        </is>
      </c>
      <c r="G267" s="22" t="inlineStr"/>
      <c r="H267" s="28" t="inlineStr">
        <is>
          <t>Live</t>
        </is>
      </c>
    </row>
    <row r="268">
      <c r="A268" s="28" t="n">
        <v>264</v>
      </c>
      <c r="B268" s="22" t="inlineStr">
        <is>
          <t>Platform &amp; UX</t>
        </is>
      </c>
      <c r="C268" s="22" t="inlineStr">
        <is>
          <t>Responsive tables become cards on phones; dialogs become bottom sheets</t>
        </is>
      </c>
      <c r="D268" s="22" t="inlineStr">
        <is>
          <t>Every list</t>
        </is>
      </c>
      <c r="E268" s="22" t="inlineStr">
        <is>
          <t>Everyone (own data)</t>
        </is>
      </c>
      <c r="F268" s="22" t="inlineStr">
        <is>
          <t>Additional (v1 base)</t>
        </is>
      </c>
      <c r="G268" s="22" t="inlineStr"/>
      <c r="H268" s="28" t="inlineStr">
        <is>
          <t>Live</t>
        </is>
      </c>
    </row>
    <row r="269">
      <c r="A269" s="28" t="n">
        <v>265</v>
      </c>
      <c r="B269" s="22" t="inlineStr">
        <is>
          <t>Platform &amp; UX</t>
        </is>
      </c>
      <c r="C269" s="22" t="inlineStr">
        <is>
          <t>Corporate exports: branded PDF, Excel and CSV on every list and report</t>
        </is>
      </c>
      <c r="D269" s="22" t="inlineStr">
        <is>
          <t>Export menu on lists, reports, payroll, ledger, invoices</t>
        </is>
      </c>
      <c r="E269" s="22" t="inlineStr">
        <is>
          <t>Everyone (own data)</t>
        </is>
      </c>
      <c r="F269" s="22" t="inlineStr">
        <is>
          <t>Additional (v1 base)</t>
        </is>
      </c>
      <c r="G269" s="22" t="inlineStr"/>
      <c r="H269" s="28" t="inlineStr">
        <is>
          <t>Live</t>
        </is>
      </c>
    </row>
    <row r="270">
      <c r="A270" s="28" t="n">
        <v>266</v>
      </c>
      <c r="B270" s="22" t="inlineStr">
        <is>
          <t>Platform &amp; UX</t>
        </is>
      </c>
      <c r="C270" s="22" t="inlineStr">
        <is>
          <t>Task drawer opens from anywhere (dashboards, lists, notifications)</t>
        </is>
      </c>
      <c r="D270" s="22" t="inlineStr">
        <is>
          <t>Task drawer</t>
        </is>
      </c>
      <c r="E270" s="22" t="inlineStr">
        <is>
          <t>Everyone (own data)</t>
        </is>
      </c>
      <c r="F270" s="22" t="inlineStr">
        <is>
          <t>Additional (v1 base)</t>
        </is>
      </c>
      <c r="G270" s="22" t="inlineStr"/>
      <c r="H270" s="28" t="inlineStr">
        <is>
          <t>Live</t>
        </is>
      </c>
    </row>
    <row r="271">
      <c r="A271" s="28" t="n">
        <v>267</v>
      </c>
      <c r="B271" s="22" t="inlineStr">
        <is>
          <t>Platform &amp; UX</t>
        </is>
      </c>
      <c r="C271" s="22" t="inlineStr">
        <is>
          <t>Two-level sidebar: collapsible menu groups with submenus (also in phone More sheet and Ctrl/Cmd+K search)</t>
        </is>
      </c>
      <c r="D271" s="22" t="inlineStr">
        <is>
          <t>All screens</t>
        </is>
      </c>
      <c r="E271" s="22" t="inlineStr">
        <is>
          <t>Everyone (own data)</t>
        </is>
      </c>
      <c r="F271" s="22" t="inlineStr">
        <is>
          <t>Additional (v7 workflows, documents &amp; invoicing)</t>
        </is>
      </c>
      <c r="G271" s="22" t="inlineStr"/>
      <c r="H271" s="28" t="inlineStr">
        <is>
          <t>Live</t>
        </is>
      </c>
    </row>
  </sheetData>
  <autoFilter ref="A4:H271"/>
  <conditionalFormatting sqref="H5:H271">
    <cfRule type="cellIs" priority="1" operator="equal" dxfId="0">
      <formula>"Live"</formula>
    </cfRule>
  </conditionalFormatting>
  <conditionalFormatting sqref="F5:F271">
    <cfRule type="expression" priority="2" dxfId="5">
      <formula>LEFT($F5,10)="Additional"</formula>
    </cfRule>
  </conditionalFormatting>
  <printOptions gridLines="0"/>
  <pageMargins left="0.75" right="0.75" top="1" bottom="1" header="0.5" footer="0.5"/>
  <pageSetup orientation="landscape" paperSize="9" fitToHeight="0" fitToWidth="1"/>
  <headerFooter>
    <oddHeader>&amp;C&amp;"Arial,Bold"SeereonOS build — complete feature list</oddHeader>
    <oddFooter>&amp;LSeereonOS v6 · Feature Guide cross-reference · 2 Oct 2026&amp;RPage &amp;P of &amp;N</oddFooter>
    <evenHeader/>
    <evenFooter/>
    <firstHeader/>
    <firstFooter/>
  </headerFooter>
</worksheet>
</file>

<file path=xl/worksheets/sheet5.xml><?xml version="1.0" encoding="utf-8"?>
<worksheet xmlns="http://schemas.openxmlformats.org/spreadsheetml/2006/main">
  <sheetPr>
    <tabColor rgb="00DAB34F"/>
    <outlinePr summaryBelow="1" summaryRight="1"/>
    <pageSetUpPr fitToPage="1"/>
  </sheetPr>
  <dimension ref="A1:H153"/>
  <sheetViews>
    <sheetView zoomScale="100" workbookViewId="0">
      <pane ySplit="4" topLeftCell="A5" activePane="bottomLeft" state="frozen"/>
      <selection pane="bottomLeft" activeCell="A1" sqref="A1"/>
    </sheetView>
  </sheetViews>
  <sheetFormatPr baseColWidth="8" defaultRowHeight="15"/>
  <cols>
    <col width="5" customWidth="1" min="1" max="1"/>
    <col width="20" customWidth="1" min="2" max="2"/>
    <col width="44" customWidth="1" min="3" max="3"/>
    <col width="32" customWidth="1" min="4" max="4"/>
    <col width="36" customWidth="1" min="5" max="5"/>
    <col width="18" customWidth="1" min="6" max="6"/>
    <col width="14" customWidth="1" min="7" max="7"/>
    <col width="48" customWidth="1" min="8" max="8"/>
  </cols>
  <sheetData>
    <row r="1">
      <c r="A1" s="24" t="inlineStr">
        <is>
          <t>Built in addition to the Feature Guide</t>
        </is>
      </c>
    </row>
    <row r="2">
      <c r="A2" s="25" t="inlineStr">
        <is>
          <t>Features in SeereonOS that the Feature Guide does not ask for (same rows as 'Additional' on the Build feature list).</t>
        </is>
      </c>
      <c r="B2" s="26" t="n"/>
      <c r="C2" s="26" t="n"/>
      <c r="D2" s="26" t="n"/>
      <c r="E2" s="26" t="n"/>
      <c r="F2" s="26" t="n"/>
      <c r="G2" s="26" t="n"/>
      <c r="H2" s="26" t="n"/>
    </row>
    <row r="4">
      <c r="A4" s="27" t="inlineStr">
        <is>
          <t>#</t>
        </is>
      </c>
      <c r="B4" s="27" t="inlineStr">
        <is>
          <t>Area</t>
        </is>
      </c>
      <c r="C4" s="27" t="inlineStr">
        <is>
          <t>Feature</t>
        </is>
      </c>
      <c r="D4" s="27" t="inlineStr">
        <is>
          <t>Screen / route</t>
        </is>
      </c>
      <c r="E4" s="27" t="inlineStr">
        <is>
          <t>Who can use it (default roles)</t>
        </is>
      </c>
      <c r="F4" s="27" t="inlineStr">
        <is>
          <t>Added in</t>
        </is>
      </c>
      <c r="G4" s="27" t="inlineStr">
        <is>
          <t>Process catalogue IDs</t>
        </is>
      </c>
      <c r="H4" s="27" t="inlineStr">
        <is>
          <t>Why it helps</t>
        </is>
      </c>
    </row>
    <row r="5">
      <c r="A5" s="28" t="n">
        <v>1</v>
      </c>
      <c r="B5" s="22" t="inlineStr">
        <is>
          <t>Dashboards</t>
        </is>
      </c>
      <c r="C5" s="22" t="inlineStr">
        <is>
          <t>HR &amp; operations home: on leave today, compliance calendar (60 days), openings, payroll</t>
        </is>
      </c>
      <c r="D5" s="22" t="inlineStr">
        <is>
          <t>/home → Operations</t>
        </is>
      </c>
      <c r="E5" s="22" t="inlineStr">
        <is>
          <t>Administrator, CEO, HR Manager, HR Executive</t>
        </is>
      </c>
      <c r="F5" s="22" t="inlineStr">
        <is>
          <t>v1 base</t>
        </is>
      </c>
      <c r="G5" s="22" t="inlineStr">
        <is>
          <t>ANA-04</t>
        </is>
      </c>
      <c r="H5" s="22" t="inlineStr">
        <is>
          <t>HR sees today's people picture and upcoming statutory dates.</t>
        </is>
      </c>
    </row>
    <row r="6">
      <c r="A6" s="28" t="n">
        <v>2</v>
      </c>
      <c r="B6" s="22" t="inlineStr">
        <is>
          <t>Dashboards</t>
        </is>
      </c>
      <c r="C6" s="22" t="inlineStr">
        <is>
          <t>Persona-based home: CTO, HR and other default roles land on the right dashboard</t>
        </is>
      </c>
      <c r="D6" s="22" t="inlineStr">
        <is>
          <t>/home</t>
        </is>
      </c>
      <c r="E6" s="22" t="inlineStr">
        <is>
          <t>Everyone (own data)</t>
        </is>
      </c>
      <c r="F6" s="22" t="inlineStr">
        <is>
          <t>v4 access &amp; controls</t>
        </is>
      </c>
      <c r="G6" s="22" t="inlineStr">
        <is>
          <t>ACC-09</t>
        </is>
      </c>
      <c r="H6" s="22" t="inlineStr">
        <is>
          <t>Every role opens to the dashboard that fits its job.</t>
        </is>
      </c>
    </row>
    <row r="7">
      <c r="A7" s="28" t="n">
        <v>3</v>
      </c>
      <c r="B7" s="22" t="inlineStr">
        <is>
          <t>Projects &amp; delivery</t>
        </is>
      </c>
      <c r="C7" s="22" t="inlineStr">
        <is>
          <t>Project Overview and Activity tabs (status history and audit per project)</t>
        </is>
      </c>
      <c r="D7" s="22" t="inlineStr">
        <is>
          <t>/projects/:id; /projects/:id/activity</t>
        </is>
      </c>
      <c r="E7" s="22" t="inlineStr">
        <is>
          <t>All roles (project team); full: Administrator, CEO, CTO, HR Manager</t>
        </is>
      </c>
      <c r="F7" s="22" t="inlineStr">
        <is>
          <t>v1 base</t>
        </is>
      </c>
      <c r="G7" s="22" t="inlineStr">
        <is>
          <t>DEL-07</t>
        </is>
      </c>
      <c r="H7" s="22" t="inlineStr">
        <is>
          <t>Full project history in one place.</t>
        </is>
      </c>
    </row>
    <row r="8">
      <c r="A8" s="28" t="n">
        <v>4</v>
      </c>
      <c r="B8" s="22" t="inlineStr">
        <is>
          <t>Projects &amp; delivery</t>
        </is>
      </c>
      <c r="C8" s="22" t="inlineStr">
        <is>
          <t>Hand a project over to another project manager</t>
        </is>
      </c>
      <c r="D8" s="22" t="inlineStr">
        <is>
          <t>/projects/:id</t>
        </is>
      </c>
      <c r="E8" s="22" t="inlineStr">
        <is>
          <t>Administrator, CEO, CTO</t>
        </is>
      </c>
      <c r="F8" s="22" t="inlineStr">
        <is>
          <t>v4 access &amp; controls</t>
        </is>
      </c>
      <c r="G8" s="22" t="inlineStr"/>
      <c r="H8" s="22" t="inlineStr">
        <is>
          <t>Leadership can reassign projects cleanly.</t>
        </is>
      </c>
    </row>
    <row r="9">
      <c r="A9" s="28" t="n">
        <v>5</v>
      </c>
      <c r="B9" s="22" t="inlineStr">
        <is>
          <t>Projects &amp; delivery</t>
        </is>
      </c>
      <c r="C9" s="22" t="inlineStr">
        <is>
          <t>Margin-floor warning in the project cost calculator</t>
        </is>
      </c>
      <c r="D9" s="22" t="inlineStr">
        <is>
          <t>/projects → New project; /projects/:id/money</t>
        </is>
      </c>
      <c r="E9" s="22" t="inlineStr">
        <is>
          <t>Administrator, CEO, CTO, Project Manager</t>
        </is>
      </c>
      <c r="F9" s="22" t="inlineStr">
        <is>
          <t>v5 parity extras</t>
        </is>
      </c>
      <c r="G9" s="22" t="inlineStr"/>
      <c r="H9" s="22" t="inlineStr">
        <is>
          <t>Stops under-priced projects before they are signed.</t>
        </is>
      </c>
    </row>
    <row r="10">
      <c r="A10" s="28" t="n">
        <v>6</v>
      </c>
      <c r="B10" s="22" t="inlineStr">
        <is>
          <t>Projects &amp; delivery</t>
        </is>
      </c>
      <c r="C10" s="22" t="inlineStr">
        <is>
          <t>Milestone billing shorthand (3L / 75K) and 'Edit as rows' in auto milestone setup</t>
        </is>
      </c>
      <c r="D10" s="22" t="inlineStr">
        <is>
          <t>/projects → New project</t>
        </is>
      </c>
      <c r="E10" s="22" t="inlineStr">
        <is>
          <t>Administrator, CEO, CTO, Project Manager</t>
        </is>
      </c>
      <c r="F10" s="22" t="inlineStr">
        <is>
          <t>v5 parity extras</t>
        </is>
      </c>
      <c r="G10" s="22" t="inlineStr"/>
      <c r="H10" s="22" t="inlineStr">
        <is>
          <t>Faster project set-up with fewer typing errors.</t>
        </is>
      </c>
    </row>
    <row r="11">
      <c r="A11" s="28" t="n">
        <v>7</v>
      </c>
      <c r="B11" s="22" t="inlineStr">
        <is>
          <t>Projects &amp; delivery</t>
        </is>
      </c>
      <c r="C11" s="22" t="inlineStr">
        <is>
          <t>Gantt zoom levels</t>
        </is>
      </c>
      <c r="D11" s="22" t="inlineStr">
        <is>
          <t>/projects/:id/schedule</t>
        </is>
      </c>
      <c r="E11" s="22" t="inlineStr">
        <is>
          <t>All roles (project team); full: Administrator, CEO, CTO, HR Manager</t>
        </is>
      </c>
      <c r="F11" s="22" t="inlineStr">
        <is>
          <t>v5 parity extras</t>
        </is>
      </c>
      <c r="G11" s="22" t="inlineStr"/>
      <c r="H11" s="22" t="inlineStr">
        <is>
          <t>Read long projects by week or month.</t>
        </is>
      </c>
    </row>
    <row r="12">
      <c r="A12" s="28" t="n">
        <v>8</v>
      </c>
      <c r="B12" s="22" t="inlineStr">
        <is>
          <t>Projects &amp; delivery</t>
        </is>
      </c>
      <c r="C12" s="22" t="inlineStr">
        <is>
          <t>Staffing openings</t>
        </is>
      </c>
      <c r="D12" s="22" t="inlineStr">
        <is>
          <t>/openings</t>
        </is>
      </c>
      <c r="E12" s="22" t="inlineStr">
        <is>
          <t>Administrator, CEO, CTO, Project Manager, HR Manager, HR Executive</t>
        </is>
      </c>
      <c r="F12" s="22" t="inlineStr">
        <is>
          <t>v1 base</t>
        </is>
      </c>
      <c r="G12" s="22" t="inlineStr">
        <is>
          <t>HR-01</t>
        </is>
      </c>
      <c r="H12" s="22" t="inlineStr">
        <is>
          <t>Links hiring needs to projects.</t>
        </is>
      </c>
    </row>
    <row r="13">
      <c r="A13" s="28" t="n">
        <v>9</v>
      </c>
      <c r="B13" s="22" t="inlineStr">
        <is>
          <t>Projects &amp; delivery</t>
        </is>
      </c>
      <c r="C13" s="22" t="inlineStr">
        <is>
          <t>Project areas without opening a project: Milestones &amp; billing, WBS, Schedule, Change requests, Resource allocation, Costing &amp; margin, Project documents, Client view, Import WBS</t>
        </is>
      </c>
      <c r="D13" s="22" t="inlineStr">
        <is>
          <t>/delivery/*</t>
        </is>
      </c>
      <c r="E13" s="22" t="inlineStr">
        <is>
          <t>Everyone (own data)</t>
        </is>
      </c>
      <c r="F13" s="22" t="inlineStr">
        <is>
          <t>v7 workflows, documents &amp; invoicing</t>
        </is>
      </c>
      <c r="G13" s="22" t="inlineStr"/>
      <c r="H13" s="22" t="inlineStr">
        <is>
          <t>Cross-project overviews plus a project picker that shows the same project tabs.</t>
        </is>
      </c>
    </row>
    <row r="14">
      <c r="A14" s="28" t="n">
        <v>10</v>
      </c>
      <c r="B14" s="22" t="inlineStr">
        <is>
          <t>Projects &amp; delivery</t>
        </is>
      </c>
      <c r="C14" s="22" t="inlineStr">
        <is>
          <t>Standalone project cost calculator for prospective projects (saved estimates, roles with assumed CTC, scenarios, compare)</t>
        </is>
      </c>
      <c r="D14" s="22" t="inlineStr">
        <is>
          <t>/projects/cost-calculator</t>
        </is>
      </c>
      <c r="E14" s="22" t="inlineStr">
        <is>
          <t>Administrator, CEO, CTO, Project Manager, Sales Manager</t>
        </is>
      </c>
      <c r="F14" s="22" t="inlineStr">
        <is>
          <t>v7 workflows, documents &amp; invoicing</t>
        </is>
      </c>
      <c r="G14" s="22" t="inlineStr"/>
      <c r="H14" s="22" t="inlineStr">
        <is>
          <t>Price and margin can be worked out before a deal is won.</t>
        </is>
      </c>
    </row>
    <row r="15">
      <c r="A15" s="28" t="n">
        <v>11</v>
      </c>
      <c r="B15" s="22" t="inlineStr">
        <is>
          <t>Projects &amp; delivery</t>
        </is>
      </c>
      <c r="C15" s="22" t="inlineStr">
        <is>
          <t>Estimate PDFs (internal costing, client quote) and Convert to project</t>
        </is>
      </c>
      <c r="D15" s="22" t="inlineStr">
        <is>
          <t>/projects/cost-calculator/:id</t>
        </is>
      </c>
      <c r="E15" s="22" t="inlineStr">
        <is>
          <t>Administrator, CEO, CTO, Project Manager, Sales Manager</t>
        </is>
      </c>
      <c r="F15" s="22" t="inlineStr">
        <is>
          <t>v7 workflows, documents &amp; invoicing</t>
        </is>
      </c>
      <c r="G15" s="22" t="inlineStr"/>
      <c r="H15" s="22" t="inlineStr">
        <is>
          <t>A won estimate becomes a project with its milestones, resources and costing plan.</t>
        </is>
      </c>
    </row>
    <row r="16">
      <c r="A16" s="28" t="n">
        <v>12</v>
      </c>
      <c r="B16" s="22" t="inlineStr">
        <is>
          <t>Tasks</t>
        </is>
      </c>
      <c r="C16" s="22" t="inlineStr">
        <is>
          <t>My tasks page</t>
        </is>
      </c>
      <c r="D16" s="22" t="inlineStr">
        <is>
          <t>/my-tasks</t>
        </is>
      </c>
      <c r="E16" s="22" t="inlineStr">
        <is>
          <t>Everyone (own data)</t>
        </is>
      </c>
      <c r="F16" s="22" t="inlineStr">
        <is>
          <t>v1 base</t>
        </is>
      </c>
      <c r="G16" s="22" t="inlineStr">
        <is>
          <t>TSK-02</t>
        </is>
      </c>
      <c r="H16" s="22" t="inlineStr">
        <is>
          <t>Each person sees exactly what is on their plate this week.</t>
        </is>
      </c>
    </row>
    <row r="17">
      <c r="A17" s="28" t="n">
        <v>13</v>
      </c>
      <c r="B17" s="22" t="inlineStr">
        <is>
          <t>Tasks</t>
        </is>
      </c>
      <c r="C17" s="22" t="inlineStr">
        <is>
          <t>Manager assigns general tasks to reports (General &amp; admin project)</t>
        </is>
      </c>
      <c r="D17" s="22" t="inlineStr">
        <is>
          <t>/team-tasks?tab=assign</t>
        </is>
      </c>
      <c r="E17" s="22" t="inlineStr">
        <is>
          <t>Administrator, CEO, CTO, Project Manager, HR Manager, Sales Manager</t>
        </is>
      </c>
      <c r="F17" s="22" t="inlineStr">
        <is>
          <t>v3 business processes</t>
        </is>
      </c>
      <c r="G17" s="22" t="inlineStr">
        <is>
          <t>TSK-01</t>
        </is>
      </c>
      <c r="H17" s="22" t="inlineStr">
        <is>
          <t>Non-project work is tracked with the same discipline as project work.</t>
        </is>
      </c>
    </row>
    <row r="18">
      <c r="A18" s="28" t="n">
        <v>14</v>
      </c>
      <c r="B18" s="22" t="inlineStr">
        <is>
          <t>Tasks</t>
        </is>
      </c>
      <c r="C18" s="22" t="inlineStr">
        <is>
          <t>Submit task for review with note and proof link</t>
        </is>
      </c>
      <c r="D18" s="22" t="inlineStr">
        <is>
          <t>Task drawer → Submit for review</t>
        </is>
      </c>
      <c r="E18" s="22" t="inlineStr">
        <is>
          <t>Everyone (own data)</t>
        </is>
      </c>
      <c r="F18" s="22" t="inlineStr">
        <is>
          <t>v3 business processes</t>
        </is>
      </c>
      <c r="G18" s="22" t="inlineStr">
        <is>
          <t>TSK-04</t>
        </is>
      </c>
      <c r="H18" s="22" t="inlineStr">
        <is>
          <t>'Done' means reviewed and accepted, not self-declared.</t>
        </is>
      </c>
    </row>
    <row r="19">
      <c r="A19" s="28" t="n">
        <v>15</v>
      </c>
      <c r="B19" s="22" t="inlineStr">
        <is>
          <t>Tasks</t>
        </is>
      </c>
      <c r="C19" s="22" t="inlineStr">
        <is>
          <t>Delay reason captured when a task is late</t>
        </is>
      </c>
      <c r="D19" s="22" t="inlineStr">
        <is>
          <t>Task drawer → Submit for review</t>
        </is>
      </c>
      <c r="E19" s="22" t="inlineStr">
        <is>
          <t>Everyone (own data)</t>
        </is>
      </c>
      <c r="F19" s="22" t="inlineStr">
        <is>
          <t>v3 business processes</t>
        </is>
      </c>
      <c r="G19" s="22" t="inlineStr">
        <is>
          <t>TSK-05</t>
        </is>
      </c>
      <c r="H19" s="22" t="inlineStr">
        <is>
          <t>Shows why work slips, so causes can be fixed.</t>
        </is>
      </c>
    </row>
    <row r="20">
      <c r="A20" s="28" t="n">
        <v>16</v>
      </c>
      <c r="B20" s="22" t="inlineStr">
        <is>
          <t>Tasks</t>
        </is>
      </c>
      <c r="C20" s="22" t="inlineStr">
        <is>
          <t>Approve task with quality rating (1–5)</t>
        </is>
      </c>
      <c r="D20" s="22" t="inlineStr">
        <is>
          <t>/inbox; /team-tasks?tab=review; task drawer</t>
        </is>
      </c>
      <c r="E20" s="22" t="inlineStr">
        <is>
          <t>Administrator, CEO, CTO, Project Manager, HR Manager, Sales Manager</t>
        </is>
      </c>
      <c r="F20" s="22" t="inlineStr">
        <is>
          <t>v3 business processes</t>
        </is>
      </c>
      <c r="G20" s="22" t="inlineStr">
        <is>
          <t>TSK-06</t>
        </is>
      </c>
      <c r="H20" s="22" t="inlineStr">
        <is>
          <t>Adds a quality score to on-time delivery for appraisals.</t>
        </is>
      </c>
    </row>
    <row r="21">
      <c r="A21" s="28" t="n">
        <v>17</v>
      </c>
      <c r="B21" s="22" t="inlineStr">
        <is>
          <t>Tasks</t>
        </is>
      </c>
      <c r="C21" s="22" t="inlineStr">
        <is>
          <t>Send back with reason (review rounds)</t>
        </is>
      </c>
      <c r="D21" s="22" t="inlineStr">
        <is>
          <t>/inbox; task drawer</t>
        </is>
      </c>
      <c r="E21" s="22" t="inlineStr">
        <is>
          <t>Administrator, CEO, CTO, Project Manager, HR Manager, Sales Manager</t>
        </is>
      </c>
      <c r="F21" s="22" t="inlineStr">
        <is>
          <t>v3 business processes</t>
        </is>
      </c>
      <c r="G21" s="22" t="inlineStr">
        <is>
          <t>TSK-07</t>
        </is>
      </c>
      <c r="H21" s="22" t="inlineStr">
        <is>
          <t>Rework is visible and counted.</t>
        </is>
      </c>
    </row>
    <row r="22">
      <c r="A22" s="28" t="n">
        <v>18</v>
      </c>
      <c r="B22" s="22" t="inlineStr">
        <is>
          <t>Tasks</t>
        </is>
      </c>
      <c r="C22" s="22" t="inlineStr">
        <is>
          <t>Reschedule a task with reason (target revisions)</t>
        </is>
      </c>
      <c r="D22" s="22" t="inlineStr">
        <is>
          <t>Task drawer</t>
        </is>
      </c>
      <c r="E22" s="22" t="inlineStr">
        <is>
          <t>Administrator, CEO, CTO, Project Manager</t>
        </is>
      </c>
      <c r="F22" s="22" t="inlineStr">
        <is>
          <t>v3 business processes</t>
        </is>
      </c>
      <c r="G22" s="22" t="inlineStr">
        <is>
          <t>TSK-08</t>
        </is>
      </c>
      <c r="H22" s="22" t="inlineStr">
        <is>
          <t>Every date change is explained and kept.</t>
        </is>
      </c>
    </row>
    <row r="23">
      <c r="A23" s="28" t="n">
        <v>19</v>
      </c>
      <c r="B23" s="22" t="inlineStr">
        <is>
          <t>Tasks</t>
        </is>
      </c>
      <c r="C23" s="22" t="inlineStr">
        <is>
          <t>Timeliness: early / on time / late in working days</t>
        </is>
      </c>
      <c r="D23" s="22" t="inlineStr">
        <is>
          <t>Computed (task lists, performance, appraisals)</t>
        </is>
      </c>
      <c r="E23" s="22" t="inlineStr">
        <is>
          <t>Everyone (own data)</t>
        </is>
      </c>
      <c r="F23" s="22" t="inlineStr">
        <is>
          <t>v3 business processes</t>
        </is>
      </c>
      <c r="G23" s="22" t="inlineStr">
        <is>
          <t>TSK-09</t>
        </is>
      </c>
      <c r="H23" s="22" t="inlineStr">
        <is>
          <t>One fair, consistent measure of delivery for everyone.</t>
        </is>
      </c>
    </row>
    <row r="24">
      <c r="A24" s="28" t="n">
        <v>20</v>
      </c>
      <c r="B24" s="22" t="inlineStr">
        <is>
          <t>Tasks</t>
        </is>
      </c>
      <c r="C24" s="22" t="inlineStr">
        <is>
          <t>Team task monitoring and review queue</t>
        </is>
      </c>
      <c r="D24" s="22" t="inlineStr">
        <is>
          <t>/team-tasks?tab=team; /team-tasks?tab=review</t>
        </is>
      </c>
      <c r="E24" s="22" t="inlineStr">
        <is>
          <t>Administrator, CEO, CTO, Project Manager, HR Manager, Sales Manager</t>
        </is>
      </c>
      <c r="F24" s="22" t="inlineStr">
        <is>
          <t>v3 business processes</t>
        </is>
      </c>
      <c r="G24" s="22" t="inlineStr">
        <is>
          <t>TSK-10</t>
        </is>
      </c>
      <c r="H24" s="22" t="inlineStr">
        <is>
          <t>Line managers see all their reports' work in one place.</t>
        </is>
      </c>
    </row>
    <row r="25">
      <c r="A25" s="28" t="n">
        <v>21</v>
      </c>
      <c r="B25" s="22" t="inlineStr">
        <is>
          <t>Tasks</t>
        </is>
      </c>
      <c r="C25" s="22" t="inlineStr">
        <is>
          <t>Team and company delivery performance (by person / project)</t>
        </is>
      </c>
      <c r="D25" s="22" t="inlineStr">
        <is>
          <t>/team-tasks?tab=performance; /home</t>
        </is>
      </c>
      <c r="E25" s="22" t="inlineStr">
        <is>
          <t>Administrator, CEO, CTO, Project Manager, HR Manager</t>
        </is>
      </c>
      <c r="F25" s="22" t="inlineStr">
        <is>
          <t>v3 business processes</t>
        </is>
      </c>
      <c r="G25" s="22" t="inlineStr">
        <is>
          <t>TSK-11</t>
        </is>
      </c>
      <c r="H25" s="22" t="inlineStr">
        <is>
          <t>Spot who needs help and which projects slip most.</t>
        </is>
      </c>
    </row>
    <row r="26">
      <c r="A26" s="28" t="n">
        <v>22</v>
      </c>
      <c r="B26" s="22" t="inlineStr">
        <is>
          <t>Tasks</t>
        </is>
      </c>
      <c r="C26" s="22" t="inlineStr">
        <is>
          <t>Extra task tags: Feature, Improvement, Documentation, Support, Meeting</t>
        </is>
      </c>
      <c r="D26" s="22" t="inlineStr">
        <is>
          <t>Task drawer; /tasks filter</t>
        </is>
      </c>
      <c r="E26" s="22" t="inlineStr">
        <is>
          <t>Administrator, CEO, CTO, Project Manager</t>
        </is>
      </c>
      <c r="F26" s="22" t="inlineStr">
        <is>
          <t>v5 parity extras</t>
        </is>
      </c>
      <c r="G26" s="22" t="inlineStr"/>
      <c r="H26" s="22" t="inlineStr">
        <is>
          <t>Work can be sliced by type, not only bugs.</t>
        </is>
      </c>
    </row>
    <row r="27">
      <c r="A27" s="28" t="n">
        <v>23</v>
      </c>
      <c r="B27" s="22" t="inlineStr">
        <is>
          <t>Tasks</t>
        </is>
      </c>
      <c r="C27" s="22" t="inlineStr">
        <is>
          <t>Task visibility: employees see own/covering/reviewer tasks; managers, HR, admins and CXOs see all with employee filter and By-employee view</t>
        </is>
      </c>
      <c r="D27" s="22" t="inlineStr">
        <is>
          <t>/tasks</t>
        </is>
      </c>
      <c r="E27" s="22" t="inlineStr">
        <is>
          <t>Administrator, CEO, CTO, Project Manager, HR Manager, HR Executive, Sales Manager</t>
        </is>
      </c>
      <c r="F27" s="22" t="inlineStr">
        <is>
          <t>v7 workflows, documents &amp; invoicing</t>
        </is>
      </c>
      <c r="G27" s="22" t="inlineStr"/>
      <c r="H27" s="22" t="inlineStr">
        <is>
          <t>People see what concerns them; leaders see everything and filter by person.</t>
        </is>
      </c>
    </row>
    <row r="28">
      <c r="A28" s="28" t="n">
        <v>24</v>
      </c>
      <c r="B28" s="22" t="inlineStr">
        <is>
          <t>Tasks</t>
        </is>
      </c>
      <c r="C28" s="22" t="inlineStr">
        <is>
          <t>Create task everywhere with full fields (reviewer, concerned manager, project, milestone, start/end, priority, depends on, watchers, acceptance criteria, attachments, recurrence)</t>
        </is>
      </c>
      <c r="D28" s="22" t="inlineStr">
        <is>
          <t>/tasks/new; Tasks; My tasks; Team tasks; WBS; dashboards</t>
        </is>
      </c>
      <c r="E28" s="22" t="inlineStr">
        <is>
          <t>Everyone (own data)</t>
        </is>
      </c>
      <c r="F28" s="22" t="inlineStr">
        <is>
          <t>v7 workflows, documents &amp; invoicing</t>
        </is>
      </c>
      <c r="G28" s="22" t="inlineStr"/>
      <c r="H28" s="22" t="inlineStr">
        <is>
          <t>One professional task form wherever work is assigned.</t>
        </is>
      </c>
    </row>
    <row r="29">
      <c r="A29" s="28" t="n">
        <v>25</v>
      </c>
      <c r="B29" s="22" t="inlineStr">
        <is>
          <t>Time &amp; attendance</t>
        </is>
      </c>
      <c r="C29" s="22" t="inlineStr">
        <is>
          <t>Apply for leave (employee self-service)</t>
        </is>
      </c>
      <c r="D29" s="22" t="inlineStr">
        <is>
          <t>/leave</t>
        </is>
      </c>
      <c r="E29" s="22" t="inlineStr">
        <is>
          <t>Everyone (own data)</t>
        </is>
      </c>
      <c r="F29" s="22" t="inlineStr">
        <is>
          <t>v3 business processes</t>
        </is>
      </c>
      <c r="G29" s="22" t="inlineStr">
        <is>
          <t>TIM-06</t>
        </is>
      </c>
      <c r="H29" s="22" t="inlineStr">
        <is>
          <t>Employees request leave themselves instead of asking HR.</t>
        </is>
      </c>
    </row>
    <row r="30">
      <c r="A30" s="28" t="n">
        <v>26</v>
      </c>
      <c r="B30" s="22" t="inlineStr">
        <is>
          <t>Time &amp; attendance</t>
        </is>
      </c>
      <c r="C30" s="22" t="inlineStr">
        <is>
          <t>Approve, reject or cancel leave</t>
        </is>
      </c>
      <c r="D30" s="22" t="inlineStr">
        <is>
          <t>/leave; /inbox</t>
        </is>
      </c>
      <c r="E30" s="22" t="inlineStr">
        <is>
          <t>Administrator, CEO, CTO, Project Manager, HR Manager, Sales Manager</t>
        </is>
      </c>
      <c r="F30" s="22" t="inlineStr">
        <is>
          <t>v3 business processes</t>
        </is>
      </c>
      <c r="G30" s="22" t="inlineStr">
        <is>
          <t>TIM-07</t>
        </is>
      </c>
      <c r="H30" s="22" t="inlineStr">
        <is>
          <t>Leave goes through the reporting manager with a record.</t>
        </is>
      </c>
    </row>
    <row r="31">
      <c r="A31" s="28" t="n">
        <v>27</v>
      </c>
      <c r="B31" s="22" t="inlineStr">
        <is>
          <t>Time &amp; attendance</t>
        </is>
      </c>
      <c r="C31" s="22" t="inlineStr">
        <is>
          <t>Leave policy and balances</t>
        </is>
      </c>
      <c r="D31" s="22" t="inlineStr">
        <is>
          <t>/leave (Policy)</t>
        </is>
      </c>
      <c r="E31" s="22" t="inlineStr">
        <is>
          <t>Administrator, CEO, HR Manager</t>
        </is>
      </c>
      <c r="F31" s="22" t="inlineStr">
        <is>
          <t>v3 business processes</t>
        </is>
      </c>
      <c r="G31" s="22" t="inlineStr">
        <is>
          <t>TIM-08</t>
        </is>
      </c>
      <c r="H31" s="22" t="inlineStr">
        <is>
          <t>Entitlements and balances are calculated, not tracked in spreadsheets.</t>
        </is>
      </c>
    </row>
    <row r="32">
      <c r="A32" s="28" t="n">
        <v>28</v>
      </c>
      <c r="B32" s="22" t="inlineStr">
        <is>
          <t>Time &amp; attendance</t>
        </is>
      </c>
      <c r="C32" s="22" t="inlineStr">
        <is>
          <t>Team page: workload, timesheets and availability of reports</t>
        </is>
      </c>
      <c r="D32" s="22" t="inlineStr">
        <is>
          <t>/team</t>
        </is>
      </c>
      <c r="E32" s="22" t="inlineStr">
        <is>
          <t>Administrator, CEO, CTO, Project Manager, HR Manager, Sales Manager</t>
        </is>
      </c>
      <c r="F32" s="22" t="inlineStr">
        <is>
          <t>v1 base</t>
        </is>
      </c>
      <c r="G32" s="22" t="inlineStr"/>
      <c r="H32" s="22" t="inlineStr">
        <is>
          <t>Managers see who is free, overloaded or behind on timesheets.</t>
        </is>
      </c>
    </row>
    <row r="33">
      <c r="A33" s="28" t="n">
        <v>29</v>
      </c>
      <c r="B33" s="22" t="inlineStr">
        <is>
          <t>Approvals &amp; governance</t>
        </is>
      </c>
      <c r="C33" s="22" t="inlineStr">
        <is>
          <t>Approvals inbox: every approval in one place</t>
        </is>
      </c>
      <c r="D33" s="22" t="inlineStr">
        <is>
          <t>/inbox</t>
        </is>
      </c>
      <c r="E33" s="22" t="inlineStr">
        <is>
          <t>All roles</t>
        </is>
      </c>
      <c r="F33" s="22" t="inlineStr">
        <is>
          <t>v3 business processes</t>
        </is>
      </c>
      <c r="G33" s="22" t="inlineStr">
        <is>
          <t>GOV-03</t>
        </is>
      </c>
      <c r="H33" s="22" t="inlineStr">
        <is>
          <t>Managers clear timesheets, leave, expenses, POs, bills, tasks, documents and changes from one queue.</t>
        </is>
      </c>
    </row>
    <row r="34">
      <c r="A34" s="28" t="n">
        <v>30</v>
      </c>
      <c r="B34" s="22" t="inlineStr">
        <is>
          <t>Approvals &amp; governance</t>
        </is>
      </c>
      <c r="C34" s="22" t="inlineStr">
        <is>
          <t>Audit trail (who changed what, when)</t>
        </is>
      </c>
      <c r="D34" s="22" t="inlineStr">
        <is>
          <t>/audit</t>
        </is>
      </c>
      <c r="E34" s="22" t="inlineStr">
        <is>
          <t>Administrator, CEO, CTO</t>
        </is>
      </c>
      <c r="F34" s="22" t="inlineStr">
        <is>
          <t>v3 business processes</t>
        </is>
      </c>
      <c r="G34" s="22" t="inlineStr">
        <is>
          <t>GOV-04</t>
        </is>
      </c>
      <c r="H34" s="22" t="inlineStr">
        <is>
          <t>Full accountability and ISO 9001 evidence.</t>
        </is>
      </c>
    </row>
    <row r="35">
      <c r="A35" s="28" t="n">
        <v>31</v>
      </c>
      <c r="B35" s="22" t="inlineStr">
        <is>
          <t>Approvals &amp; governance</t>
        </is>
      </c>
      <c r="C35" s="22" t="inlineStr">
        <is>
          <t>Goals &amp; OKRs: company, team and personal objectives</t>
        </is>
      </c>
      <c r="D35" s="22" t="inlineStr">
        <is>
          <t>/okrs</t>
        </is>
      </c>
      <c r="E35" s="22" t="inlineStr">
        <is>
          <t>All roles (view: everyone); full: Administrator, CEO</t>
        </is>
      </c>
      <c r="F35" s="22" t="inlineStr">
        <is>
          <t>v3 business processes</t>
        </is>
      </c>
      <c r="G35" s="22" t="inlineStr">
        <is>
          <t>GOV-01</t>
        </is>
      </c>
      <c r="H35" s="22" t="inlineStr">
        <is>
          <t>Links daily work to company goals.</t>
        </is>
      </c>
    </row>
    <row r="36">
      <c r="A36" s="28" t="n">
        <v>32</v>
      </c>
      <c r="B36" s="22" t="inlineStr">
        <is>
          <t>Approvals &amp; governance</t>
        </is>
      </c>
      <c r="C36" s="22" t="inlineStr">
        <is>
          <t>Key results with automatic measures and check-ins</t>
        </is>
      </c>
      <c r="D36" s="22" t="inlineStr">
        <is>
          <t>/okrs</t>
        </is>
      </c>
      <c r="E36" s="22" t="inlineStr">
        <is>
          <t>All roles (check-ins: owners); full: Administrator, CEO</t>
        </is>
      </c>
      <c r="F36" s="22" t="inlineStr">
        <is>
          <t>v3 business processes</t>
        </is>
      </c>
      <c r="G36" s="22" t="inlineStr">
        <is>
          <t>GOV-02</t>
        </is>
      </c>
      <c r="H36" s="22" t="inlineStr">
        <is>
          <t>Progress on goals updates itself from live data.</t>
        </is>
      </c>
    </row>
    <row r="37">
      <c r="A37" s="28" t="n">
        <v>33</v>
      </c>
      <c r="B37" s="22" t="inlineStr">
        <is>
          <t>Approvals &amp; governance</t>
        </is>
      </c>
      <c r="C37" s="22" t="inlineStr">
        <is>
          <t>Workflow designer: stages, assignee rules, per-stage reviewer fields with visibility, SLA, send back, completion actions</t>
        </is>
      </c>
      <c r="D37" s="22" t="inlineStr">
        <is>
          <t>/workflows/designer</t>
        </is>
      </c>
      <c r="E37" s="22" t="inlineStr">
        <is>
          <t>Administrator, CEO, HR Manager</t>
        </is>
      </c>
      <c r="F37" s="22" t="inlineStr">
        <is>
          <t>v7 workflows, documents &amp; invoicing</t>
        </is>
      </c>
      <c r="G37" s="22" t="inlineStr"/>
      <c r="H37" s="22" t="inlineStr">
        <is>
          <t>HR and admins can build their own approval processes without code.</t>
        </is>
      </c>
    </row>
    <row r="38">
      <c r="A38" s="28" t="n">
        <v>34</v>
      </c>
      <c r="B38" s="22" t="inlineStr">
        <is>
          <t>Approvals &amp; governance</t>
        </is>
      </c>
      <c r="C38" s="22" t="inlineStr">
        <is>
          <t>Workflow inbox and run page (waiting for me, started by me, about me), escalation on SLA breach</t>
        </is>
      </c>
      <c r="D38" s="22" t="inlineStr">
        <is>
          <t>/workflows; /workflows/run/:id</t>
        </is>
      </c>
      <c r="E38" s="22" t="inlineStr">
        <is>
          <t>Everyone (own data)</t>
        </is>
      </c>
      <c r="F38" s="22" t="inlineStr">
        <is>
          <t>v7 workflows, documents &amp; invoicing</t>
        </is>
      </c>
      <c r="G38" s="22" t="inlineStr"/>
      <c r="H38" s="22" t="inlineStr">
        <is>
          <t>Each reviewer sees only their step and the fields they are allowed to see.</t>
        </is>
      </c>
    </row>
    <row r="39">
      <c r="A39" s="28" t="n">
        <v>35</v>
      </c>
      <c r="B39" s="22" t="inlineStr">
        <is>
          <t>Payroll</t>
        </is>
      </c>
      <c r="C39" s="22" t="inlineStr">
        <is>
          <t>Finalise payroll (lock run, post to ledger)</t>
        </is>
      </c>
      <c r="D39" s="22" t="inlineStr">
        <is>
          <t>/payroll/:id</t>
        </is>
      </c>
      <c r="E39" s="22" t="inlineStr">
        <is>
          <t>Administrator, CEO</t>
        </is>
      </c>
      <c r="F39" s="22" t="inlineStr">
        <is>
          <t>v1 base</t>
        </is>
      </c>
      <c r="G39" s="22" t="inlineStr">
        <is>
          <t>PAY-04</t>
        </is>
      </c>
      <c r="H39" s="22" t="inlineStr">
        <is>
          <t>Paid months cannot change later and costs land in the books.</t>
        </is>
      </c>
    </row>
    <row r="40">
      <c r="A40" s="28" t="n">
        <v>36</v>
      </c>
      <c r="B40" s="22" t="inlineStr">
        <is>
          <t>Sales</t>
        </is>
      </c>
      <c r="C40" s="22" t="inlineStr">
        <is>
          <t>Pipeline kanban board (drag deals between stages)</t>
        </is>
      </c>
      <c r="D40" s="22" t="inlineStr">
        <is>
          <t>/sales</t>
        </is>
      </c>
      <c r="E40" s="22" t="inlineStr">
        <is>
          <t>Administrator, CEO, Sales Manager, Sales Executive</t>
        </is>
      </c>
      <c r="F40" s="22" t="inlineStr">
        <is>
          <t>v1 base</t>
        </is>
      </c>
      <c r="G40" s="22" t="inlineStr">
        <is>
          <t>SAL-02</t>
        </is>
      </c>
      <c r="H40" s="22" t="inlineStr">
        <is>
          <t>Fast stage updates alongside the funnel view.</t>
        </is>
      </c>
    </row>
    <row r="41">
      <c r="A41" s="28" t="n">
        <v>37</v>
      </c>
      <c r="B41" s="22" t="inlineStr">
        <is>
          <t>Sales</t>
        </is>
      </c>
      <c r="C41" s="22" t="inlineStr">
        <is>
          <t>Sales home dashboard: target this month, deals needing action, pipeline by stage, recent activity</t>
        </is>
      </c>
      <c r="D41" s="22" t="inlineStr">
        <is>
          <t>/home → Sales</t>
        </is>
      </c>
      <c r="E41" s="22" t="inlineStr">
        <is>
          <t>Administrator, CEO, Sales Manager, Sales Executive</t>
        </is>
      </c>
      <c r="F41" s="22" t="inlineStr">
        <is>
          <t>v1 base</t>
        </is>
      </c>
      <c r="G41" s="22" t="inlineStr">
        <is>
          <t>ANA-03</t>
        </is>
      </c>
      <c r="H41" s="22" t="inlineStr">
        <is>
          <t>Each salesperson starts the day with what needs action.</t>
        </is>
      </c>
    </row>
    <row r="42">
      <c r="A42" s="28" t="n">
        <v>38</v>
      </c>
      <c r="B42" s="22" t="inlineStr">
        <is>
          <t>Clients &amp; contracts</t>
        </is>
      </c>
      <c r="C42" s="22" t="inlineStr">
        <is>
          <t>Client master</t>
        </is>
      </c>
      <c r="D42" s="22" t="inlineStr">
        <is>
          <t>/clients; /clients/:id</t>
        </is>
      </c>
      <c r="E42" s="22" t="inlineStr">
        <is>
          <t>Administrator, CEO, Sales Manager, Sales Executive</t>
        </is>
      </c>
      <c r="F42" s="22" t="inlineStr">
        <is>
          <t>v3 business processes</t>
        </is>
      </c>
      <c r="G42" s="22" t="inlineStr">
        <is>
          <t>CLI-01</t>
        </is>
      </c>
      <c r="H42" s="22" t="inlineStr">
        <is>
          <t>One record per client across sales, delivery and finance.</t>
        </is>
      </c>
    </row>
    <row r="43">
      <c r="A43" s="28" t="n">
        <v>39</v>
      </c>
      <c r="B43" s="22" t="inlineStr">
        <is>
          <t>Clients &amp; contracts</t>
        </is>
      </c>
      <c r="C43" s="22" t="inlineStr">
        <is>
          <t>Contract register</t>
        </is>
      </c>
      <c r="D43" s="22" t="inlineStr">
        <is>
          <t>/clients/:id</t>
        </is>
      </c>
      <c r="E43" s="22" t="inlineStr">
        <is>
          <t>Administrator, CEO, Sales Manager, Sales Executive</t>
        </is>
      </c>
      <c r="F43" s="22" t="inlineStr">
        <is>
          <t>v3 business processes</t>
        </is>
      </c>
      <c r="G43" s="22" t="inlineStr">
        <is>
          <t>CLI-02</t>
        </is>
      </c>
      <c r="H43" s="22" t="inlineStr">
        <is>
          <t>Contract values, dates and terms in one place.</t>
        </is>
      </c>
    </row>
    <row r="44">
      <c r="A44" s="28" t="n">
        <v>40</v>
      </c>
      <c r="B44" s="22" t="inlineStr">
        <is>
          <t>Clients &amp; contracts</t>
        </is>
      </c>
      <c r="C44" s="22" t="inlineStr">
        <is>
          <t>Contract renewals</t>
        </is>
      </c>
      <c r="D44" s="22" t="inlineStr">
        <is>
          <t>/clients</t>
        </is>
      </c>
      <c r="E44" s="22" t="inlineStr">
        <is>
          <t>Administrator, CEO, Sales Manager, Sales Executive</t>
        </is>
      </c>
      <c r="F44" s="22" t="inlineStr">
        <is>
          <t>v3 business processes</t>
        </is>
      </c>
      <c r="G44" s="22" t="inlineStr">
        <is>
          <t>CLI-03</t>
        </is>
      </c>
      <c r="H44" s="22" t="inlineStr">
        <is>
          <t>AMC and subscription renewals are never missed.</t>
        </is>
      </c>
    </row>
    <row r="45">
      <c r="A45" s="28" t="n">
        <v>41</v>
      </c>
      <c r="B45" s="22" t="inlineStr">
        <is>
          <t>Clients &amp; contracts</t>
        </is>
      </c>
      <c r="C45" s="22" t="inlineStr">
        <is>
          <t>Client health and 360 view</t>
        </is>
      </c>
      <c r="D45" s="22" t="inlineStr">
        <is>
          <t>/clients/:id</t>
        </is>
      </c>
      <c r="E45" s="22" t="inlineStr">
        <is>
          <t>Administrator, CEO, Sales Manager, Sales Executive</t>
        </is>
      </c>
      <c r="F45" s="22" t="inlineStr">
        <is>
          <t>v3 business processes</t>
        </is>
      </c>
      <c r="G45" s="22" t="inlineStr">
        <is>
          <t>CLI-04</t>
        </is>
      </c>
      <c r="H45" s="22" t="inlineStr">
        <is>
          <t>Projects, invoices, dues and deals for a client on one page.</t>
        </is>
      </c>
    </row>
    <row r="46">
      <c r="A46" s="28" t="n">
        <v>42</v>
      </c>
      <c r="B46" s="22" t="inlineStr">
        <is>
          <t>Finance</t>
        </is>
      </c>
      <c r="C46" s="22" t="inlineStr">
        <is>
          <t>Invoices list with receivables ageing and DSO</t>
        </is>
      </c>
      <c r="D46" s="22" t="inlineStr">
        <is>
          <t>/finance/invoices</t>
        </is>
      </c>
      <c r="E46" s="22" t="inlineStr">
        <is>
          <t>Administrator, CEO</t>
        </is>
      </c>
      <c r="F46" s="22" t="inlineStr">
        <is>
          <t>v1 base</t>
        </is>
      </c>
      <c r="G46" s="22" t="inlineStr">
        <is>
          <t>FIN-03</t>
        </is>
      </c>
      <c r="H46" s="22" t="inlineStr">
        <is>
          <t>Shows who owes what and for how long.</t>
        </is>
      </c>
    </row>
    <row r="47">
      <c r="A47" s="28" t="n">
        <v>43</v>
      </c>
      <c r="B47" s="22" t="inlineStr">
        <is>
          <t>Finance</t>
        </is>
      </c>
      <c r="C47" s="22" t="inlineStr">
        <is>
          <t>Record client payments (including part payments)</t>
        </is>
      </c>
      <c r="D47" s="22" t="inlineStr">
        <is>
          <t>/finance/invoices</t>
        </is>
      </c>
      <c r="E47" s="22" t="inlineStr">
        <is>
          <t>Administrator, CEO</t>
        </is>
      </c>
      <c r="F47" s="22" t="inlineStr">
        <is>
          <t>v1 base</t>
        </is>
      </c>
      <c r="G47" s="22" t="inlineStr">
        <is>
          <t>FIN-02</t>
        </is>
      </c>
      <c r="H47" s="22" t="inlineStr">
        <is>
          <t>Cash received is tracked against each invoice.</t>
        </is>
      </c>
    </row>
    <row r="48">
      <c r="A48" s="28" t="n">
        <v>44</v>
      </c>
      <c r="B48" s="22" t="inlineStr">
        <is>
          <t>Finance</t>
        </is>
      </c>
      <c r="C48" s="22" t="inlineStr">
        <is>
          <t>Cash runway</t>
        </is>
      </c>
      <c r="D48" s="22" t="inlineStr">
        <is>
          <t>/home → CEO; /finance/pnl</t>
        </is>
      </c>
      <c r="E48" s="22" t="inlineStr">
        <is>
          <t>Administrator, CEO</t>
        </is>
      </c>
      <c r="F48" s="22" t="inlineStr">
        <is>
          <t>v1 base</t>
        </is>
      </c>
      <c r="G48" s="22" t="inlineStr">
        <is>
          <t>FIN-06</t>
        </is>
      </c>
      <c r="H48" s="22" t="inlineStr">
        <is>
          <t>How many months the company can run on current cash.</t>
        </is>
      </c>
    </row>
    <row r="49">
      <c r="A49" s="28" t="n">
        <v>45</v>
      </c>
      <c r="B49" s="22" t="inlineStr">
        <is>
          <t>Finance</t>
        </is>
      </c>
      <c r="C49" s="22" t="inlineStr">
        <is>
          <t>GST tax invoice editor per project: seller and buyer GSTIN, place of supply, HSN/SAC lines, CGST+SGST or IGST, bank and IFSC, amount in words</t>
        </is>
      </c>
      <c r="D49" s="22" t="inlineStr">
        <is>
          <t>/finance/invoices/new</t>
        </is>
      </c>
      <c r="E49" s="22" t="inlineStr">
        <is>
          <t>Administrator, CEO</t>
        </is>
      </c>
      <c r="F49" s="22" t="inlineStr">
        <is>
          <t>v7 workflows, documents &amp; invoicing</t>
        </is>
      </c>
      <c r="G49" s="22" t="inlineStr"/>
      <c r="H49" s="22" t="inlineStr">
        <is>
          <t>Invoices are legally formatted and tie into milestones, ledger and margins.</t>
        </is>
      </c>
    </row>
    <row r="50">
      <c r="A50" s="28" t="n">
        <v>46</v>
      </c>
      <c r="B50" s="22" t="inlineStr">
        <is>
          <t>Finance</t>
        </is>
      </c>
      <c r="C50" s="22" t="inlineStr">
        <is>
          <t>Invoice view, PDF, payments with TDS, email, cancel with credit note; revenue at taxable value</t>
        </is>
      </c>
      <c r="D50" s="22" t="inlineStr">
        <is>
          <t>/finance/invoices/:id</t>
        </is>
      </c>
      <c r="E50" s="22" t="inlineStr">
        <is>
          <t>Administrator, CEO</t>
        </is>
      </c>
      <c r="F50" s="22" t="inlineStr">
        <is>
          <t>v7 workflows, documents &amp; invoicing</t>
        </is>
      </c>
      <c r="G50" s="22" t="inlineStr"/>
      <c r="H50" s="22" t="inlineStr">
        <is>
          <t>Billing and collections stay accurate and auditable.</t>
        </is>
      </c>
    </row>
    <row r="51">
      <c r="A51" s="28" t="n">
        <v>47</v>
      </c>
      <c r="B51" s="22" t="inlineStr">
        <is>
          <t>Spend &amp; procurement</t>
        </is>
      </c>
      <c r="C51" s="22" t="inlineStr">
        <is>
          <t>Submit an expense claim</t>
        </is>
      </c>
      <c r="D51" s="22" t="inlineStr">
        <is>
          <t>/expenses</t>
        </is>
      </c>
      <c r="E51" s="22" t="inlineStr">
        <is>
          <t>Everyone (own data)</t>
        </is>
      </c>
      <c r="F51" s="22" t="inlineStr">
        <is>
          <t>v3 business processes</t>
        </is>
      </c>
      <c r="G51" s="22" t="inlineStr">
        <is>
          <t>SPD-01</t>
        </is>
      </c>
      <c r="H51" s="22" t="inlineStr">
        <is>
          <t>Employees claim reimbursements with receipts in the app.</t>
        </is>
      </c>
    </row>
    <row r="52">
      <c r="A52" s="28" t="n">
        <v>48</v>
      </c>
      <c r="B52" s="22" t="inlineStr">
        <is>
          <t>Spend &amp; procurement</t>
        </is>
      </c>
      <c r="C52" s="22" t="inlineStr">
        <is>
          <t>Approve or reject expenses (two-step above Rs 25,000)</t>
        </is>
      </c>
      <c r="D52" s="22" t="inlineStr">
        <is>
          <t>/expenses?tab=approve; /inbox</t>
        </is>
      </c>
      <c r="E52" s="22" t="inlineStr">
        <is>
          <t>Administrator, CEO, CTO, Project Manager, HR Manager, Sales Manager</t>
        </is>
      </c>
      <c r="F52" s="22" t="inlineStr">
        <is>
          <t>v3 business processes</t>
        </is>
      </c>
      <c r="G52" s="22" t="inlineStr">
        <is>
          <t>SPD-02</t>
        </is>
      </c>
      <c r="H52" s="22" t="inlineStr">
        <is>
          <t>Controls spend with an extra check on large claims.</t>
        </is>
      </c>
    </row>
    <row r="53">
      <c r="A53" s="28" t="n">
        <v>49</v>
      </c>
      <c r="B53" s="22" t="inlineStr">
        <is>
          <t>Spend &amp; procurement</t>
        </is>
      </c>
      <c r="C53" s="22" t="inlineStr">
        <is>
          <t>Reimburse an expense</t>
        </is>
      </c>
      <c r="D53" s="22" t="inlineStr">
        <is>
          <t>/expenses?tab=pay; /inbox</t>
        </is>
      </c>
      <c r="E53" s="22" t="inlineStr">
        <is>
          <t>Administrator, CEO, HR Manager</t>
        </is>
      </c>
      <c r="F53" s="22" t="inlineStr">
        <is>
          <t>v3 business processes</t>
        </is>
      </c>
      <c r="G53" s="22" t="inlineStr">
        <is>
          <t>SPD-03</t>
        </is>
      </c>
      <c r="H53" s="22" t="inlineStr">
        <is>
          <t>Finance pays only approved claims and records it.</t>
        </is>
      </c>
    </row>
    <row r="54">
      <c r="A54" s="28" t="n">
        <v>50</v>
      </c>
      <c r="B54" s="22" t="inlineStr">
        <is>
          <t>Spend &amp; procurement</t>
        </is>
      </c>
      <c r="C54" s="22" t="inlineStr">
        <is>
          <t>Vendor master (onboard, block, unblock)</t>
        </is>
      </c>
      <c r="D54" s="22" t="inlineStr">
        <is>
          <t>/purchases (Vendors)</t>
        </is>
      </c>
      <c r="E54" s="22" t="inlineStr">
        <is>
          <t>Administrator, CEO, HR Manager</t>
        </is>
      </c>
      <c r="F54" s="22" t="inlineStr">
        <is>
          <t>v3 business processes</t>
        </is>
      </c>
      <c r="G54" s="22" t="inlineStr">
        <is>
          <t>ORG-04</t>
        </is>
      </c>
      <c r="H54" s="22" t="inlineStr">
        <is>
          <t>One verified vendor list; bank detail changes are maker-checked.</t>
        </is>
      </c>
    </row>
    <row r="55">
      <c r="A55" s="28" t="n">
        <v>51</v>
      </c>
      <c r="B55" s="22" t="inlineStr">
        <is>
          <t>Spend &amp; procurement</t>
        </is>
      </c>
      <c r="C55" s="22" t="inlineStr">
        <is>
          <t>Raise a purchase order</t>
        </is>
      </c>
      <c r="D55" s="22" t="inlineStr">
        <is>
          <t>/purchases</t>
        </is>
      </c>
      <c r="E55" s="22" t="inlineStr">
        <is>
          <t>Administrator, CEO, HR Manager</t>
        </is>
      </c>
      <c r="F55" s="22" t="inlineStr">
        <is>
          <t>v3 business processes</t>
        </is>
      </c>
      <c r="G55" s="22" t="inlineStr">
        <is>
          <t>SPD-04</t>
        </is>
      </c>
      <c r="H55" s="22" t="inlineStr">
        <is>
          <t>Spend is committed only with an approved PO.</t>
        </is>
      </c>
    </row>
    <row r="56">
      <c r="A56" s="28" t="n">
        <v>52</v>
      </c>
      <c r="B56" s="22" t="inlineStr">
        <is>
          <t>Spend &amp; procurement</t>
        </is>
      </c>
      <c r="C56" s="22" t="inlineStr">
        <is>
          <t>Approve, reject or close a purchase order</t>
        </is>
      </c>
      <c r="D56" s="22" t="inlineStr">
        <is>
          <t>/purchases; /inbox</t>
        </is>
      </c>
      <c r="E56" s="22" t="inlineStr">
        <is>
          <t>Administrator, CEO, HR Manager</t>
        </is>
      </c>
      <c r="F56" s="22" t="inlineStr">
        <is>
          <t>v3 business processes</t>
        </is>
      </c>
      <c r="G56" s="22" t="inlineStr">
        <is>
          <t>SPD-05</t>
        </is>
      </c>
      <c r="H56" s="22" t="inlineStr">
        <is>
          <t>Purchases follow the approval workflow and budget.</t>
        </is>
      </c>
    </row>
    <row r="57">
      <c r="A57" s="28" t="n">
        <v>53</v>
      </c>
      <c r="B57" s="22" t="inlineStr">
        <is>
          <t>Spend &amp; procurement</t>
        </is>
      </c>
      <c r="C57" s="22" t="inlineStr">
        <is>
          <t>Book a vendor bill with PO match</t>
        </is>
      </c>
      <c r="D57" s="22" t="inlineStr">
        <is>
          <t>/purchases</t>
        </is>
      </c>
      <c r="E57" s="22" t="inlineStr">
        <is>
          <t>Administrator, CEO, HR Manager</t>
        </is>
      </c>
      <c r="F57" s="22" t="inlineStr">
        <is>
          <t>v3 business processes</t>
        </is>
      </c>
      <c r="G57" s="22" t="inlineStr">
        <is>
          <t>SPD-06</t>
        </is>
      </c>
      <c r="H57" s="22" t="inlineStr">
        <is>
          <t>Bills are paid only against what was ordered.</t>
        </is>
      </c>
    </row>
    <row r="58">
      <c r="A58" s="28" t="n">
        <v>54</v>
      </c>
      <c r="B58" s="22" t="inlineStr">
        <is>
          <t>Spend &amp; procurement</t>
        </is>
      </c>
      <c r="C58" s="22" t="inlineStr">
        <is>
          <t>Approve, dispute and pay vendor bills</t>
        </is>
      </c>
      <c r="D58" s="22" t="inlineStr">
        <is>
          <t>/purchases; /inbox</t>
        </is>
      </c>
      <c r="E58" s="22" t="inlineStr">
        <is>
          <t>Administrator, CEO, HR Manager</t>
        </is>
      </c>
      <c r="F58" s="22" t="inlineStr">
        <is>
          <t>v3 business processes</t>
        </is>
      </c>
      <c r="G58" s="22" t="inlineStr">
        <is>
          <t>SPD-07</t>
        </is>
      </c>
      <c r="H58" s="22" t="inlineStr">
        <is>
          <t>Payables under control, disputes recorded.</t>
        </is>
      </c>
    </row>
    <row r="59">
      <c r="A59" s="28" t="n">
        <v>55</v>
      </c>
      <c r="B59" s="22" t="inlineStr">
        <is>
          <t>Spend &amp; procurement</t>
        </is>
      </c>
      <c r="C59" s="22" t="inlineStr">
        <is>
          <t>Annual budget with monthly phasing</t>
        </is>
      </c>
      <c r="D59" s="22" t="inlineStr">
        <is>
          <t>/budgets</t>
        </is>
      </c>
      <c r="E59" s="22" t="inlineStr">
        <is>
          <t>Administrator, CEO</t>
        </is>
      </c>
      <c r="F59" s="22" t="inlineStr">
        <is>
          <t>v3 business processes</t>
        </is>
      </c>
      <c r="G59" s="22" t="inlineStr">
        <is>
          <t>SPD-08</t>
        </is>
      </c>
      <c r="H59" s="22" t="inlineStr">
        <is>
          <t>Plans spend and revenue by month.</t>
        </is>
      </c>
    </row>
    <row r="60">
      <c r="A60" s="28" t="n">
        <v>56</v>
      </c>
      <c r="B60" s="22" t="inlineStr">
        <is>
          <t>Spend &amp; procurement</t>
        </is>
      </c>
      <c r="C60" s="22" t="inlineStr">
        <is>
          <t>Budget vs actual review</t>
        </is>
      </c>
      <c r="D60" s="22" t="inlineStr">
        <is>
          <t>/budgets</t>
        </is>
      </c>
      <c r="E60" s="22" t="inlineStr">
        <is>
          <t>Administrator, CEO</t>
        </is>
      </c>
      <c r="F60" s="22" t="inlineStr">
        <is>
          <t>v3 business processes</t>
        </is>
      </c>
      <c r="G60" s="22" t="inlineStr">
        <is>
          <t>SPD-09</t>
        </is>
      </c>
      <c r="H60" s="22" t="inlineStr">
        <is>
          <t>Overspend is visible the month it happens.</t>
        </is>
      </c>
    </row>
    <row r="61">
      <c r="A61" s="28" t="n">
        <v>57</v>
      </c>
      <c r="B61" s="22" t="inlineStr">
        <is>
          <t>Spend &amp; procurement</t>
        </is>
      </c>
      <c r="C61" s="22" t="inlineStr">
        <is>
          <t>Unbudgeted / additional spend register</t>
        </is>
      </c>
      <c r="D61" s="22" t="inlineStr">
        <is>
          <t>/budgets</t>
        </is>
      </c>
      <c r="E61" s="22" t="inlineStr">
        <is>
          <t>Administrator, CEO</t>
        </is>
      </c>
      <c r="F61" s="22" t="inlineStr">
        <is>
          <t>v3 business processes</t>
        </is>
      </c>
      <c r="G61" s="22" t="inlineStr">
        <is>
          <t>SPD-10</t>
        </is>
      </c>
      <c r="H61" s="22" t="inlineStr">
        <is>
          <t>Every out-of-plan spend is justified and approved.</t>
        </is>
      </c>
    </row>
    <row r="62">
      <c r="A62" s="28" t="n">
        <v>58</v>
      </c>
      <c r="B62" s="22" t="inlineStr">
        <is>
          <t>Revenue assurance</t>
        </is>
      </c>
      <c r="C62" s="22" t="inlineStr">
        <is>
          <t>Lost revenue register and reporting</t>
        </is>
      </c>
      <c r="D62" s="22" t="inlineStr">
        <is>
          <t>/leakage</t>
        </is>
      </c>
      <c r="E62" s="22" t="inlineStr">
        <is>
          <t>Administrator, CEO, Sales Manager</t>
        </is>
      </c>
      <c r="F62" s="22" t="inlineStr">
        <is>
          <t>v3 business processes</t>
        </is>
      </c>
      <c r="G62" s="22" t="inlineStr">
        <is>
          <t>REV-01</t>
        </is>
      </c>
      <c r="H62" s="22" t="inlineStr">
        <is>
          <t>Puts a rupee figure on revenue the company is losing.</t>
        </is>
      </c>
    </row>
    <row r="63">
      <c r="A63" s="28" t="n">
        <v>59</v>
      </c>
      <c r="B63" s="22" t="inlineStr">
        <is>
          <t>Revenue assurance</t>
        </is>
      </c>
      <c r="C63" s="22" t="inlineStr">
        <is>
          <t>Auto-detect lost deals</t>
        </is>
      </c>
      <c r="D63" s="22" t="inlineStr">
        <is>
          <t>/leakage</t>
        </is>
      </c>
      <c r="E63" s="22" t="inlineStr">
        <is>
          <t>Administrator, CEO, Sales Manager</t>
        </is>
      </c>
      <c r="F63" s="22" t="inlineStr">
        <is>
          <t>v3 business processes</t>
        </is>
      </c>
      <c r="G63" s="22" t="inlineStr">
        <is>
          <t>REV-02</t>
        </is>
      </c>
      <c r="H63" s="22" t="inlineStr">
        <is>
          <t>Lost pipeline value shows up without manual entry.</t>
        </is>
      </c>
    </row>
    <row r="64">
      <c r="A64" s="28" t="n">
        <v>60</v>
      </c>
      <c r="B64" s="22" t="inlineStr">
        <is>
          <t>Revenue assurance</t>
        </is>
      </c>
      <c r="C64" s="22" t="inlineStr">
        <is>
          <t>Auto-detect unbilled hours</t>
        </is>
      </c>
      <c r="D64" s="22" t="inlineStr">
        <is>
          <t>/leakage</t>
        </is>
      </c>
      <c r="E64" s="22" t="inlineStr">
        <is>
          <t>Administrator, CEO, Sales Manager</t>
        </is>
      </c>
      <c r="F64" s="22" t="inlineStr">
        <is>
          <t>v3 business processes</t>
        </is>
      </c>
      <c r="G64" s="22" t="inlineStr">
        <is>
          <t>REV-03</t>
        </is>
      </c>
      <c r="H64" s="22" t="inlineStr">
        <is>
          <t>Work done but never invoiced is caught.</t>
        </is>
      </c>
    </row>
    <row r="65">
      <c r="A65" s="28" t="n">
        <v>61</v>
      </c>
      <c r="B65" s="22" t="inlineStr">
        <is>
          <t>Revenue assurance</t>
        </is>
      </c>
      <c r="C65" s="22" t="inlineStr">
        <is>
          <t>Auto-detect bad-debt risk</t>
        </is>
      </c>
      <c r="D65" s="22" t="inlineStr">
        <is>
          <t>/leakage</t>
        </is>
      </c>
      <c r="E65" s="22" t="inlineStr">
        <is>
          <t>Administrator, CEO, Sales Manager</t>
        </is>
      </c>
      <c r="F65" s="22" t="inlineStr">
        <is>
          <t>v3 business processes</t>
        </is>
      </c>
      <c r="G65" s="22" t="inlineStr">
        <is>
          <t>REV-04</t>
        </is>
      </c>
      <c r="H65" s="22" t="inlineStr">
        <is>
          <t>Old unpaid invoices are flagged before they are written off.</t>
        </is>
      </c>
    </row>
    <row r="66">
      <c r="A66" s="28" t="n">
        <v>62</v>
      </c>
      <c r="B66" s="22" t="inlineStr">
        <is>
          <t>Revenue assurance</t>
        </is>
      </c>
      <c r="C66" s="22" t="inlineStr">
        <is>
          <t>Auto-detect scope creep (rejected / unbilled change requests)</t>
        </is>
      </c>
      <c r="D66" s="22" t="inlineStr">
        <is>
          <t>/leakage</t>
        </is>
      </c>
      <c r="E66" s="22" t="inlineStr">
        <is>
          <t>Administrator, CEO, Sales Manager</t>
        </is>
      </c>
      <c r="F66" s="22" t="inlineStr">
        <is>
          <t>v3 business processes</t>
        </is>
      </c>
      <c r="G66" s="22" t="inlineStr">
        <is>
          <t>REV-05</t>
        </is>
      </c>
      <c r="H66" s="22" t="inlineStr">
        <is>
          <t>Free extra work is made visible.</t>
        </is>
      </c>
    </row>
    <row r="67">
      <c r="A67" s="28" t="n">
        <v>63</v>
      </c>
      <c r="B67" s="22" t="inlineStr">
        <is>
          <t>Revenue assurance</t>
        </is>
      </c>
      <c r="C67" s="22" t="inlineStr">
        <is>
          <t>Record discounts, write-offs, credit notes, penalties and churn</t>
        </is>
      </c>
      <c r="D67" s="22" t="inlineStr">
        <is>
          <t>/leakage</t>
        </is>
      </c>
      <c r="E67" s="22" t="inlineStr">
        <is>
          <t>Administrator, CEO, Sales Manager</t>
        </is>
      </c>
      <c r="F67" s="22" t="inlineStr">
        <is>
          <t>v3 business processes</t>
        </is>
      </c>
      <c r="G67" s="22" t="inlineStr">
        <is>
          <t>REV-06</t>
        </is>
      </c>
      <c r="H67" s="22" t="inlineStr">
        <is>
          <t>All revenue give-aways in one register.</t>
        </is>
      </c>
    </row>
    <row r="68">
      <c r="A68" s="28" t="n">
        <v>64</v>
      </c>
      <c r="B68" s="22" t="inlineStr">
        <is>
          <t>Revenue assurance</t>
        </is>
      </c>
      <c r="C68" s="22" t="inlineStr">
        <is>
          <t>Recovery tracking</t>
        </is>
      </c>
      <c r="D68" s="22" t="inlineStr">
        <is>
          <t>/leakage</t>
        </is>
      </c>
      <c r="E68" s="22" t="inlineStr">
        <is>
          <t>Administrator, CEO, Sales Manager</t>
        </is>
      </c>
      <c r="F68" s="22" t="inlineStr">
        <is>
          <t>v3 business processes</t>
        </is>
      </c>
      <c r="G68" s="22" t="inlineStr">
        <is>
          <t>REV-07</t>
        </is>
      </c>
      <c r="H68" s="22" t="inlineStr">
        <is>
          <t>Shows how much of the leakage was won back.</t>
        </is>
      </c>
    </row>
    <row r="69">
      <c r="A69" s="28" t="n">
        <v>65</v>
      </c>
      <c r="B69" s="22" t="inlineStr">
        <is>
          <t>People &amp; HR</t>
        </is>
      </c>
      <c r="C69" s="22" t="inlineStr">
        <is>
          <t>Candidate pipeline</t>
        </is>
      </c>
      <c r="D69" s="22" t="inlineStr">
        <is>
          <t>/recruitment</t>
        </is>
      </c>
      <c r="E69" s="22" t="inlineStr">
        <is>
          <t>Administrator, CEO, CTO, Project Manager, HR Manager, HR Executive</t>
        </is>
      </c>
      <c r="F69" s="22" t="inlineStr">
        <is>
          <t>v3 business processes</t>
        </is>
      </c>
      <c r="G69" s="22" t="inlineStr">
        <is>
          <t>HR-02</t>
        </is>
      </c>
      <c r="H69" s="22" t="inlineStr">
        <is>
          <t>Every applicant tracked from application to hire.</t>
        </is>
      </c>
    </row>
    <row r="70">
      <c r="A70" s="28" t="n">
        <v>66</v>
      </c>
      <c r="B70" s="22" t="inlineStr">
        <is>
          <t>People &amp; HR</t>
        </is>
      </c>
      <c r="C70" s="22" t="inlineStr">
        <is>
          <t>Interviews and feedback</t>
        </is>
      </c>
      <c r="D70" s="22" t="inlineStr">
        <is>
          <t>/recruitment</t>
        </is>
      </c>
      <c r="E70" s="22" t="inlineStr">
        <is>
          <t>Administrator, CEO, CTO, Project Manager, HR Manager, HR Executive</t>
        </is>
      </c>
      <c r="F70" s="22" t="inlineStr">
        <is>
          <t>v3 business processes</t>
        </is>
      </c>
      <c r="G70" s="22" t="inlineStr">
        <is>
          <t>HR-03</t>
        </is>
      </c>
      <c r="H70" s="22" t="inlineStr">
        <is>
          <t>Structured interviewer feedback for better hiring decisions.</t>
        </is>
      </c>
    </row>
    <row r="71">
      <c r="A71" s="28" t="n">
        <v>67</v>
      </c>
      <c r="B71" s="22" t="inlineStr">
        <is>
          <t>People &amp; HR</t>
        </is>
      </c>
      <c r="C71" s="22" t="inlineStr">
        <is>
          <t>Make an offer or reject a candidate</t>
        </is>
      </c>
      <c r="D71" s="22" t="inlineStr">
        <is>
          <t>/recruitment</t>
        </is>
      </c>
      <c r="E71" s="22" t="inlineStr">
        <is>
          <t>Administrator, CEO, CTO, Project Manager, HR Manager, HR Executive</t>
        </is>
      </c>
      <c r="F71" s="22" t="inlineStr">
        <is>
          <t>v3 business processes</t>
        </is>
      </c>
      <c r="G71" s="22" t="inlineStr">
        <is>
          <t>HR-04</t>
        </is>
      </c>
      <c r="H71" s="22" t="inlineStr">
        <is>
          <t>Offers and rejections are recorded and consistent.</t>
        </is>
      </c>
    </row>
    <row r="72">
      <c r="A72" s="28" t="n">
        <v>68</v>
      </c>
      <c r="B72" s="22" t="inlineStr">
        <is>
          <t>People &amp; HR</t>
        </is>
      </c>
      <c r="C72" s="22" t="inlineStr">
        <is>
          <t>Hire: invite and start onboarding</t>
        </is>
      </c>
      <c r="D72" s="22" t="inlineStr">
        <is>
          <t>/recruitment</t>
        </is>
      </c>
      <c r="E72" s="22" t="inlineStr">
        <is>
          <t>Administrator, CEO, CTO, Project Manager, HR Manager, HR Executive</t>
        </is>
      </c>
      <c r="F72" s="22" t="inlineStr">
        <is>
          <t>v3 business processes</t>
        </is>
      </c>
      <c r="G72" s="22" t="inlineStr">
        <is>
          <t>HR-05</t>
        </is>
      </c>
      <c r="H72" s="22" t="inlineStr">
        <is>
          <t>A hired candidate becomes an employee without re-typing.</t>
        </is>
      </c>
    </row>
    <row r="73">
      <c r="A73" s="28" t="n">
        <v>69</v>
      </c>
      <c r="B73" s="22" t="inlineStr">
        <is>
          <t>People &amp; HR</t>
        </is>
      </c>
      <c r="C73" s="22" t="inlineStr">
        <is>
          <t>Onboarding checklist</t>
        </is>
      </c>
      <c r="D73" s="22" t="inlineStr">
        <is>
          <t>/lifecycle</t>
        </is>
      </c>
      <c r="E73" s="22" t="inlineStr">
        <is>
          <t>Administrator, CEO, HR Manager</t>
        </is>
      </c>
      <c r="F73" s="22" t="inlineStr">
        <is>
          <t>v3 business processes</t>
        </is>
      </c>
      <c r="G73" s="22" t="inlineStr">
        <is>
          <t>HR-06</t>
        </is>
      </c>
      <c r="H73" s="22" t="inlineStr">
        <is>
          <t>New joiners get laptop, access and induction on time.</t>
        </is>
      </c>
    </row>
    <row r="74">
      <c r="A74" s="28" t="n">
        <v>70</v>
      </c>
      <c r="B74" s="22" t="inlineStr">
        <is>
          <t>People &amp; HR</t>
        </is>
      </c>
      <c r="C74" s="22" t="inlineStr">
        <is>
          <t>Exit and offboarding checklist</t>
        </is>
      </c>
      <c r="D74" s="22" t="inlineStr">
        <is>
          <t>/lifecycle</t>
        </is>
      </c>
      <c r="E74" s="22" t="inlineStr">
        <is>
          <t>Administrator, CEO, HR Manager</t>
        </is>
      </c>
      <c r="F74" s="22" t="inlineStr">
        <is>
          <t>v3 business processes</t>
        </is>
      </c>
      <c r="G74" s="22" t="inlineStr">
        <is>
          <t>HR-15</t>
        </is>
      </c>
      <c r="H74" s="22" t="inlineStr">
        <is>
          <t>Assets returned, access removed, knowledge handed over.</t>
        </is>
      </c>
    </row>
    <row r="75">
      <c r="A75" s="28" t="n">
        <v>71</v>
      </c>
      <c r="B75" s="22" t="inlineStr">
        <is>
          <t>People &amp; HR</t>
        </is>
      </c>
      <c r="C75" s="22" t="inlineStr">
        <is>
          <t>Asset register: issue and return</t>
        </is>
      </c>
      <c r="D75" s="22" t="inlineStr">
        <is>
          <t>/assets</t>
        </is>
      </c>
      <c r="E75" s="22" t="inlineStr">
        <is>
          <t>Administrator, CEO, HR Manager</t>
        </is>
      </c>
      <c r="F75" s="22" t="inlineStr">
        <is>
          <t>v3 business processes</t>
        </is>
      </c>
      <c r="G75" s="22" t="inlineStr">
        <is>
          <t>HR-07</t>
        </is>
      </c>
      <c r="H75" s="22" t="inlineStr">
        <is>
          <t>Knows who holds which laptop or licence.</t>
        </is>
      </c>
    </row>
    <row r="76">
      <c r="A76" s="28" t="n">
        <v>72</v>
      </c>
      <c r="B76" s="22" t="inlineStr">
        <is>
          <t>People &amp; HR</t>
        </is>
      </c>
      <c r="C76" s="22" t="inlineStr">
        <is>
          <t>Goals and KRAs</t>
        </is>
      </c>
      <c r="D76" s="22" t="inlineStr">
        <is>
          <t>/performance</t>
        </is>
      </c>
      <c r="E76" s="22" t="inlineStr">
        <is>
          <t>All roles (own goals: everyone); full: Administrator, CEO, CTO, Project Manager, HR Manager, Sales Manager</t>
        </is>
      </c>
      <c r="F76" s="22" t="inlineStr">
        <is>
          <t>v3 business processes</t>
        </is>
      </c>
      <c r="G76" s="22" t="inlineStr">
        <is>
          <t>HR-08</t>
        </is>
      </c>
      <c r="H76" s="22" t="inlineStr">
        <is>
          <t>Clear expectations per person.</t>
        </is>
      </c>
    </row>
    <row r="77">
      <c r="A77" s="28" t="n">
        <v>73</v>
      </c>
      <c r="B77" s="22" t="inlineStr">
        <is>
          <t>People &amp; HR</t>
        </is>
      </c>
      <c r="C77" s="22" t="inlineStr">
        <is>
          <t>Continuous feedback and praise</t>
        </is>
      </c>
      <c r="D77" s="22" t="inlineStr">
        <is>
          <t>/performance</t>
        </is>
      </c>
      <c r="E77" s="22" t="inlineStr">
        <is>
          <t>Everyone (own data)</t>
        </is>
      </c>
      <c r="F77" s="22" t="inlineStr">
        <is>
          <t>v3 business processes</t>
        </is>
      </c>
      <c r="G77" s="22" t="inlineStr">
        <is>
          <t>HR-09</t>
        </is>
      </c>
      <c r="H77" s="22" t="inlineStr">
        <is>
          <t>Recognition and coaching all year, not only at appraisal.</t>
        </is>
      </c>
    </row>
    <row r="78">
      <c r="A78" s="28" t="n">
        <v>74</v>
      </c>
      <c r="B78" s="22" t="inlineStr">
        <is>
          <t>People &amp; HR</t>
        </is>
      </c>
      <c r="C78" s="22" t="inlineStr">
        <is>
          <t>Appraisal cycle: set up and launch</t>
        </is>
      </c>
      <c r="D78" s="22" t="inlineStr">
        <is>
          <t>/appraisals</t>
        </is>
      </c>
      <c r="E78" s="22" t="inlineStr">
        <is>
          <t>Administrator, CEO, HR Manager</t>
        </is>
      </c>
      <c r="F78" s="22" t="inlineStr">
        <is>
          <t>v3 business processes</t>
        </is>
      </c>
      <c r="G78" s="22" t="inlineStr">
        <is>
          <t>HR-10</t>
        </is>
      </c>
      <c r="H78" s="22" t="inlineStr">
        <is>
          <t>Runs appraisals on a schedule for everyone at once.</t>
        </is>
      </c>
    </row>
    <row r="79">
      <c r="A79" s="28" t="n">
        <v>75</v>
      </c>
      <c r="B79" s="22" t="inlineStr">
        <is>
          <t>People &amp; HR</t>
        </is>
      </c>
      <c r="C79" s="22" t="inlineStr">
        <is>
          <t>Self review</t>
        </is>
      </c>
      <c r="D79" s="22" t="inlineStr">
        <is>
          <t>/appraisals/:id</t>
        </is>
      </c>
      <c r="E79" s="22" t="inlineStr">
        <is>
          <t>Everyone (own data)</t>
        </is>
      </c>
      <c r="F79" s="22" t="inlineStr">
        <is>
          <t>v3 business processes</t>
        </is>
      </c>
      <c r="G79" s="22" t="inlineStr">
        <is>
          <t>HR-11</t>
        </is>
      </c>
      <c r="H79" s="22" t="inlineStr">
        <is>
          <t>Employees state their own case with evidence.</t>
        </is>
      </c>
    </row>
    <row r="80">
      <c r="A80" s="28" t="n">
        <v>76</v>
      </c>
      <c r="B80" s="22" t="inlineStr">
        <is>
          <t>People &amp; HR</t>
        </is>
      </c>
      <c r="C80" s="22" t="inlineStr">
        <is>
          <t>Manager review with system-suggested score</t>
        </is>
      </c>
      <c r="D80" s="22" t="inlineStr">
        <is>
          <t>/appraisals/:id</t>
        </is>
      </c>
      <c r="E80" s="22" t="inlineStr">
        <is>
          <t>Reporting manager of the appraisee</t>
        </is>
      </c>
      <c r="F80" s="22" t="inlineStr">
        <is>
          <t>v3 business processes</t>
        </is>
      </c>
      <c r="G80" s="22" t="inlineStr">
        <is>
          <t>HR-12</t>
        </is>
      </c>
      <c r="H80" s="22" t="inlineStr">
        <is>
          <t>Ratings anchored on real delivery data, not memory.</t>
        </is>
      </c>
    </row>
    <row r="81">
      <c r="A81" s="28" t="n">
        <v>77</v>
      </c>
      <c r="B81" s="22" t="inlineStr">
        <is>
          <t>People &amp; HR</t>
        </is>
      </c>
      <c r="C81" s="22" t="inlineStr">
        <is>
          <t>HR review, calibration and outcome</t>
        </is>
      </c>
      <c r="D81" s="22" t="inlineStr">
        <is>
          <t>/appraisals/:id</t>
        </is>
      </c>
      <c r="E81" s="22" t="inlineStr">
        <is>
          <t>Administrator, CEO, HR Manager</t>
        </is>
      </c>
      <c r="F81" s="22" t="inlineStr">
        <is>
          <t>v3 business processes</t>
        </is>
      </c>
      <c r="G81" s="22" t="inlineStr">
        <is>
          <t>HR-13</t>
        </is>
      </c>
      <c r="H81" s="22" t="inlineStr">
        <is>
          <t>Fair, calibrated ratings across teams.</t>
        </is>
      </c>
    </row>
    <row r="82">
      <c r="A82" s="28" t="n">
        <v>78</v>
      </c>
      <c r="B82" s="22" t="inlineStr">
        <is>
          <t>People &amp; HR</t>
        </is>
      </c>
      <c r="C82" s="22" t="inlineStr">
        <is>
          <t>Performance profile (my performance)</t>
        </is>
      </c>
      <c r="D82" s="22" t="inlineStr">
        <is>
          <t>/performance; /performance/:userId</t>
        </is>
      </c>
      <c r="E82" s="22" t="inlineStr">
        <is>
          <t>Everyone (own data)</t>
        </is>
      </c>
      <c r="F82" s="22" t="inlineStr">
        <is>
          <t>v3 business processes</t>
        </is>
      </c>
      <c r="G82" s="22" t="inlineStr">
        <is>
          <t>HR-14</t>
        </is>
      </c>
      <c r="H82" s="22" t="inlineStr">
        <is>
          <t>Each person sees their delivery, quality and feedback record.</t>
        </is>
      </c>
    </row>
    <row r="83">
      <c r="A83" s="28" t="n">
        <v>79</v>
      </c>
      <c r="B83" s="22" t="inlineStr">
        <is>
          <t>People &amp; HR</t>
        </is>
      </c>
      <c r="C83" s="22" t="inlineStr">
        <is>
          <t>Apply appraisal increments to salary</t>
        </is>
      </c>
      <c r="D83" s="22" t="inlineStr">
        <is>
          <t>/appraisals/:id → /settings/cost-rates</t>
        </is>
      </c>
      <c r="E83" s="22" t="inlineStr">
        <is>
          <t>Administrator, CEO</t>
        </is>
      </c>
      <c r="F83" s="22" t="inlineStr">
        <is>
          <t>v3 business processes</t>
        </is>
      </c>
      <c r="G83" s="22" t="inlineStr">
        <is>
          <t>PAY-05</t>
        </is>
      </c>
      <c r="H83" s="22" t="inlineStr">
        <is>
          <t>Increments flow into CTC and costing without re-entry (maker-checked).</t>
        </is>
      </c>
    </row>
    <row r="84">
      <c r="A84" s="28" t="n">
        <v>80</v>
      </c>
      <c r="B84" s="22" t="inlineStr">
        <is>
          <t>People &amp; HR</t>
        </is>
      </c>
      <c r="C84" s="22" t="inlineStr">
        <is>
          <t>Annual appraisal workflow: self &gt; manager/TL &gt; unit head &gt; HR &gt; finance &gt; letter issued, email sent, CTC change via maker-checker</t>
        </is>
      </c>
      <c r="D84" s="22" t="inlineStr">
        <is>
          <t>/workflows; /appraisals</t>
        </is>
      </c>
      <c r="E84" s="22" t="inlineStr">
        <is>
          <t>Administrator, CEO, HR Manager, HR Executive</t>
        </is>
      </c>
      <c r="F84" s="22" t="inlineStr">
        <is>
          <t>v7 workflows, documents &amp; invoicing</t>
        </is>
      </c>
      <c r="G84" s="22" t="inlineStr"/>
      <c r="H84" s="22" t="inlineStr">
        <is>
          <t>Appraisals run end to end with letters generated automatically.</t>
        </is>
      </c>
    </row>
    <row r="85">
      <c r="A85" s="28" t="n">
        <v>81</v>
      </c>
      <c r="B85" s="22" t="inlineStr">
        <is>
          <t>People &amp; HR</t>
        </is>
      </c>
      <c r="C85" s="22" t="inlineStr">
        <is>
          <t>Ready-made workflows: probation confirmation, onboarding, exit clearance, promotion, document approval</t>
        </is>
      </c>
      <c r="D85" s="22" t="inlineStr">
        <is>
          <t>/workflows/designer</t>
        </is>
      </c>
      <c r="E85" s="22" t="inlineStr">
        <is>
          <t>Administrator, CEO, HR Manager</t>
        </is>
      </c>
      <c r="F85" s="22" t="inlineStr">
        <is>
          <t>v7 workflows, documents &amp; invoicing</t>
        </is>
      </c>
      <c r="G85" s="22" t="inlineStr"/>
      <c r="H85" s="22" t="inlineStr">
        <is>
          <t>Common HR processes work out of the box.</t>
        </is>
      </c>
    </row>
    <row r="86">
      <c r="A86" s="28" t="n">
        <v>82</v>
      </c>
      <c r="B86" s="22" t="inlineStr">
        <is>
          <t>Documents</t>
        </is>
      </c>
      <c r="C86" s="22" t="inlineStr">
        <is>
          <t>Project documents: PM uploads and manages</t>
        </is>
      </c>
      <c r="D86" s="22" t="inlineStr">
        <is>
          <t>/projects/:id/documents</t>
        </is>
      </c>
      <c r="E86" s="22" t="inlineStr">
        <is>
          <t>Administrator, CEO, CTO, Project Manager</t>
        </is>
      </c>
      <c r="F86" s="22" t="inlineStr">
        <is>
          <t>v3 business processes</t>
        </is>
      </c>
      <c r="G86" s="22" t="inlineStr">
        <is>
          <t>DOC-01</t>
        </is>
      </c>
      <c r="H86" s="22" t="inlineStr">
        <is>
          <t>Specs, SOWs and sign-offs live with the project.</t>
        </is>
      </c>
    </row>
    <row r="87">
      <c r="A87" s="28" t="n">
        <v>83</v>
      </c>
      <c r="B87" s="22" t="inlineStr">
        <is>
          <t>Documents</t>
        </is>
      </c>
      <c r="C87" s="22" t="inlineStr">
        <is>
          <t>Employees access project documents</t>
        </is>
      </c>
      <c r="D87" s="22" t="inlineStr">
        <is>
          <t>/documents; /projects/:id/documents</t>
        </is>
      </c>
      <c r="E87" s="22" t="inlineStr">
        <is>
          <t>Everyone (own data)</t>
        </is>
      </c>
      <c r="F87" s="22" t="inlineStr">
        <is>
          <t>v3 business processes</t>
        </is>
      </c>
      <c r="G87" s="22" t="inlineStr">
        <is>
          <t>DOC-02</t>
        </is>
      </c>
      <c r="H87" s="22" t="inlineStr">
        <is>
          <t>The team always works from the latest document.</t>
        </is>
      </c>
    </row>
    <row r="88">
      <c r="A88" s="28" t="n">
        <v>84</v>
      </c>
      <c r="B88" s="22" t="inlineStr">
        <is>
          <t>Documents</t>
        </is>
      </c>
      <c r="C88" s="22" t="inlineStr">
        <is>
          <t>Document versions, archive and restore</t>
        </is>
      </c>
      <c r="D88" s="22" t="inlineStr">
        <is>
          <t>/documents</t>
        </is>
      </c>
      <c r="E88" s="22" t="inlineStr">
        <is>
          <t>Administrator, CEO, CTO, Project Manager</t>
        </is>
      </c>
      <c r="F88" s="22" t="inlineStr">
        <is>
          <t>v3 business processes</t>
        </is>
      </c>
      <c r="G88" s="22" t="inlineStr">
        <is>
          <t>DOC-03</t>
        </is>
      </c>
      <c r="H88" s="22" t="inlineStr">
        <is>
          <t>No lost or overwritten versions.</t>
        </is>
      </c>
    </row>
    <row r="89">
      <c r="A89" s="28" t="n">
        <v>85</v>
      </c>
      <c r="B89" s="22" t="inlineStr">
        <is>
          <t>Documents</t>
        </is>
      </c>
      <c r="C89" s="22" t="inlineStr">
        <is>
          <t>Must-read acknowledgements</t>
        </is>
      </c>
      <c r="D89" s="22" t="inlineStr">
        <is>
          <t>/inbox; /documents</t>
        </is>
      </c>
      <c r="E89" s="22" t="inlineStr">
        <is>
          <t>All roles (acknowledge: everyone); full: Administrator, CEO, CTO, Project Manager</t>
        </is>
      </c>
      <c r="F89" s="22" t="inlineStr">
        <is>
          <t>v3 business processes</t>
        </is>
      </c>
      <c r="G89" s="22" t="inlineStr">
        <is>
          <t>DOC-04</t>
        </is>
      </c>
      <c r="H89" s="22" t="inlineStr">
        <is>
          <t>Proof that people read policies and specs.</t>
        </is>
      </c>
    </row>
    <row r="90">
      <c r="A90" s="28" t="n">
        <v>86</v>
      </c>
      <c r="B90" s="22" t="inlineStr">
        <is>
          <t>Documents</t>
        </is>
      </c>
      <c r="C90" s="22" t="inlineStr">
        <is>
          <t>Company library and policies</t>
        </is>
      </c>
      <c r="D90" s="22" t="inlineStr">
        <is>
          <t>/documents</t>
        </is>
      </c>
      <c r="E90" s="22" t="inlineStr">
        <is>
          <t>All roles (read: everyone); full: Administrator, CEO, HR Manager, HR Executive</t>
        </is>
      </c>
      <c r="F90" s="22" t="inlineStr">
        <is>
          <t>v3 business processes</t>
        </is>
      </c>
      <c r="G90" s="22" t="inlineStr">
        <is>
          <t>DOC-05</t>
        </is>
      </c>
      <c r="H90" s="22" t="inlineStr">
        <is>
          <t>One home for HR policies, templates and ISO documents.</t>
        </is>
      </c>
    </row>
    <row r="91">
      <c r="A91" s="28" t="n">
        <v>87</v>
      </c>
      <c r="B91" s="22" t="inlineStr">
        <is>
          <t>Documents</t>
        </is>
      </c>
      <c r="C91" s="22" t="inlineStr">
        <is>
          <t>Documents hub: Templates, Issued documents, Policies, Employee documents, Project documents, My documents</t>
        </is>
      </c>
      <c r="D91" s="22" t="inlineStr">
        <is>
          <t>/documents</t>
        </is>
      </c>
      <c r="E91" s="22" t="inlineStr">
        <is>
          <t>Everyone (own data)</t>
        </is>
      </c>
      <c r="F91" s="22" t="inlineStr">
        <is>
          <t>v7 workflows, documents &amp; invoicing</t>
        </is>
      </c>
      <c r="G91" s="22" t="inlineStr"/>
      <c r="H91" s="22" t="inlineStr">
        <is>
          <t>One place for every office document.</t>
        </is>
      </c>
    </row>
    <row r="92">
      <c r="A92" s="28" t="n">
        <v>88</v>
      </c>
      <c r="B92" s="22" t="inlineStr">
        <is>
          <t>Documents</t>
        </is>
      </c>
      <c r="C92" s="22" t="inlineStr">
        <is>
          <t>Letter templates with placeholders and letterhead; issue to one or many employees; PDF; acknowledgement</t>
        </is>
      </c>
      <c r="D92" s="22" t="inlineStr">
        <is>
          <t>/documents?tab=templates</t>
        </is>
      </c>
      <c r="E92" s="22" t="inlineStr">
        <is>
          <t>Administrator, CEO, HR Manager, HR Executive</t>
        </is>
      </c>
      <c r="F92" s="22" t="inlineStr">
        <is>
          <t>v7 workflows, documents &amp; invoicing</t>
        </is>
      </c>
      <c r="G92" s="22" t="inlineStr"/>
      <c r="H92" s="22" t="inlineStr">
        <is>
          <t>Offer, joining, appraisal, relieving and other letters are generated, not typed.</t>
        </is>
      </c>
    </row>
    <row r="93">
      <c r="A93" s="28" t="n">
        <v>89</v>
      </c>
      <c r="B93" s="22" t="inlineStr">
        <is>
          <t>Documents</t>
        </is>
      </c>
      <c r="C93" s="22" t="inlineStr">
        <is>
          <t>Payslips issued automatically when payroll is finalised; joining letter on create employee</t>
        </is>
      </c>
      <c r="D93" s="22" t="inlineStr">
        <is>
          <t>/documents?tab=issued; /payroll</t>
        </is>
      </c>
      <c r="E93" s="22" t="inlineStr">
        <is>
          <t>Administrator, CEO, HR Manager, HR Executive</t>
        </is>
      </c>
      <c r="F93" s="22" t="inlineStr">
        <is>
          <t>v7 workflows, documents &amp; invoicing</t>
        </is>
      </c>
      <c r="G93" s="22" t="inlineStr"/>
      <c r="H93" s="22" t="inlineStr">
        <is>
          <t>Employees get payslips and letters without HR effort.</t>
        </is>
      </c>
    </row>
    <row r="94">
      <c r="A94" s="28" t="n">
        <v>90</v>
      </c>
      <c r="B94" s="22" t="inlineStr">
        <is>
          <t>Documents</t>
        </is>
      </c>
      <c r="C94" s="22" t="inlineStr">
        <is>
          <t>Employee documents employee-wise with upload, verify and reject</t>
        </is>
      </c>
      <c r="D94" s="22" t="inlineStr">
        <is>
          <t>/documents?tab=employees; /documents/employees/:id</t>
        </is>
      </c>
      <c r="E94" s="22" t="inlineStr">
        <is>
          <t>Administrator, CEO, HR Manager, HR Executive</t>
        </is>
      </c>
      <c r="F94" s="22" t="inlineStr">
        <is>
          <t>v7 workflows, documents &amp; invoicing</t>
        </is>
      </c>
      <c r="G94" s="22" t="inlineStr"/>
      <c r="H94" s="22" t="inlineStr">
        <is>
          <t>HR sees every person's ID, education and bank documents in one place.</t>
        </is>
      </c>
    </row>
    <row r="95">
      <c r="A95" s="28" t="n">
        <v>91</v>
      </c>
      <c r="B95" s="22" t="inlineStr">
        <is>
          <t>Insights, reports &amp; AI</t>
        </is>
      </c>
      <c r="C95" s="22" t="inlineStr">
        <is>
          <t>Insights operational views: tasks at risk, blocked, overdue milestones, effort ratio, allocation, timesheet compliance, approval KPI, stale deals</t>
        </is>
      </c>
      <c r="D95" s="22" t="inlineStr">
        <is>
          <t>/insights/:view</t>
        </is>
      </c>
      <c r="E95" s="22" t="inlineStr">
        <is>
          <t>Administrator, CEO, CTO, Project Manager, HR Manager, Sales Manager, Sales Executive</t>
        </is>
      </c>
      <c r="F95" s="22" t="inlineStr">
        <is>
          <t>v1 base</t>
        </is>
      </c>
      <c r="G95" s="22" t="inlineStr">
        <is>
          <t>ANA-06, SAL-06</t>
        </is>
      </c>
      <c r="H95" s="22" t="inlineStr">
        <is>
          <t>Eight ready-made management views beyond the guide's predictions.</t>
        </is>
      </c>
    </row>
    <row r="96">
      <c r="A96" s="28" t="n">
        <v>92</v>
      </c>
      <c r="B96" s="22" t="inlineStr">
        <is>
          <t>Insights, reports &amp; AI</t>
        </is>
      </c>
      <c r="C96" s="22" t="inlineStr">
        <is>
          <t>'Ask AI' button on every insight view</t>
        </is>
      </c>
      <c r="D96" s="22" t="inlineStr">
        <is>
          <t>/insights/:view</t>
        </is>
      </c>
      <c r="E96" s="22" t="inlineStr">
        <is>
          <t>All roles</t>
        </is>
      </c>
      <c r="F96" s="22" t="inlineStr">
        <is>
          <t>v1 base</t>
        </is>
      </c>
      <c r="G96" s="22" t="inlineStr">
        <is>
          <t>ANA-08</t>
        </is>
      </c>
      <c r="H96" s="22" t="inlineStr">
        <is>
          <t>Ask a follow-up question about any view in plain English.</t>
        </is>
      </c>
    </row>
    <row r="97">
      <c r="A97" s="28" t="n">
        <v>93</v>
      </c>
      <c r="B97" s="22" t="inlineStr">
        <is>
          <t>Insights, reports &amp; AI</t>
        </is>
      </c>
      <c r="C97" s="22" t="inlineStr">
        <is>
          <t>Standard reports library (templates, pinned, mine, shared)</t>
        </is>
      </c>
      <c r="D97" s="22" t="inlineStr">
        <is>
          <t>/reports</t>
        </is>
      </c>
      <c r="E97" s="22" t="inlineStr">
        <is>
          <t>Administrator, CEO, CTO, Project Manager, HR Manager, HR Executive, Sales Manager, Sales Executive</t>
        </is>
      </c>
      <c r="F97" s="22" t="inlineStr">
        <is>
          <t>v1 base</t>
        </is>
      </c>
      <c r="G97" s="22" t="inlineStr">
        <is>
          <t>ANA-07</t>
        </is>
      </c>
      <c r="H97" s="22" t="inlineStr">
        <is>
          <t>Common reports ready to run, within each person's access.</t>
        </is>
      </c>
    </row>
    <row r="98">
      <c r="A98" s="28" t="n">
        <v>94</v>
      </c>
      <c r="B98" s="22" t="inlineStr">
        <is>
          <t>Insights, reports &amp; AI</t>
        </is>
      </c>
      <c r="C98" s="22" t="inlineStr">
        <is>
          <t>Custom report builder (datasets, measures, dimensions, filters, charts)</t>
        </is>
      </c>
      <c r="D98" s="22" t="inlineStr">
        <is>
          <t>/reports/new; /reports/:id/edit</t>
        </is>
      </c>
      <c r="E98" s="22" t="inlineStr">
        <is>
          <t>Administrator, CEO, CTO, Project Manager, HR Manager, Sales Manager, Sales Executive</t>
        </is>
      </c>
      <c r="F98" s="22" t="inlineStr">
        <is>
          <t>v1 base</t>
        </is>
      </c>
      <c r="G98" s="22" t="inlineStr">
        <is>
          <t>ANA-07</t>
        </is>
      </c>
      <c r="H98" s="22" t="inlineStr">
        <is>
          <t>Managers build their own reports without IT.</t>
        </is>
      </c>
    </row>
    <row r="99">
      <c r="A99" s="28" t="n">
        <v>95</v>
      </c>
      <c r="B99" s="22" t="inlineStr">
        <is>
          <t>Insights, reports &amp; AI</t>
        </is>
      </c>
      <c r="C99" s="22" t="inlineStr">
        <is>
          <t>Saved and shared reports (duplicate, edit, delete)</t>
        </is>
      </c>
      <c r="D99" s="22" t="inlineStr">
        <is>
          <t>/reports/:id</t>
        </is>
      </c>
      <c r="E99" s="22" t="inlineStr">
        <is>
          <t>Administrator, CEO, CTO, Project Manager, HR Manager, HR Executive, Sales Manager, Sales Executive</t>
        </is>
      </c>
      <c r="F99" s="22" t="inlineStr">
        <is>
          <t>v1 base</t>
        </is>
      </c>
      <c r="G99" s="22" t="inlineStr">
        <is>
          <t>ANA-07</t>
        </is>
      </c>
      <c r="H99" s="22" t="inlineStr">
        <is>
          <t>Good reports are reused across the team.</t>
        </is>
      </c>
    </row>
    <row r="100">
      <c r="A100" s="28" t="n">
        <v>96</v>
      </c>
      <c r="B100" s="22" t="inlineStr">
        <is>
          <t>Insights, reports &amp; AI</t>
        </is>
      </c>
      <c r="C100" s="22" t="inlineStr">
        <is>
          <t>Report datasets for all business processes (22 datasets)</t>
        </is>
      </c>
      <c r="D100" s="22" t="inlineStr">
        <is>
          <t>/reports/new; /ai</t>
        </is>
      </c>
      <c r="E100" s="22" t="inlineStr">
        <is>
          <t>Administrator, CEO, CTO, Project Manager, HR Manager, Sales Manager, Sales Executive</t>
        </is>
      </c>
      <c r="F100" s="22" t="inlineStr">
        <is>
          <t>v3 business processes</t>
        </is>
      </c>
      <c r="G100" s="22" t="inlineStr">
        <is>
          <t>ANA-10</t>
        </is>
      </c>
      <c r="H100" s="22" t="inlineStr">
        <is>
          <t>Every area of the business can be reported on.</t>
        </is>
      </c>
    </row>
    <row r="101">
      <c r="A101" s="28" t="n">
        <v>97</v>
      </c>
      <c r="B101" s="22" t="inlineStr">
        <is>
          <t>Insights, reports &amp; AI</t>
        </is>
      </c>
      <c r="C101" s="22" t="inlineStr">
        <is>
          <t>Ask AI: plain-English questions answered from live data</t>
        </is>
      </c>
      <c r="D101" s="22" t="inlineStr">
        <is>
          <t>/ai</t>
        </is>
      </c>
      <c r="E101" s="22" t="inlineStr">
        <is>
          <t>All roles</t>
        </is>
      </c>
      <c r="F101" s="22" t="inlineStr">
        <is>
          <t>v1 base</t>
        </is>
      </c>
      <c r="G101" s="22" t="inlineStr">
        <is>
          <t>ANA-08</t>
        </is>
      </c>
      <c r="H101" s="22" t="inlineStr">
        <is>
          <t>The CEO can ask a question and get a computed answer, not a guess.</t>
        </is>
      </c>
    </row>
    <row r="102">
      <c r="A102" s="28" t="n">
        <v>98</v>
      </c>
      <c r="B102" s="22" t="inlineStr">
        <is>
          <t>Insights, reports &amp; AI</t>
        </is>
      </c>
      <c r="C102" s="22" t="inlineStr">
        <is>
          <t>AI report studio (AI plans a report, engine computes every figure)</t>
        </is>
      </c>
      <c r="D102" s="22" t="inlineStr">
        <is>
          <t>/ai</t>
        </is>
      </c>
      <c r="E102" s="22" t="inlineStr">
        <is>
          <t>Administrator, CEO, CTO, Project Manager, HR Manager, Sales Manager, Sales Executive</t>
        </is>
      </c>
      <c r="F102" s="22" t="inlineStr">
        <is>
          <t>v1 base</t>
        </is>
      </c>
      <c r="G102" s="22" t="inlineStr">
        <is>
          <t>ANA-08</t>
        </is>
      </c>
      <c r="H102" s="22" t="inlineStr">
        <is>
          <t>Turns a question into a saved, exportable report.</t>
        </is>
      </c>
    </row>
    <row r="103">
      <c r="A103" s="28" t="n">
        <v>99</v>
      </c>
      <c r="B103" s="22" t="inlineStr">
        <is>
          <t>Insights, reports &amp; AI</t>
        </is>
      </c>
      <c r="C103" s="22" t="inlineStr">
        <is>
          <t>AI assistant panel from any page</t>
        </is>
      </c>
      <c r="D103" s="22" t="inlineStr">
        <is>
          <t>Top bar / phone tab bar → Ask AI</t>
        </is>
      </c>
      <c r="E103" s="22" t="inlineStr">
        <is>
          <t>All roles</t>
        </is>
      </c>
      <c r="F103" s="22" t="inlineStr">
        <is>
          <t>v1 base</t>
        </is>
      </c>
      <c r="G103" s="22" t="inlineStr">
        <is>
          <t>ANA-08</t>
        </is>
      </c>
      <c r="H103" s="22" t="inlineStr">
        <is>
          <t>Help is one click away on every screen.</t>
        </is>
      </c>
    </row>
    <row r="104">
      <c r="A104" s="28" t="n">
        <v>100</v>
      </c>
      <c r="B104" s="22" t="inlineStr">
        <is>
          <t>Roles &amp; controls</t>
        </is>
      </c>
      <c r="C104" s="22" t="inlineStr">
        <is>
          <t>Permission catalogue: 70+ permission keys in 9 modules</t>
        </is>
      </c>
      <c r="D104" s="22" t="inlineStr">
        <is>
          <t>/setup/roles</t>
        </is>
      </c>
      <c r="E104" s="22" t="inlineStr">
        <is>
          <t>Administrator, CEO, CTO, HR Manager</t>
        </is>
      </c>
      <c r="F104" s="22" t="inlineStr">
        <is>
          <t>v4 access &amp; controls</t>
        </is>
      </c>
      <c r="G104" s="22" t="inlineStr">
        <is>
          <t>ACC-09</t>
        </is>
      </c>
      <c r="H104" s="22" t="inlineStr">
        <is>
          <t>Access is granted capability by capability instead of five fixed roles.</t>
        </is>
      </c>
    </row>
    <row r="105">
      <c r="A105" s="28" t="n">
        <v>101</v>
      </c>
      <c r="B105" s="22" t="inlineStr">
        <is>
          <t>Roles &amp; controls</t>
        </is>
      </c>
      <c r="C105" s="22" t="inlineStr">
        <is>
          <t>Nine default roles shipped with every workspace</t>
        </is>
      </c>
      <c r="D105" s="22" t="inlineStr">
        <is>
          <t>/setup/roles</t>
        </is>
      </c>
      <c r="E105" s="22" t="inlineStr">
        <is>
          <t>Administrator, CEO, CTO, HR Manager</t>
        </is>
      </c>
      <c r="F105" s="22" t="inlineStr">
        <is>
          <t>v4 access &amp; controls</t>
        </is>
      </c>
      <c r="G105" s="22" t="inlineStr">
        <is>
          <t>ACC-01</t>
        </is>
      </c>
      <c r="H105" s="22" t="inlineStr">
        <is>
          <t>Administrator, CEO, CTO, PM, HR Manager, HR Executive, Sales Manager, Sales Executive, Employee work out of the box.</t>
        </is>
      </c>
    </row>
    <row r="106">
      <c r="A106" s="28" t="n">
        <v>102</v>
      </c>
      <c r="B106" s="22" t="inlineStr">
        <is>
          <t>Roles &amp; controls</t>
        </is>
      </c>
      <c r="C106" s="22" t="inlineStr">
        <is>
          <t>Role editor and permission matrix (custom roles)</t>
        </is>
      </c>
      <c r="D106" s="22" t="inlineStr">
        <is>
          <t>/setup/roles/:key</t>
        </is>
      </c>
      <c r="E106" s="22" t="inlineStr">
        <is>
          <t>Administrator, CEO</t>
        </is>
      </c>
      <c r="F106" s="22" t="inlineStr">
        <is>
          <t>v4 access &amp; controls</t>
        </is>
      </c>
      <c r="G106" s="22" t="inlineStr">
        <is>
          <t>ACC-01</t>
        </is>
      </c>
      <c r="H106" s="22" t="inlineStr">
        <is>
          <t>Each company can shape roles to its own structure without code changes.</t>
        </is>
      </c>
    </row>
    <row r="107">
      <c r="A107" s="28" t="n">
        <v>103</v>
      </c>
      <c r="B107" s="22" t="inlineStr">
        <is>
          <t>Roles &amp; controls</t>
        </is>
      </c>
      <c r="C107" s="22" t="inlineStr">
        <is>
          <t>Clone and compare roles</t>
        </is>
      </c>
      <c r="D107" s="22" t="inlineStr">
        <is>
          <t>/setup/roles?tab=compare</t>
        </is>
      </c>
      <c r="E107" s="22" t="inlineStr">
        <is>
          <t>Administrator, CEO</t>
        </is>
      </c>
      <c r="F107" s="22" t="inlineStr">
        <is>
          <t>v4 access &amp; controls</t>
        </is>
      </c>
      <c r="G107" s="22" t="inlineStr">
        <is>
          <t>ACC-02</t>
        </is>
      </c>
      <c r="H107" s="22" t="inlineStr">
        <is>
          <t>Shows exactly how two roles differ before access is changed.</t>
        </is>
      </c>
    </row>
    <row r="108">
      <c r="A108" s="28" t="n">
        <v>104</v>
      </c>
      <c r="B108" s="22" t="inlineStr">
        <is>
          <t>Roles &amp; controls</t>
        </is>
      </c>
      <c r="C108" s="22" t="inlineStr">
        <is>
          <t>Change a person's role, reporting line, extra and revoked permissions</t>
        </is>
      </c>
      <c r="D108" s="22" t="inlineStr">
        <is>
          <t>/people</t>
        </is>
      </c>
      <c r="E108" s="22" t="inlineStr">
        <is>
          <t>Administrator, CEO</t>
        </is>
      </c>
      <c r="F108" s="22" t="inlineStr">
        <is>
          <t>v4 access &amp; controls</t>
        </is>
      </c>
      <c r="G108" s="22" t="inlineStr">
        <is>
          <t>WS-05, ACC-03</t>
        </is>
      </c>
      <c r="H108" s="22" t="inlineStr">
        <is>
          <t>Handles exceptions (e.g. PM with margins) without inventing a new role.</t>
        </is>
      </c>
    </row>
    <row r="109">
      <c r="A109" s="28" t="n">
        <v>105</v>
      </c>
      <c r="B109" s="22" t="inlineStr">
        <is>
          <t>Roles &amp; controls</t>
        </is>
      </c>
      <c r="C109" s="22" t="inlineStr">
        <is>
          <t>One login: screens, actions and data scope follow permissions</t>
        </is>
      </c>
      <c r="D109" s="22" t="inlineStr">
        <is>
          <t>All screens</t>
        </is>
      </c>
      <c r="E109" s="22" t="inlineStr">
        <is>
          <t>Everyone (own data)</t>
        </is>
      </c>
      <c r="F109" s="22" t="inlineStr">
        <is>
          <t>v4 access &amp; controls</t>
        </is>
      </c>
      <c r="G109" s="22" t="inlineStr">
        <is>
          <t>ACC-09</t>
        </is>
      </c>
      <c r="H109" s="22" t="inlineStr">
        <is>
          <t>The same app serves everyone; nobody sees a button or number they are not allowed to use.</t>
        </is>
      </c>
    </row>
    <row r="110">
      <c r="A110" s="28" t="n">
        <v>106</v>
      </c>
      <c r="B110" s="22" t="inlineStr">
        <is>
          <t>Roles &amp; controls</t>
        </is>
      </c>
      <c r="C110" s="22" t="inlineStr">
        <is>
          <t>Create employee (job, role, manager, shift, extra permissions, CTC)</t>
        </is>
      </c>
      <c r="D110" s="22" t="inlineStr">
        <is>
          <t>/people/new</t>
        </is>
      </c>
      <c r="E110" s="22" t="inlineStr">
        <is>
          <t>Administrator, CEO, HR Manager, HR Executive</t>
        </is>
      </c>
      <c r="F110" s="22" t="inlineStr">
        <is>
          <t>v4 access &amp; controls</t>
        </is>
      </c>
      <c r="G110" s="22" t="inlineStr">
        <is>
          <t>ACC-04</t>
        </is>
      </c>
      <c r="H110" s="22" t="inlineStr">
        <is>
          <t>One form onboards a person with the right access from day one.</t>
        </is>
      </c>
    </row>
    <row r="111">
      <c r="A111" s="28" t="n">
        <v>107</v>
      </c>
      <c r="B111" s="22" t="inlineStr">
        <is>
          <t>Roles &amp; controls</t>
        </is>
      </c>
      <c r="C111" s="22" t="inlineStr">
        <is>
          <t>Welcome email with employee code and temporary password</t>
        </is>
      </c>
      <c r="D111" s="22" t="inlineStr">
        <is>
          <t>/people/new → Setup → Emails (Sent)</t>
        </is>
      </c>
      <c r="E111" s="22" t="inlineStr">
        <is>
          <t>Administrator, CEO, HR Manager, HR Executive</t>
        </is>
      </c>
      <c r="F111" s="22" t="inlineStr">
        <is>
          <t>v4 access &amp; controls</t>
        </is>
      </c>
      <c r="G111" s="22" t="inlineStr">
        <is>
          <t>ACC-04</t>
        </is>
      </c>
      <c r="H111" s="22" t="inlineStr">
        <is>
          <t>New joiners receive their login automatically.</t>
        </is>
      </c>
    </row>
    <row r="112">
      <c r="A112" s="28" t="n">
        <v>108</v>
      </c>
      <c r="B112" s="22" t="inlineStr">
        <is>
          <t>Roles &amp; controls</t>
        </is>
      </c>
      <c r="C112" s="22" t="inlineStr">
        <is>
          <t>First sign-in forced password change</t>
        </is>
      </c>
      <c r="D112" s="22" t="inlineStr">
        <is>
          <t>/welcome/password</t>
        </is>
      </c>
      <c r="E112" s="22" t="inlineStr">
        <is>
          <t>Everyone (own data)</t>
        </is>
      </c>
      <c r="F112" s="22" t="inlineStr">
        <is>
          <t>v4 access &amp; controls</t>
        </is>
      </c>
      <c r="G112" s="22" t="inlineStr">
        <is>
          <t>ACC-05</t>
        </is>
      </c>
      <c r="H112" s="22" t="inlineStr">
        <is>
          <t>Temporary passwords never stay in use.</t>
        </is>
      </c>
    </row>
    <row r="113">
      <c r="A113" s="28" t="n">
        <v>109</v>
      </c>
      <c r="B113" s="22" t="inlineStr">
        <is>
          <t>Roles &amp; controls</t>
        </is>
      </c>
      <c r="C113" s="22" t="inlineStr">
        <is>
          <t>Administrator password reset for a user</t>
        </is>
      </c>
      <c r="D113" s="22" t="inlineStr">
        <is>
          <t>/people</t>
        </is>
      </c>
      <c r="E113" s="22" t="inlineStr">
        <is>
          <t>Administrator, CEO</t>
        </is>
      </c>
      <c r="F113" s="22" t="inlineStr">
        <is>
          <t>v4 access &amp; controls</t>
        </is>
      </c>
      <c r="G113" s="22" t="inlineStr">
        <is>
          <t>ACC-06</t>
        </is>
      </c>
      <c r="H113" s="22" t="inlineStr">
        <is>
          <t>Admins can unblock a person who cannot sign in.</t>
        </is>
      </c>
    </row>
    <row r="114">
      <c r="A114" s="28" t="n">
        <v>110</v>
      </c>
      <c r="B114" s="22" t="inlineStr">
        <is>
          <t>Roles &amp; controls</t>
        </is>
      </c>
      <c r="C114" s="22" t="inlineStr">
        <is>
          <t>Deactivate or reactivate an employee</t>
        </is>
      </c>
      <c r="D114" s="22" t="inlineStr">
        <is>
          <t>/people</t>
        </is>
      </c>
      <c r="E114" s="22" t="inlineStr">
        <is>
          <t>Administrator, CEO, HR Manager</t>
        </is>
      </c>
      <c r="F114" s="22" t="inlineStr">
        <is>
          <t>v4 access &amp; controls</t>
        </is>
      </c>
      <c r="G114" s="22" t="inlineStr">
        <is>
          <t>WS-09, ACC-07</t>
        </is>
      </c>
      <c r="H114" s="22" t="inlineStr">
        <is>
          <t>Access stops the day someone leaves; history is kept.</t>
        </is>
      </c>
    </row>
    <row r="115">
      <c r="A115" s="28" t="n">
        <v>111</v>
      </c>
      <c r="B115" s="22" t="inlineStr">
        <is>
          <t>Roles &amp; controls</t>
        </is>
      </c>
      <c r="C115" s="22" t="inlineStr">
        <is>
          <t>Maker-checker: propose a sensitive change (maker)</t>
        </is>
      </c>
      <c r="D115" s="22" t="inlineStr">
        <is>
          <t>/changes</t>
        </is>
      </c>
      <c r="E115" s="22" t="inlineStr">
        <is>
          <t>Anyone making a guarded change (roles, access, salaries, payroll finalisation, vendor bank, workflows, settings)</t>
        </is>
      </c>
      <c r="F115" s="22" t="inlineStr">
        <is>
          <t>v4 access &amp; controls</t>
        </is>
      </c>
      <c r="G115" s="22" t="inlineStr">
        <is>
          <t>MC-01</t>
        </is>
      </c>
      <c r="H115" s="22" t="inlineStr">
        <is>
          <t>No single person can change salaries, access or bank details alone.</t>
        </is>
      </c>
    </row>
    <row r="116">
      <c r="A116" s="28" t="n">
        <v>112</v>
      </c>
      <c r="B116" s="22" t="inlineStr">
        <is>
          <t>Roles &amp; controls</t>
        </is>
      </c>
      <c r="C116" s="22" t="inlineStr">
        <is>
          <t>Maker-checker: approve or reject a change (checker)</t>
        </is>
      </c>
      <c r="D116" s="22" t="inlineStr">
        <is>
          <t>/changes; /inbox</t>
        </is>
      </c>
      <c r="E116" s="22" t="inlineStr">
        <is>
          <t>Administrator, CEO, HR Manager</t>
        </is>
      </c>
      <c r="F116" s="22" t="inlineStr">
        <is>
          <t>v4 access &amp; controls</t>
        </is>
      </c>
      <c r="G116" s="22" t="inlineStr">
        <is>
          <t>MC-02</t>
        </is>
      </c>
      <c r="H116" s="22" t="inlineStr">
        <is>
          <t>A second person checks every sensitive change, with before/after diff.</t>
        </is>
      </c>
    </row>
    <row r="117">
      <c r="A117" s="28" t="n">
        <v>113</v>
      </c>
      <c r="B117" s="22" t="inlineStr">
        <is>
          <t>Roles &amp; controls</t>
        </is>
      </c>
      <c r="C117" s="22" t="inlineStr">
        <is>
          <t>Withdraw a pending change</t>
        </is>
      </c>
      <c r="D117" s="22" t="inlineStr">
        <is>
          <t>/changes</t>
        </is>
      </c>
      <c r="E117" s="22" t="inlineStr">
        <is>
          <t>The maker of the change</t>
        </is>
      </c>
      <c r="F117" s="22" t="inlineStr">
        <is>
          <t>v4 access &amp; controls</t>
        </is>
      </c>
      <c r="G117" s="22" t="inlineStr">
        <is>
          <t>MC-03</t>
        </is>
      </c>
      <c r="H117" s="22" t="inlineStr">
        <is>
          <t>Mistakes can be pulled back before they are checked.</t>
        </is>
      </c>
    </row>
    <row r="118">
      <c r="A118" s="28" t="n">
        <v>114</v>
      </c>
      <c r="B118" s="22" t="inlineStr">
        <is>
          <t>Roles &amp; controls</t>
        </is>
      </c>
      <c r="C118" s="22" t="inlineStr">
        <is>
          <t>Configure maker-checker (which changes need a second person, SLA)</t>
        </is>
      </c>
      <c r="D118" s="22" t="inlineStr">
        <is>
          <t>/setup/maker-checker</t>
        </is>
      </c>
      <c r="E118" s="22" t="inlineStr">
        <is>
          <t>Administrator, CEO</t>
        </is>
      </c>
      <c r="F118" s="22" t="inlineStr">
        <is>
          <t>v4 access &amp; controls</t>
        </is>
      </c>
      <c r="G118" s="22" t="inlineStr">
        <is>
          <t>MC-04</t>
        </is>
      </c>
      <c r="H118" s="22" t="inlineStr">
        <is>
          <t>Each company decides how strict its controls are.</t>
        </is>
      </c>
    </row>
    <row r="119">
      <c r="A119" s="28" t="n">
        <v>115</v>
      </c>
      <c r="B119" s="22" t="inlineStr">
        <is>
          <t>Roles &amp; controls</t>
        </is>
      </c>
      <c r="C119" s="22" t="inlineStr">
        <is>
          <t>Approval workflows: step chains, amount thresholds, SLAs, escalation</t>
        </is>
      </c>
      <c r="D119" s="22" t="inlineStr">
        <is>
          <t>/setup/workflows</t>
        </is>
      </c>
      <c r="E119" s="22" t="inlineStr">
        <is>
          <t>Administrator, CEO</t>
        </is>
      </c>
      <c r="F119" s="22" t="inlineStr">
        <is>
          <t>v4 access &amp; controls</t>
        </is>
      </c>
      <c r="G119" s="22" t="inlineStr">
        <is>
          <t>WF-01</t>
        </is>
      </c>
      <c r="H119" s="22" t="inlineStr">
        <is>
          <t>Leave, expenses, POs, bills, timesheets and task review route the way the company works.</t>
        </is>
      </c>
    </row>
    <row r="120">
      <c r="A120" s="28" t="n">
        <v>116</v>
      </c>
      <c r="B120" s="22" t="inlineStr">
        <is>
          <t>Roles &amp; controls</t>
        </is>
      </c>
      <c r="C120" s="22" t="inlineStr">
        <is>
          <t>Simulate (test) a workflow</t>
        </is>
      </c>
      <c r="D120" s="22" t="inlineStr">
        <is>
          <t>/setup/workflows</t>
        </is>
      </c>
      <c r="E120" s="22" t="inlineStr">
        <is>
          <t>Administrator, CEO</t>
        </is>
      </c>
      <c r="F120" s="22" t="inlineStr">
        <is>
          <t>v4 access &amp; controls</t>
        </is>
      </c>
      <c r="G120" s="22" t="inlineStr">
        <is>
          <t>WF-02</t>
        </is>
      </c>
      <c r="H120" s="22" t="inlineStr">
        <is>
          <t>Check who would approve a request before going live.</t>
        </is>
      </c>
    </row>
    <row r="121">
      <c r="A121" s="28" t="n">
        <v>117</v>
      </c>
      <c r="B121" s="22" t="inlineStr">
        <is>
          <t>Roles &amp; controls</t>
        </is>
      </c>
      <c r="C121" s="22" t="inlineStr">
        <is>
          <t>Multi-step routing, SLA and escalation at run time</t>
        </is>
      </c>
      <c r="D121" s="22" t="inlineStr">
        <is>
          <t>/inbox</t>
        </is>
      </c>
      <c r="E121" s="22" t="inlineStr">
        <is>
          <t>All roles</t>
        </is>
      </c>
      <c r="F121" s="22" t="inlineStr">
        <is>
          <t>v4 access &amp; controls</t>
        </is>
      </c>
      <c r="G121" s="22" t="inlineStr">
        <is>
          <t>WF-03</t>
        </is>
      </c>
      <c r="H121" s="22" t="inlineStr">
        <is>
          <t>Approvals do not stall; overdue steps escalate.</t>
        </is>
      </c>
    </row>
    <row r="122">
      <c r="A122" s="28" t="n">
        <v>118</v>
      </c>
      <c r="B122" s="22" t="inlineStr">
        <is>
          <t>Organisation setup</t>
        </is>
      </c>
      <c r="C122" s="22" t="inlineStr">
        <is>
          <t>Guided setup checklist (org data → roles → people)</t>
        </is>
      </c>
      <c r="D122" s="22" t="inlineStr">
        <is>
          <t>/setup</t>
        </is>
      </c>
      <c r="E122" s="22" t="inlineStr">
        <is>
          <t>Administrator, CEO, CTO, HR Manager, HR Executive</t>
        </is>
      </c>
      <c r="F122" s="22" t="inlineStr">
        <is>
          <t>v4 access &amp; controls</t>
        </is>
      </c>
      <c r="G122" s="22" t="inlineStr">
        <is>
          <t>SET-01</t>
        </is>
      </c>
      <c r="H122" s="22" t="inlineStr">
        <is>
          <t>Shows an admin exactly what is left to configure.</t>
        </is>
      </c>
    </row>
    <row r="123">
      <c r="A123" s="28" t="n">
        <v>119</v>
      </c>
      <c r="B123" s="22" t="inlineStr">
        <is>
          <t>Organisation setup</t>
        </is>
      </c>
      <c r="C123" s="22" t="inlineStr">
        <is>
          <t>Organisation profile (legal, tax IDs with format checks, addresses, numbering, bank)</t>
        </is>
      </c>
      <c r="D123" s="22" t="inlineStr">
        <is>
          <t>/setup/org</t>
        </is>
      </c>
      <c r="E123" s="22" t="inlineStr">
        <is>
          <t>Administrator, CEO, HR Manager</t>
        </is>
      </c>
      <c r="F123" s="22" t="inlineStr">
        <is>
          <t>v4 access &amp; controls</t>
        </is>
      </c>
      <c r="G123" s="22" t="inlineStr">
        <is>
          <t>ADM-01</t>
        </is>
      </c>
      <c r="H123" s="22" t="inlineStr">
        <is>
          <t>One source of company identity for invoices, letters and emails.</t>
        </is>
      </c>
    </row>
    <row r="124">
      <c r="A124" s="28" t="n">
        <v>120</v>
      </c>
      <c r="B124" s="22" t="inlineStr">
        <is>
          <t>Organisation setup</t>
        </is>
      </c>
      <c r="C124" s="22" t="inlineStr">
        <is>
          <t>Locations</t>
        </is>
      </c>
      <c r="D124" s="22" t="inlineStr">
        <is>
          <t>/setup/locations</t>
        </is>
      </c>
      <c r="E124" s="22" t="inlineStr">
        <is>
          <t>Administrator, CEO, HR Manager</t>
        </is>
      </c>
      <c r="F124" s="22" t="inlineStr">
        <is>
          <t>v4 access &amp; controls</t>
        </is>
      </c>
      <c r="G124" s="22" t="inlineStr">
        <is>
          <t>ADM-02</t>
        </is>
      </c>
      <c r="H124" s="22" t="inlineStr">
        <is>
          <t>Multi-office companies can assign people and holidays by location.</t>
        </is>
      </c>
    </row>
    <row r="125">
      <c r="A125" s="28" t="n">
        <v>121</v>
      </c>
      <c r="B125" s="22" t="inlineStr">
        <is>
          <t>Organisation setup</t>
        </is>
      </c>
      <c r="C125" s="22" t="inlineStr">
        <is>
          <t>Departments (tree, heads, cost centres)</t>
        </is>
      </c>
      <c r="D125" s="22" t="inlineStr">
        <is>
          <t>/setup/departments</t>
        </is>
      </c>
      <c r="E125" s="22" t="inlineStr">
        <is>
          <t>Administrator, CEO, HR Manager</t>
        </is>
      </c>
      <c r="F125" s="22" t="inlineStr">
        <is>
          <t>v4 access &amp; controls</t>
        </is>
      </c>
      <c r="G125" s="22" t="inlineStr">
        <is>
          <t>ADM-03</t>
        </is>
      </c>
      <c r="H125" s="22" t="inlineStr">
        <is>
          <t>Enables department budgets, department-head approvals and reporting.</t>
        </is>
      </c>
    </row>
    <row r="126">
      <c r="A126" s="28" t="n">
        <v>122</v>
      </c>
      <c r="B126" s="22" t="inlineStr">
        <is>
          <t>Organisation setup</t>
        </is>
      </c>
      <c r="C126" s="22" t="inlineStr">
        <is>
          <t>Cost centres</t>
        </is>
      </c>
      <c r="D126" s="22" t="inlineStr">
        <is>
          <t>/setup/cost-centres</t>
        </is>
      </c>
      <c r="E126" s="22" t="inlineStr">
        <is>
          <t>Administrator, CEO, HR Manager</t>
        </is>
      </c>
      <c r="F126" s="22" t="inlineStr">
        <is>
          <t>v4 access &amp; controls</t>
        </is>
      </c>
      <c r="G126" s="22" t="inlineStr">
        <is>
          <t>ADM-03</t>
        </is>
      </c>
      <c r="H126" s="22" t="inlineStr">
        <is>
          <t>Costs roll up the way finance reports them.</t>
        </is>
      </c>
    </row>
    <row r="127">
      <c r="A127" s="28" t="n">
        <v>123</v>
      </c>
      <c r="B127" s="22" t="inlineStr">
        <is>
          <t>Organisation setup</t>
        </is>
      </c>
      <c r="C127" s="22" t="inlineStr">
        <is>
          <t>Designations with default role</t>
        </is>
      </c>
      <c r="D127" s="22" t="inlineStr">
        <is>
          <t>/setup/designations</t>
        </is>
      </c>
      <c r="E127" s="22" t="inlineStr">
        <is>
          <t>Administrator, CEO, HR Manager</t>
        </is>
      </c>
      <c r="F127" s="22" t="inlineStr">
        <is>
          <t>v4 access &amp; controls</t>
        </is>
      </c>
      <c r="G127" s="22" t="inlineStr">
        <is>
          <t>ADM-04</t>
        </is>
      </c>
      <c r="H127" s="22" t="inlineStr">
        <is>
          <t>Hiring a 'Senior Developer' gives the right access automatically.</t>
        </is>
      </c>
    </row>
    <row r="128">
      <c r="A128" s="28" t="n">
        <v>124</v>
      </c>
      <c r="B128" s="22" t="inlineStr">
        <is>
          <t>Organisation setup</t>
        </is>
      </c>
      <c r="C128" s="22" t="inlineStr">
        <is>
          <t>Grades and CTC bands</t>
        </is>
      </c>
      <c r="D128" s="22" t="inlineStr">
        <is>
          <t>/setup/grades</t>
        </is>
      </c>
      <c r="E128" s="22" t="inlineStr">
        <is>
          <t>Administrator, CEO, HR Manager</t>
        </is>
      </c>
      <c r="F128" s="22" t="inlineStr">
        <is>
          <t>v4 access &amp; controls</t>
        </is>
      </c>
      <c r="G128" s="22" t="inlineStr">
        <is>
          <t>ADM-04</t>
        </is>
      </c>
      <c r="H128" s="22" t="inlineStr">
        <is>
          <t>Keeps salaries inside agreed bands.</t>
        </is>
      </c>
    </row>
    <row r="129">
      <c r="A129" s="28" t="n">
        <v>125</v>
      </c>
      <c r="B129" s="22" t="inlineStr">
        <is>
          <t>Organisation setup</t>
        </is>
      </c>
      <c r="C129" s="22" t="inlineStr">
        <is>
          <t>Shifts and shift assignment</t>
        </is>
      </c>
      <c r="D129" s="22" t="inlineStr">
        <is>
          <t>/setup/shifts</t>
        </is>
      </c>
      <c r="E129" s="22" t="inlineStr">
        <is>
          <t>Administrator, CEO, HR Manager</t>
        </is>
      </c>
      <c r="F129" s="22" t="inlineStr">
        <is>
          <t>v4 access &amp; controls</t>
        </is>
      </c>
      <c r="G129" s="22" t="inlineStr">
        <is>
          <t>ADM-05</t>
        </is>
      </c>
      <c r="H129" s="22" t="inlineStr">
        <is>
          <t>Supports teams on different working hours.</t>
        </is>
      </c>
    </row>
    <row r="130">
      <c r="A130" s="28" t="n">
        <v>126</v>
      </c>
      <c r="B130" s="22" t="inlineStr">
        <is>
          <t>Organisation setup</t>
        </is>
      </c>
      <c r="C130" s="22" t="inlineStr">
        <is>
          <t>Email templates editor</t>
        </is>
      </c>
      <c r="D130" s="22" t="inlineStr">
        <is>
          <t>/setup/emails</t>
        </is>
      </c>
      <c r="E130" s="22" t="inlineStr">
        <is>
          <t>Administrator, CEO, HR Manager, HR Executive</t>
        </is>
      </c>
      <c r="F130" s="22" t="inlineStr">
        <is>
          <t>v4 access &amp; controls</t>
        </is>
      </c>
      <c r="G130" s="22" t="inlineStr">
        <is>
          <t>ADM-06</t>
        </is>
      </c>
      <c r="H130" s="22" t="inlineStr">
        <is>
          <t>Company-branded wording for every system email.</t>
        </is>
      </c>
    </row>
    <row r="131">
      <c r="A131" s="28" t="n">
        <v>127</v>
      </c>
      <c r="B131" s="22" t="inlineStr">
        <is>
          <t>Organisation setup</t>
        </is>
      </c>
      <c r="C131" s="22" t="inlineStr">
        <is>
          <t>Email outbox / sent log</t>
        </is>
      </c>
      <c r="D131" s="22" t="inlineStr">
        <is>
          <t>/setup/emails?tab=sent</t>
        </is>
      </c>
      <c r="E131" s="22" t="inlineStr">
        <is>
          <t>Administrator, CEO, HR Manager, HR Executive</t>
        </is>
      </c>
      <c r="F131" s="22" t="inlineStr">
        <is>
          <t>v4 access &amp; controls</t>
        </is>
      </c>
      <c r="G131" s="22" t="inlineStr">
        <is>
          <t>ADM-06</t>
        </is>
      </c>
      <c r="H131" s="22" t="inlineStr">
        <is>
          <t>Proof of what the system sent to whom, and when.</t>
        </is>
      </c>
    </row>
    <row r="132">
      <c r="A132" s="28" t="n">
        <v>128</v>
      </c>
      <c r="B132" s="22" t="inlineStr">
        <is>
          <t>Settings &amp; appearance</t>
        </is>
      </c>
      <c r="C132" s="22" t="inlineStr">
        <is>
          <t>Cost rates with CTC history and effective dates</t>
        </is>
      </c>
      <c r="D132" s="22" t="inlineStr">
        <is>
          <t>/settings/cost-rates</t>
        </is>
      </c>
      <c r="E132" s="22" t="inlineStr">
        <is>
          <t>Administrator, CEO, HR Manager</t>
        </is>
      </c>
      <c r="F132" s="22" t="inlineStr">
        <is>
          <t>v1 base</t>
        </is>
      </c>
      <c r="G132" s="22" t="inlineStr">
        <is>
          <t>ORG-03</t>
        </is>
      </c>
      <c r="H132" s="22" t="inlineStr">
        <is>
          <t>Hours are costed at the rate valid on the day they were worked.</t>
        </is>
      </c>
    </row>
    <row r="133">
      <c r="A133" s="28" t="n">
        <v>129</v>
      </c>
      <c r="B133" s="22" t="inlineStr">
        <is>
          <t>Settings &amp; appearance</t>
        </is>
      </c>
      <c r="C133" s="22" t="inlineStr">
        <is>
          <t>Settings sections for timesheets, sales, notification times, security and AI</t>
        </is>
      </c>
      <c r="D133" s="22" t="inlineStr">
        <is>
          <t>/settings/company</t>
        </is>
      </c>
      <c r="E133" s="22" t="inlineStr">
        <is>
          <t>Administrator, CEO</t>
        </is>
      </c>
      <c r="F133" s="22" t="inlineStr">
        <is>
          <t>v1 base</t>
        </is>
      </c>
      <c r="G133" s="22" t="inlineStr">
        <is>
          <t>ORG-01</t>
        </is>
      </c>
      <c r="H133" s="22" t="inlineStr">
        <is>
          <t>Every rule the system runs on is visible and adjustable by the company.</t>
        </is>
      </c>
    </row>
    <row r="134">
      <c r="A134" s="28" t="n">
        <v>130</v>
      </c>
      <c r="B134" s="22" t="inlineStr">
        <is>
          <t>Settings &amp; appearance</t>
        </is>
      </c>
      <c r="C134" s="22" t="inlineStr">
        <is>
          <t>Themes: presets, brand colours, radius, density, font, sidebar style, default mode</t>
        </is>
      </c>
      <c r="D134" s="22" t="inlineStr">
        <is>
          <t>/settings/appearance</t>
        </is>
      </c>
      <c r="E134" s="22" t="inlineStr">
        <is>
          <t>Administrator, CEO</t>
        </is>
      </c>
      <c r="F134" s="22" t="inlineStr">
        <is>
          <t>v1 base</t>
        </is>
      </c>
      <c r="G134" s="22" t="inlineStr"/>
      <c r="H134" s="22" t="inlineStr">
        <is>
          <t>Each tenant can brand the product as its own.</t>
        </is>
      </c>
    </row>
    <row r="135">
      <c r="A135" s="28" t="n">
        <v>131</v>
      </c>
      <c r="B135" s="22" t="inlineStr">
        <is>
          <t>Settings &amp; appearance</t>
        </is>
      </c>
      <c r="C135" s="22" t="inlineStr">
        <is>
          <t>Personal light / dark mode</t>
        </is>
      </c>
      <c r="D135" s="22" t="inlineStr">
        <is>
          <t>/settings/appearance</t>
        </is>
      </c>
      <c r="E135" s="22" t="inlineStr">
        <is>
          <t>Everyone (own data)</t>
        </is>
      </c>
      <c r="F135" s="22" t="inlineStr">
        <is>
          <t>v1 base</t>
        </is>
      </c>
      <c r="G135" s="22" t="inlineStr"/>
      <c r="H135" s="22" t="inlineStr">
        <is>
          <t>Comfort for each person without changing the company theme.</t>
        </is>
      </c>
    </row>
    <row r="136">
      <c r="A136" s="28" t="n">
        <v>132</v>
      </c>
      <c r="B136" s="22" t="inlineStr">
        <is>
          <t>Workspace &amp; access</t>
        </is>
      </c>
      <c r="C136" s="22" t="inlineStr">
        <is>
          <t>Company sign-up with 14-day trial (up to 25 people)</t>
        </is>
      </c>
      <c r="D136" s="22" t="inlineStr">
        <is>
          <t>/signup</t>
        </is>
      </c>
      <c r="E136" s="22" t="inlineStr">
        <is>
          <t>Anyone (new company); signer becomes Administrator</t>
        </is>
      </c>
      <c r="F136" s="22" t="inlineStr">
        <is>
          <t>v1 base</t>
        </is>
      </c>
      <c r="G136" s="22" t="inlineStr">
        <is>
          <t>WS-01</t>
        </is>
      </c>
      <c r="H136" s="22" t="inlineStr">
        <is>
          <t>A new company gets its own workspace in minutes, without a sales call.</t>
        </is>
      </c>
    </row>
    <row r="137">
      <c r="A137" s="28" t="n">
        <v>133</v>
      </c>
      <c r="B137" s="22" t="inlineStr">
        <is>
          <t>Workspace &amp; access</t>
        </is>
      </c>
      <c r="C137" s="22" t="inlineStr">
        <is>
          <t>Getting-started onboarding checklist and sample data</t>
        </is>
      </c>
      <c r="D137" s="22" t="inlineStr">
        <is>
          <t>/onboarding; /home</t>
        </is>
      </c>
      <c r="E137" s="22" t="inlineStr">
        <is>
          <t>Administrator, CEO</t>
        </is>
      </c>
      <c r="F137" s="22" t="inlineStr">
        <is>
          <t>v1 base</t>
        </is>
      </c>
      <c r="G137" s="22" t="inlineStr">
        <is>
          <t>WS-02</t>
        </is>
      </c>
      <c r="H137" s="22" t="inlineStr">
        <is>
          <t>Walks a new workspace to first value: rules, calendar, people, first project, first week.</t>
        </is>
      </c>
    </row>
    <row r="138">
      <c r="A138" s="28" t="n">
        <v>134</v>
      </c>
      <c r="B138" s="22" t="inlineStr">
        <is>
          <t>Workspace &amp; access</t>
        </is>
      </c>
      <c r="C138" s="22" t="inlineStr">
        <is>
          <t>Sign in, lockout and password reset</t>
        </is>
      </c>
      <c r="D138" s="22" t="inlineStr">
        <is>
          <t>/login; /reset-password</t>
        </is>
      </c>
      <c r="E138" s="22" t="inlineStr">
        <is>
          <t>Everyone (own data)</t>
        </is>
      </c>
      <c r="F138" s="22" t="inlineStr">
        <is>
          <t>v1 base</t>
        </is>
      </c>
      <c r="G138" s="22" t="inlineStr">
        <is>
          <t>WS-03</t>
        </is>
      </c>
      <c r="H138" s="22" t="inlineStr">
        <is>
          <t>Secure self-service access; locked accounts and forgotten passwords need no admin.</t>
        </is>
      </c>
    </row>
    <row r="139">
      <c r="A139" s="28" t="n">
        <v>135</v>
      </c>
      <c r="B139" s="22" t="inlineStr">
        <is>
          <t>Workspace &amp; access</t>
        </is>
      </c>
      <c r="C139" s="22" t="inlineStr">
        <is>
          <t>Invite people (single or bulk CSV) and accept invitation</t>
        </is>
      </c>
      <c r="D139" s="22" t="inlineStr">
        <is>
          <t>/people; /invite/:token</t>
        </is>
      </c>
      <c r="E139" s="22" t="inlineStr">
        <is>
          <t>Administrator, CEO, HR Manager, HR Executive</t>
        </is>
      </c>
      <c r="F139" s="22" t="inlineStr">
        <is>
          <t>v1 base</t>
        </is>
      </c>
      <c r="G139" s="22" t="inlineStr">
        <is>
          <t>WS-04</t>
        </is>
      </c>
      <c r="H139" s="22" t="inlineStr">
        <is>
          <t>Brings a whole team in at once from a spreadsheet.</t>
        </is>
      </c>
    </row>
    <row r="140">
      <c r="A140" s="28" t="n">
        <v>136</v>
      </c>
      <c r="B140" s="22" t="inlineStr">
        <is>
          <t>Workspace &amp; access</t>
        </is>
      </c>
      <c r="C140" s="22" t="inlineStr">
        <is>
          <t>Security: two-step verification and personal profile</t>
        </is>
      </c>
      <c r="D140" s="22" t="inlineStr">
        <is>
          <t>/settings/security; /settings/profile</t>
        </is>
      </c>
      <c r="E140" s="22" t="inlineStr">
        <is>
          <t>Everyone (own data)</t>
        </is>
      </c>
      <c r="F140" s="22" t="inlineStr">
        <is>
          <t>v1 base</t>
        </is>
      </c>
      <c r="G140" s="22" t="inlineStr">
        <is>
          <t>WS-08</t>
        </is>
      </c>
      <c r="H140" s="22" t="inlineStr">
        <is>
          <t>Protects company and salary data with 2FA; each person keeps their own details current.</t>
        </is>
      </c>
    </row>
    <row r="141">
      <c r="A141" s="28" t="n">
        <v>137</v>
      </c>
      <c r="B141" s="22" t="inlineStr">
        <is>
          <t>Workspace &amp; access</t>
        </is>
      </c>
      <c r="C141" s="22" t="inlineStr">
        <is>
          <t>Full workspace data export</t>
        </is>
      </c>
      <c r="D141" s="22" t="inlineStr">
        <is>
          <t>/settings/data</t>
        </is>
      </c>
      <c r="E141" s="22" t="inlineStr">
        <is>
          <t>Administrator, CEO</t>
        </is>
      </c>
      <c r="F141" s="22" t="inlineStr">
        <is>
          <t>v1 base</t>
        </is>
      </c>
      <c r="G141" s="22" t="inlineStr">
        <is>
          <t>WS-10</t>
        </is>
      </c>
      <c r="H141" s="22" t="inlineStr">
        <is>
          <t>The company owns its data and can take a complete copy at any time.</t>
        </is>
      </c>
    </row>
    <row r="142">
      <c r="A142" s="28" t="n">
        <v>138</v>
      </c>
      <c r="B142" s="22" t="inlineStr">
        <is>
          <t>Workspace &amp; access</t>
        </is>
      </c>
      <c r="C142" s="22" t="inlineStr">
        <is>
          <t>Subscription plan, seats and payment</t>
        </is>
      </c>
      <c r="D142" s="22" t="inlineStr">
        <is>
          <t>/billing</t>
        </is>
      </c>
      <c r="E142" s="22" t="inlineStr">
        <is>
          <t>Administrator, CEO</t>
        </is>
      </c>
      <c r="F142" s="22" t="inlineStr">
        <is>
          <t>v1 base</t>
        </is>
      </c>
      <c r="G142" s="22" t="inlineStr">
        <is>
          <t>WS-11</t>
        </is>
      </c>
      <c r="H142" s="22" t="inlineStr">
        <is>
          <t>Self-service plan and seat management for the SaaS.</t>
        </is>
      </c>
    </row>
    <row r="143">
      <c r="A143" s="28" t="n">
        <v>139</v>
      </c>
      <c r="B143" s="22" t="inlineStr">
        <is>
          <t>Workspace &amp; access</t>
        </is>
      </c>
      <c r="C143" s="22" t="inlineStr">
        <is>
          <t>Multi-tenancy: isolated company workspaces (tenant-scoped data and cache)</t>
        </is>
      </c>
      <c r="D143" s="22" t="inlineStr">
        <is>
          <t>All screens</t>
        </is>
      </c>
      <c r="E143" s="22" t="inlineStr">
        <is>
          <t>Platform (every workspace)</t>
        </is>
      </c>
      <c r="F143" s="22" t="inlineStr">
        <is>
          <t>v1 base</t>
        </is>
      </c>
      <c r="G143" s="22" t="inlineStr"/>
      <c r="H143" s="22" t="inlineStr">
        <is>
          <t>Each client company sees only its own data; the product can be sold to many companies.</t>
        </is>
      </c>
    </row>
    <row r="144">
      <c r="A144" s="28" t="n">
        <v>140</v>
      </c>
      <c r="B144" s="22" t="inlineStr">
        <is>
          <t>Workspace &amp; access</t>
        </is>
      </c>
      <c r="C144" s="22" t="inlineStr">
        <is>
          <t>Read-only workspace when a subscription lapses (billing stays open)</t>
        </is>
      </c>
      <c r="D144" s="22" t="inlineStr">
        <is>
          <t>All screens; /billing</t>
        </is>
      </c>
      <c r="E144" s="22" t="inlineStr">
        <is>
          <t>Platform (every workspace)</t>
        </is>
      </c>
      <c r="F144" s="22" t="inlineStr">
        <is>
          <t>v1 base</t>
        </is>
      </c>
      <c r="G144" s="22" t="inlineStr">
        <is>
          <t>WS-11</t>
        </is>
      </c>
      <c r="H144" s="22" t="inlineStr">
        <is>
          <t>Protects data without locking customers out; they can pay and resume.</t>
        </is>
      </c>
    </row>
    <row r="145">
      <c r="A145" s="28" t="n">
        <v>141</v>
      </c>
      <c r="B145" s="22" t="inlineStr">
        <is>
          <t>Workspace &amp; access</t>
        </is>
      </c>
      <c r="C145" s="22" t="inlineStr">
        <is>
          <t>Platform super admin: tenants, trials and suspensions</t>
        </is>
      </c>
      <c r="D145" s="22" t="inlineStr">
        <is>
          <t>/admin</t>
        </is>
      </c>
      <c r="E145" s="22" t="inlineStr">
        <is>
          <t>Platform super admin only</t>
        </is>
      </c>
      <c r="F145" s="22" t="inlineStr">
        <is>
          <t>v1 base</t>
        </is>
      </c>
      <c r="G145" s="22" t="inlineStr">
        <is>
          <t>WS-12</t>
        </is>
      </c>
      <c r="H145" s="22" t="inlineStr">
        <is>
          <t>Seereon can run the SaaS business: see tenants, extend trials, suspend accounts.</t>
        </is>
      </c>
    </row>
    <row r="146">
      <c r="A146" s="28" t="n">
        <v>142</v>
      </c>
      <c r="B146" s="22" t="inlineStr">
        <is>
          <t>Workspace &amp; access</t>
        </is>
      </c>
      <c r="C146" s="22" t="inlineStr">
        <is>
          <t>Privacy and terms pages</t>
        </is>
      </c>
      <c r="D146" s="22" t="inlineStr">
        <is>
          <t>/privacy; /terms</t>
        </is>
      </c>
      <c r="E146" s="22" t="inlineStr">
        <is>
          <t>Everyone (own data)</t>
        </is>
      </c>
      <c r="F146" s="22" t="inlineStr">
        <is>
          <t>v1 base</t>
        </is>
      </c>
      <c r="G146" s="22" t="inlineStr"/>
      <c r="H146" s="22" t="inlineStr">
        <is>
          <t>Legal pages required for a public SaaS.</t>
        </is>
      </c>
    </row>
    <row r="147">
      <c r="A147" s="28" t="n">
        <v>143</v>
      </c>
      <c r="B147" s="22" t="inlineStr">
        <is>
          <t>Platform &amp; UX</t>
        </is>
      </c>
      <c r="C147" s="22" t="inlineStr">
        <is>
          <t>Command palette search (Ctrl/Cmd+K)</t>
        </is>
      </c>
      <c r="D147" s="22" t="inlineStr">
        <is>
          <t>Top bar (every page)</t>
        </is>
      </c>
      <c r="E147" s="22" t="inlineStr">
        <is>
          <t>Everyone (own data)</t>
        </is>
      </c>
      <c r="F147" s="22" t="inlineStr">
        <is>
          <t>v1 base</t>
        </is>
      </c>
      <c r="G147" s="22" t="inlineStr"/>
      <c r="H147" s="22" t="inlineStr">
        <is>
          <t>Jump to any screen, project, task or person in two keystrokes.</t>
        </is>
      </c>
    </row>
    <row r="148">
      <c r="A148" s="28" t="n">
        <v>144</v>
      </c>
      <c r="B148" s="22" t="inlineStr">
        <is>
          <t>Platform &amp; UX</t>
        </is>
      </c>
      <c r="C148" s="22" t="inlineStr">
        <is>
          <t>Notifications centre and bell</t>
        </is>
      </c>
      <c r="D148" s="22" t="inlineStr">
        <is>
          <t>/notifications; top bar</t>
        </is>
      </c>
      <c r="E148" s="22" t="inlineStr">
        <is>
          <t>Everyone (own data)</t>
        </is>
      </c>
      <c r="F148" s="22" t="inlineStr">
        <is>
          <t>v1 base</t>
        </is>
      </c>
      <c r="G148" s="22" t="inlineStr">
        <is>
          <t>GOV-05</t>
        </is>
      </c>
      <c r="H148" s="22" t="inlineStr">
        <is>
          <t>Nobody misses an approval, mention, send-back or deadline.</t>
        </is>
      </c>
    </row>
    <row r="149">
      <c r="A149" s="28" t="n">
        <v>145</v>
      </c>
      <c r="B149" s="22" t="inlineStr">
        <is>
          <t>Platform &amp; UX</t>
        </is>
      </c>
      <c r="C149" s="22" t="inlineStr">
        <is>
          <t>Phone layout: bottom tab bar with role-specific shortcuts and More sheet</t>
        </is>
      </c>
      <c r="D149" s="22" t="inlineStr">
        <is>
          <t>Phones (every page)</t>
        </is>
      </c>
      <c r="E149" s="22" t="inlineStr">
        <is>
          <t>Everyone (own data)</t>
        </is>
      </c>
      <c r="F149" s="22" t="inlineStr">
        <is>
          <t>v1 base</t>
        </is>
      </c>
      <c r="G149" s="22" t="inlineStr"/>
      <c r="H149" s="22" t="inlineStr">
        <is>
          <t>The same product works as a mobile app.</t>
        </is>
      </c>
    </row>
    <row r="150">
      <c r="A150" s="28" t="n">
        <v>146</v>
      </c>
      <c r="B150" s="22" t="inlineStr">
        <is>
          <t>Platform &amp; UX</t>
        </is>
      </c>
      <c r="C150" s="22" t="inlineStr">
        <is>
          <t>Responsive tables become cards on phones; dialogs become bottom sheets</t>
        </is>
      </c>
      <c r="D150" s="22" t="inlineStr">
        <is>
          <t>Every list</t>
        </is>
      </c>
      <c r="E150" s="22" t="inlineStr">
        <is>
          <t>Everyone (own data)</t>
        </is>
      </c>
      <c r="F150" s="22" t="inlineStr">
        <is>
          <t>v1 base</t>
        </is>
      </c>
      <c r="G150" s="22" t="inlineStr"/>
      <c r="H150" s="22" t="inlineStr">
        <is>
          <t>Every screen is usable on a phone, not only the dashboards.</t>
        </is>
      </c>
    </row>
    <row r="151">
      <c r="A151" s="28" t="n">
        <v>147</v>
      </c>
      <c r="B151" s="22" t="inlineStr">
        <is>
          <t>Platform &amp; UX</t>
        </is>
      </c>
      <c r="C151" s="22" t="inlineStr">
        <is>
          <t>Corporate exports: branded PDF, Excel and CSV on every list and report</t>
        </is>
      </c>
      <c r="D151" s="22" t="inlineStr">
        <is>
          <t>Export menu on lists, reports, payroll, ledger, invoices</t>
        </is>
      </c>
      <c r="E151" s="22" t="inlineStr">
        <is>
          <t>Everyone (own data)</t>
        </is>
      </c>
      <c r="F151" s="22" t="inlineStr">
        <is>
          <t>v1 base</t>
        </is>
      </c>
      <c r="G151" s="22" t="inlineStr"/>
      <c r="H151" s="22" t="inlineStr">
        <is>
          <t>Board-ready documents with no manual formatting.</t>
        </is>
      </c>
    </row>
    <row r="152">
      <c r="A152" s="28" t="n">
        <v>148</v>
      </c>
      <c r="B152" s="22" t="inlineStr">
        <is>
          <t>Platform &amp; UX</t>
        </is>
      </c>
      <c r="C152" s="22" t="inlineStr">
        <is>
          <t>Task drawer opens from anywhere (dashboards, lists, notifications)</t>
        </is>
      </c>
      <c r="D152" s="22" t="inlineStr">
        <is>
          <t>Task drawer</t>
        </is>
      </c>
      <c r="E152" s="22" t="inlineStr">
        <is>
          <t>Everyone (own data)</t>
        </is>
      </c>
      <c r="F152" s="22" t="inlineStr">
        <is>
          <t>v1 base</t>
        </is>
      </c>
      <c r="G152" s="22" t="inlineStr"/>
      <c r="H152" s="22" t="inlineStr">
        <is>
          <t>Act on a task without leaving the page you are on.</t>
        </is>
      </c>
    </row>
    <row r="153">
      <c r="A153" s="28" t="n">
        <v>149</v>
      </c>
      <c r="B153" s="22" t="inlineStr">
        <is>
          <t>Platform &amp; UX</t>
        </is>
      </c>
      <c r="C153" s="22" t="inlineStr">
        <is>
          <t>Two-level sidebar: collapsible menu groups with submenus (also in phone More sheet and Ctrl/Cmd+K search)</t>
        </is>
      </c>
      <c r="D153" s="22" t="inlineStr">
        <is>
          <t>All screens</t>
        </is>
      </c>
      <c r="E153" s="22" t="inlineStr">
        <is>
          <t>Everyone (own data)</t>
        </is>
      </c>
      <c r="F153" s="22" t="inlineStr">
        <is>
          <t>v7 workflows, documents &amp; invoicing</t>
        </is>
      </c>
      <c r="G153" s="22" t="inlineStr"/>
      <c r="H153" s="22" t="inlineStr">
        <is>
          <t>Every area, including project details, is one click from the sidebar.</t>
        </is>
      </c>
    </row>
  </sheetData>
  <autoFilter ref="A4:H153"/>
  <printOptions gridLines="0"/>
  <pageMargins left="0.75" right="0.75" top="1" bottom="1" header="0.5" footer="0.5"/>
  <pageSetup orientation="landscape" paperSize="9" fitToHeight="0" fitToWidth="1"/>
  <headerFooter>
    <oddHeader>&amp;C&amp;"Arial,Bold"Built in addition to the Feature Guide</oddHeader>
    <oddFooter>&amp;LSeereonOS v6 · Feature Guide cross-reference · 2 Oct 2026&amp;RPage &amp;P of &amp;N</oddFooter>
    <evenHeader/>
    <evenFooter/>
    <firstHeader/>
    <firstFooter/>
  </headerFooter>
</worksheet>
</file>

<file path=xl/worksheets/sheet6.xml><?xml version="1.0" encoding="utf-8"?>
<worksheet xmlns="http://schemas.openxmlformats.org/spreadsheetml/2006/main">
  <sheetPr>
    <tabColor rgb="00DAB34F"/>
    <outlinePr summaryBelow="1" summaryRight="1"/>
    <pageSetUpPr fitToPage="1"/>
  </sheetPr>
  <dimension ref="A1:F40"/>
  <sheetViews>
    <sheetView zoomScale="100" workbookViewId="0">
      <pane ySplit="4" topLeftCell="A5" activePane="bottomLeft" state="frozen"/>
      <selection pane="bottomLeft" activeCell="A1" sqref="A1"/>
    </sheetView>
  </sheetViews>
  <sheetFormatPr baseColWidth="8" defaultRowHeight="15"/>
  <cols>
    <col width="11" customWidth="1" min="1" max="1"/>
    <col width="52" customWidth="1" min="2" max="2"/>
    <col width="10" customWidth="1" min="3" max="3"/>
    <col width="44" customWidth="1" min="4" max="4"/>
    <col width="34" customWidth="1" min="5" max="5"/>
    <col width="40" customWidth="1" min="6" max="6"/>
  </cols>
  <sheetData>
    <row r="1">
      <c r="A1" s="24" t="inlineStr">
        <is>
          <t>Guide screenshots → build screens</t>
        </is>
      </c>
    </row>
    <row r="2">
      <c r="A2" s="25" t="inlineStr">
        <is>
          <t>The 36 screenshots in the Feature Guide PDF (img-000 … img-035) and where the same screen lives in SeereonOS.</t>
        </is>
      </c>
      <c r="B2" s="26" t="n"/>
      <c r="C2" s="26" t="n"/>
      <c r="D2" s="26" t="n"/>
      <c r="E2" s="26" t="n"/>
      <c r="F2" s="26" t="n"/>
    </row>
    <row r="4">
      <c r="A4" s="27" t="inlineStr">
        <is>
          <t>Screenshot</t>
        </is>
      </c>
      <c r="B4" s="27" t="inlineStr">
        <is>
          <t>What it shows</t>
        </is>
      </c>
      <c r="C4" s="27" t="inlineStr">
        <is>
          <t>Guide page</t>
        </is>
      </c>
      <c r="D4" s="27" t="inlineStr">
        <is>
          <t>Equivalent screen in the build (route)</t>
        </is>
      </c>
      <c r="E4" s="27" t="inlineStr">
        <is>
          <t>G-IDs</t>
        </is>
      </c>
      <c r="F4" s="27" t="inlineStr">
        <is>
          <t>Image file</t>
        </is>
      </c>
    </row>
    <row r="5">
      <c r="A5" s="28" t="inlineStr">
        <is>
          <t>000</t>
        </is>
      </c>
      <c r="B5" s="22" t="inlineStr">
        <is>
          <t>Header and role tabs (company name, week switcher, tabs, View as)</t>
        </is>
      </c>
      <c r="C5" s="28" t="n">
        <v>1</v>
      </c>
      <c r="D5" s="22" t="inlineStr">
        <is>
          <t>Top bar + left menu on every page; Dashboard (/home)</t>
        </is>
      </c>
      <c r="E5" s="22" t="inlineStr">
        <is>
          <t>G1.01, G1.02, G1.03, G1.04</t>
        </is>
      </c>
      <c r="F5" s="22" t="inlineStr">
        <is>
          <t>docs/feature-guide-screens/img-000.jpg</t>
        </is>
      </c>
    </row>
    <row r="6">
      <c r="A6" s="28" t="inlineStr">
        <is>
          <t>001</t>
        </is>
      </c>
      <c r="B6" s="22" t="inlineStr">
        <is>
          <t>Employee view (person picker, Tagged you, Covering, own numbers)</t>
        </is>
      </c>
      <c r="C6" s="28" t="n">
        <v>2</v>
      </c>
      <c r="D6" s="22" t="inlineStr">
        <is>
          <t>Dashboard › Employee (/home)</t>
        </is>
      </c>
      <c r="E6" s="22" t="inlineStr">
        <is>
          <t>G1.06</t>
        </is>
      </c>
      <c r="F6" s="22" t="inlineStr">
        <is>
          <t>docs/feature-guide-screens/img-001.jpg</t>
        </is>
      </c>
    </row>
    <row r="7">
      <c r="A7" s="28" t="inlineStr">
        <is>
          <t>002</t>
        </is>
      </c>
      <c r="B7" s="22" t="inlineStr">
        <is>
          <t>CEO dashboard: revenue and earnings, period table, 12-month chart, revenue by stream, revenue ahead</t>
        </is>
      </c>
      <c r="C7" s="28" t="n">
        <v>3</v>
      </c>
      <c r="D7" s="22" t="inlineStr">
        <is>
          <t>Dashboard › CEO › Overview (/home)</t>
        </is>
      </c>
      <c r="E7" s="22" t="inlineStr">
        <is>
          <t>G2.01, G2.02, G2.03, G2.04, G2.05, G2.08</t>
        </is>
      </c>
      <c r="F7" s="22" t="inlineStr">
        <is>
          <t>docs/feature-guide-screens/img-002.jpg</t>
        </is>
      </c>
    </row>
    <row r="8">
      <c r="A8" s="28" t="inlineStr">
        <is>
          <t>003</t>
        </is>
      </c>
      <c r="B8" s="22" t="inlineStr">
        <is>
          <t>CEO dashboard: delivery KPIs and milestones-and-cash</t>
        </is>
      </c>
      <c r="C8" s="28" t="n">
        <v>4</v>
      </c>
      <c r="D8" s="22" t="inlineStr">
        <is>
          <t>Dashboard › CEO › Overview (/home)</t>
        </is>
      </c>
      <c r="E8" s="22" t="inlineStr">
        <is>
          <t>G2.06, G2.07</t>
        </is>
      </c>
      <c r="F8" s="22" t="inlineStr">
        <is>
          <t>docs/feature-guide-screens/img-003.jpg</t>
        </is>
      </c>
    </row>
    <row r="9">
      <c r="A9" s="28" t="inlineStr">
        <is>
          <t>004</t>
        </is>
      </c>
      <c r="B9" s="22" t="inlineStr">
        <is>
          <t>Projects list (status chips, health, columns, inline expand)</t>
        </is>
      </c>
      <c r="C9" s="28" t="n">
        <v>4</v>
      </c>
      <c r="D9" s="22" t="inlineStr">
        <is>
          <t>Projects &amp; WBS › All projects (/projects)</t>
        </is>
      </c>
      <c r="E9" s="22" t="inlineStr">
        <is>
          <t>G3.01, G3.02, G3.03, G3.04, G3.05, G3.06</t>
        </is>
      </c>
      <c r="F9" s="22" t="inlineStr">
        <is>
          <t>docs/feature-guide-screens/img-004.jpg</t>
        </is>
      </c>
    </row>
    <row r="10">
      <c r="A10" s="28" t="inlineStr">
        <is>
          <t>005</t>
        </is>
      </c>
      <c r="B10" s="22" t="inlineStr">
        <is>
          <t>Create project form incl. auto milestone setup, documents and project cost calculator</t>
        </is>
      </c>
      <c r="C10" s="28" t="n">
        <v>6</v>
      </c>
      <c r="D10" s="22" t="inlineStr">
        <is>
          <t>Projects &amp; WBS › Create project (/projects/new)</t>
        </is>
      </c>
      <c r="E10" s="22" t="inlineStr">
        <is>
          <t>G3.07, G3.08, G3.09, G3.10, G3.11</t>
        </is>
      </c>
      <c r="F10" s="22" t="inlineStr">
        <is>
          <t>docs/feature-guide-screens/img-005.jpg</t>
        </is>
      </c>
    </row>
    <row r="11">
      <c r="A11" s="28" t="inlineStr">
        <is>
          <t>006</t>
        </is>
      </c>
      <c r="B11" s="22" t="inlineStr">
        <is>
          <t>Milestones table (numbering, deadline, status, progress, billing)</t>
        </is>
      </c>
      <c r="C11" s="28" t="n">
        <v>7</v>
      </c>
      <c r="D11" s="22" t="inlineStr">
        <is>
          <t>Projects &amp; WBS › All projects › project › WBS (/projects/:id/wbs); direct: Projects &amp; WBS › Milestones &amp; billing / WBS (Milestones)</t>
        </is>
      </c>
      <c r="E11" s="22" t="inlineStr">
        <is>
          <t>G4.01, G4.02, G4.03, G4.04, G4.05, G4.06, G4.07, G4.08</t>
        </is>
      </c>
      <c r="F11" s="22" t="inlineStr">
        <is>
          <t>docs/feature-guide-screens/img-006.jpg</t>
        </is>
      </c>
    </row>
    <row r="12">
      <c r="A12" s="28" t="inlineStr">
        <is>
          <t>007</t>
        </is>
      </c>
      <c r="B12" s="22" t="inlineStr">
        <is>
          <t>WBS table (milestone rollups, task rows, dependencies, critical rows)</t>
        </is>
      </c>
      <c r="C12" s="28" t="n">
        <v>8</v>
      </c>
      <c r="D12" s="22" t="inlineStr">
        <is>
          <t>Projects &amp; WBS › All projects › project › WBS (/projects/:id/wbs); direct: Projects &amp; WBS › Milestones &amp; billing / WBS</t>
        </is>
      </c>
      <c r="E12" s="22" t="inlineStr">
        <is>
          <t>G4.09, G7.07</t>
        </is>
      </c>
      <c r="F12" s="22" t="inlineStr">
        <is>
          <t>docs/feature-guide-screens/img-007.jpg</t>
        </is>
      </c>
    </row>
    <row r="13">
      <c r="A13" s="28" t="inlineStr">
        <is>
          <t>008</t>
        </is>
      </c>
      <c r="B13" s="22" t="inlineStr">
        <is>
          <t>Gantt schedule with critical path summary</t>
        </is>
      </c>
      <c r="C13" s="28" t="n">
        <v>9</v>
      </c>
      <c r="D13" s="22" t="inlineStr">
        <is>
          <t>Projects &amp; WBS › All projects › project › Schedule (/projects/:id/schedule); direct: Projects &amp; WBS › Schedule &amp; critical path</t>
        </is>
      </c>
      <c r="E13" s="22" t="inlineStr">
        <is>
          <t>G5.01, G5.02</t>
        </is>
      </c>
      <c r="F13" s="22" t="inlineStr">
        <is>
          <t>docs/feature-guide-screens/img-008.jpg</t>
        </is>
      </c>
    </row>
    <row r="14">
      <c r="A14" s="28" t="inlineStr">
        <is>
          <t>009</t>
        </is>
      </c>
      <c r="B14" s="22" t="inlineStr">
        <is>
          <t>Critical path and breach risks list</t>
        </is>
      </c>
      <c r="C14" s="28" t="n">
        <v>10</v>
      </c>
      <c r="D14" s="22" t="inlineStr">
        <is>
          <t>Projects &amp; WBS › All projects › project › Schedule (/projects/:id/schedule); direct: Projects &amp; WBS › Schedule &amp; critical path; Dashboard › Project manager</t>
        </is>
      </c>
      <c r="E14" s="22" t="inlineStr">
        <is>
          <t>G5.03</t>
        </is>
      </c>
      <c r="F14" s="22" t="inlineStr">
        <is>
          <t>docs/feature-guide-screens/img-009.jpg</t>
        </is>
      </c>
    </row>
    <row r="15">
      <c r="A15" s="28" t="inlineStr">
        <is>
          <t>010</t>
        </is>
      </c>
      <c r="B15" s="22" t="inlineStr">
        <is>
          <t>Change requests (KPIs, CR rows, approve / reject, raise form)</t>
        </is>
      </c>
      <c r="C15" s="28" t="n">
        <v>11</v>
      </c>
      <c r="D15" s="22" t="inlineStr">
        <is>
          <t>Projects &amp; WBS › All projects › project › Changes (/projects/:id/changes); direct: Projects &amp; WBS › Change requests</t>
        </is>
      </c>
      <c r="E15" s="22" t="inlineStr">
        <is>
          <t>G5.04</t>
        </is>
      </c>
      <c r="F15" s="22" t="inlineStr">
        <is>
          <t>docs/feature-guide-screens/img-010.jpg</t>
        </is>
      </c>
    </row>
    <row r="16">
      <c r="A16" s="28" t="inlineStr">
        <is>
          <t>011</t>
        </is>
      </c>
      <c r="B16" s="22" t="inlineStr">
        <is>
          <t>Costing and margin: planned / projected / actual, what moved the margin, milestone variance, resources allocated vs logged, planned costing</t>
        </is>
      </c>
      <c r="C16" s="28" t="n">
        <v>12</v>
      </c>
      <c r="D16" s="22" t="inlineStr">
        <is>
          <t>Projects &amp; WBS › All projects › project › Costing &amp; margin (/projects/:id/costing); direct: Projects &amp; WBS › Costing &amp; margin</t>
        </is>
      </c>
      <c r="E16" s="22" t="inlineStr">
        <is>
          <t>G6.01, G6.03, G6.04, G6.05, G6.06, G6.07, G6.08, G6.09</t>
        </is>
      </c>
      <c r="F16" s="22" t="inlineStr">
        <is>
          <t>docs/feature-guide-screens/img-011.jpg</t>
        </is>
      </c>
    </row>
    <row r="17">
      <c r="A17" s="28" t="inlineStr">
        <is>
          <t>012</t>
        </is>
      </c>
      <c r="B17" s="22" t="inlineStr">
        <is>
          <t>CEO profit-margins table across projects</t>
        </is>
      </c>
      <c r="C17" s="28" t="n">
        <v>13</v>
      </c>
      <c r="D17" s="22" t="inlineStr">
        <is>
          <t>Finance › Profit margins (/finance/margins); Projects &amp; WBS › Costing &amp; margin (All projects); Dashboard › CEO › Projects</t>
        </is>
      </c>
      <c r="E17" s="22" t="inlineStr">
        <is>
          <t>G6.10, G6.11</t>
        </is>
      </c>
      <c r="F17" s="22" t="inlineStr">
        <is>
          <t>docs/feature-guide-screens/img-012.jpg</t>
        </is>
      </c>
    </row>
    <row r="18">
      <c r="A18" s="28" t="inlineStr">
        <is>
          <t>013</t>
        </is>
      </c>
      <c r="B18" s="22" t="inlineStr">
        <is>
          <t>Weekly timesheet</t>
        </is>
      </c>
      <c r="C18" s="28" t="n">
        <v>14</v>
      </c>
      <c r="D18" s="22" t="inlineStr">
        <is>
          <t>My work › Timesheet &amp; log (/timesheet)</t>
        </is>
      </c>
      <c r="E18" s="22" t="inlineStr">
        <is>
          <t>G8.01, G8.02, G8.03, G8.04, G8.05, G8.06, G8.07</t>
        </is>
      </c>
      <c r="F18" s="22" t="inlineStr">
        <is>
          <t>docs/feature-guide-screens/img-013.jpg</t>
        </is>
      </c>
    </row>
    <row r="19">
      <c r="A19" s="28" t="inlineStr">
        <is>
          <t>014</t>
        </is>
      </c>
      <c r="B19" s="22" t="inlineStr">
        <is>
          <t>End-of-day update and Friday demo</t>
        </is>
      </c>
      <c r="C19" s="28" t="n">
        <v>15</v>
      </c>
      <c r="D19" s="22" t="inlineStr">
        <is>
          <t>My work › Timesheet &amp; log (/timesheet) (End-of-day update, Friday demo)</t>
        </is>
      </c>
      <c r="E19" s="22" t="inlineStr">
        <is>
          <t>G8.08, G8.09</t>
        </is>
      </c>
      <c r="F19" s="22" t="inlineStr">
        <is>
          <t>docs/feature-guide-screens/img-014.jpg</t>
        </is>
      </c>
    </row>
    <row r="20">
      <c r="A20" s="28" t="inlineStr">
        <is>
          <t>015</t>
        </is>
      </c>
      <c r="B20" s="22" t="inlineStr">
        <is>
          <t>Timesheet approvals, approval KPI strip and team 4-week grid</t>
        </is>
      </c>
      <c r="C20" s="28" t="n">
        <v>16</v>
      </c>
      <c r="D20" s="22" t="inlineStr">
        <is>
          <t>Tasks › Timesheet approvals (/approvals)</t>
        </is>
      </c>
      <c r="E20" s="22" t="inlineStr">
        <is>
          <t>G9.01, G9.02, G9.03, G9.04, G9.06</t>
        </is>
      </c>
      <c r="F20" s="22" t="inlineStr">
        <is>
          <t>docs/feature-guide-screens/img-015.jpg</t>
        </is>
      </c>
    </row>
    <row r="21">
      <c r="A21" s="28" t="inlineStr">
        <is>
          <t>016</t>
        </is>
      </c>
      <c r="B21" s="22" t="inlineStr">
        <is>
          <t>Payroll run</t>
        </is>
      </c>
      <c r="C21" s="28" t="n">
        <v>17</v>
      </c>
      <c r="D21" s="22" t="inlineStr">
        <is>
          <t>Finance › Payroll (/payroll)</t>
        </is>
      </c>
      <c r="E21" s="22" t="inlineStr">
        <is>
          <t>G10.01, G10.02, G10.03, G10.04, G10.05, G10.06, G10.07</t>
        </is>
      </c>
      <c r="F21" s="22" t="inlineStr">
        <is>
          <t>docs/feature-guide-screens/img-016.jpg</t>
        </is>
      </c>
    </row>
    <row r="22">
      <c r="A22" s="28" t="inlineStr">
        <is>
          <t>017</t>
        </is>
      </c>
      <c r="B22" s="22" t="inlineStr">
        <is>
          <t>New lead form</t>
        </is>
      </c>
      <c r="C22" s="28" t="n">
        <v>18</v>
      </c>
      <c r="D22" s="22" t="inlineStr">
        <is>
          <t>Sales › Pipeline › + New lead</t>
        </is>
      </c>
      <c r="E22" s="22" t="inlineStr">
        <is>
          <t>G11.01</t>
        </is>
      </c>
      <c r="F22" s="22" t="inlineStr">
        <is>
          <t>docs/feature-guide-screens/img-017.jpg</t>
        </is>
      </c>
    </row>
    <row r="23">
      <c r="A23" s="28" t="inlineStr">
        <is>
          <t>018</t>
        </is>
      </c>
      <c r="B23" s="22" t="inlineStr">
        <is>
          <t>Pipeline KPIs and funnel</t>
        </is>
      </c>
      <c r="C23" s="28" t="n">
        <v>18</v>
      </c>
      <c r="D23" s="22" t="inlineStr">
        <is>
          <t>Sales › Pipeline (/sales)</t>
        </is>
      </c>
      <c r="E23" s="22" t="inlineStr">
        <is>
          <t>G11.02, G11.03, G11.04, G11.06</t>
        </is>
      </c>
      <c r="F23" s="22" t="inlineStr">
        <is>
          <t>docs/feature-guide-screens/img-018.jpg</t>
        </is>
      </c>
    </row>
    <row r="24">
      <c r="A24" s="28" t="inlineStr">
        <is>
          <t>019</t>
        </is>
      </c>
      <c r="B24" s="22" t="inlineStr">
        <is>
          <t>Sales activity log</t>
        </is>
      </c>
      <c r="C24" s="28" t="n">
        <v>19</v>
      </c>
      <c r="D24" s="22" t="inlineStr">
        <is>
          <t>Sales › Activity log (/sales/activity); deal page</t>
        </is>
      </c>
      <c r="E24" s="22" t="inlineStr">
        <is>
          <t>G11.05, G11.07</t>
        </is>
      </c>
      <c r="F24" s="22" t="inlineStr">
        <is>
          <t>docs/feature-guide-screens/img-019.jpg</t>
        </is>
      </c>
    </row>
    <row r="25">
      <c r="A25" s="28" t="inlineStr">
        <is>
          <t>020</t>
        </is>
      </c>
      <c r="B25" s="22" t="inlineStr">
        <is>
          <t>Sales cost vs deals closed (compensation)</t>
        </is>
      </c>
      <c r="C25" s="28" t="n">
        <v>20</v>
      </c>
      <c r="D25" s="22" t="inlineStr">
        <is>
          <t>Sales › Compensation (/sales/compensation)</t>
        </is>
      </c>
      <c r="E25" s="22" t="inlineStr">
        <is>
          <t>G12.01, G12.02, G12.03, G12.04, G12.05, G12.06</t>
        </is>
      </c>
      <c r="F25" s="22" t="inlineStr">
        <is>
          <t>docs/feature-guide-screens/img-020.jpg</t>
        </is>
      </c>
    </row>
    <row r="26">
      <c r="A26" s="28" t="inlineStr">
        <is>
          <t>021</t>
        </is>
      </c>
      <c r="B26" s="22" t="inlineStr">
        <is>
          <t>Salesperson performance and last 6 months</t>
        </is>
      </c>
      <c r="C26" s="28" t="n">
        <v>21</v>
      </c>
      <c r="D26" s="22" t="inlineStr">
        <is>
          <t>Sales › Performance (/sales/performance)</t>
        </is>
      </c>
      <c r="E26" s="22" t="inlineStr">
        <is>
          <t>G12.07, G12.08</t>
        </is>
      </c>
      <c r="F26" s="22" t="inlineStr">
        <is>
          <t>docs/feature-guide-screens/img-021.jpg</t>
        </is>
      </c>
    </row>
    <row r="27">
      <c r="A27" s="28" t="inlineStr">
        <is>
          <t>022</t>
        </is>
      </c>
      <c r="B27" s="22" t="inlineStr">
        <is>
          <t>Monthly P&amp;L, last 6 months</t>
        </is>
      </c>
      <c r="C27" s="28" t="n">
        <v>21</v>
      </c>
      <c r="D27" s="22" t="inlineStr">
        <is>
          <t>Finance › Profit &amp; loss (/finance/pnl)</t>
        </is>
      </c>
      <c r="E27" s="22" t="inlineStr">
        <is>
          <t>G13.01</t>
        </is>
      </c>
      <c r="F27" s="22" t="inlineStr">
        <is>
          <t>docs/feature-guide-screens/img-022.jpg</t>
        </is>
      </c>
    </row>
    <row r="28">
      <c r="A28" s="28" t="inlineStr">
        <is>
          <t>023</t>
        </is>
      </c>
      <c r="B28" s="22" t="inlineStr">
        <is>
          <t>Ledger (income and expense entries)</t>
        </is>
      </c>
      <c r="C28" s="28" t="n">
        <v>22</v>
      </c>
      <c r="D28" s="22" t="inlineStr">
        <is>
          <t>Finance › Ledger (/finance/ledger)</t>
        </is>
      </c>
      <c r="E28" s="22" t="inlineStr">
        <is>
          <t>G13.02, G13.03</t>
        </is>
      </c>
      <c r="F28" s="22" t="inlineStr">
        <is>
          <t>docs/feature-guide-screens/img-023.jpg</t>
        </is>
      </c>
    </row>
    <row r="29">
      <c r="A29" s="28" t="inlineStr">
        <is>
          <t>024</t>
        </is>
      </c>
      <c r="B29" s="22" t="inlineStr">
        <is>
          <t>PM delivery control and task pipeline</t>
        </is>
      </c>
      <c r="C29" s="28" t="n">
        <v>22</v>
      </c>
      <c r="D29" s="22" t="inlineStr">
        <is>
          <t>Dashboard › Project manager (/home)</t>
        </is>
      </c>
      <c r="E29" s="22" t="inlineStr">
        <is>
          <t>G14.01, G14.02</t>
        </is>
      </c>
      <c r="F29" s="22" t="inlineStr">
        <is>
          <t>docs/feature-guide-screens/img-024.jpg</t>
        </is>
      </c>
    </row>
    <row r="30">
      <c r="A30" s="28" t="inlineStr">
        <is>
          <t>025</t>
        </is>
      </c>
      <c r="B30" s="22" t="inlineStr">
        <is>
          <t>Resource load, next 10 working days</t>
        </is>
      </c>
      <c r="C30" s="28" t="n">
        <v>23</v>
      </c>
      <c r="D30" s="22" t="inlineStr">
        <is>
          <t>Dashboard › Project manager (/home)</t>
        </is>
      </c>
      <c r="E30" s="22" t="inlineStr">
        <is>
          <t>G14.03</t>
        </is>
      </c>
      <c r="F30" s="22" t="inlineStr">
        <is>
          <t>docs/feature-guide-screens/img-025.jpg</t>
        </is>
      </c>
    </row>
    <row r="31">
      <c r="A31" s="28" t="inlineStr">
        <is>
          <t>026</t>
        </is>
      </c>
      <c r="B31" s="22" t="inlineStr">
        <is>
          <t>Operations: recurring duties</t>
        </is>
      </c>
      <c r="C31" s="28" t="n">
        <v>24</v>
      </c>
      <c r="D31" s="22" t="inlineStr">
        <is>
          <t>Company › Operations (/operations); Dashboard › Operations</t>
        </is>
      </c>
      <c r="E31" s="22" t="inlineStr">
        <is>
          <t>G14.04, G14.05</t>
        </is>
      </c>
      <c r="F31" s="22" t="inlineStr">
        <is>
          <t>docs/feature-guide-screens/img-026.jpg</t>
        </is>
      </c>
    </row>
    <row r="32">
      <c r="A32" s="28" t="inlineStr">
        <is>
          <t>027</t>
        </is>
      </c>
      <c r="B32" s="22" t="inlineStr">
        <is>
          <t>Delivery predictions (projects, milestones, tasks likely to slip)</t>
        </is>
      </c>
      <c r="C32" s="28" t="n">
        <v>25</v>
      </c>
      <c r="D32" s="22" t="inlineStr">
        <is>
          <t>Company › Insights › Delivery predictions (/insights/predictions)</t>
        </is>
      </c>
      <c r="E32" s="22" t="inlineStr">
        <is>
          <t>G15.01, G15.02, G15.03</t>
        </is>
      </c>
      <c r="F32" s="22" t="inlineStr">
        <is>
          <t>docs/feature-guide-screens/img-027.jpg</t>
        </is>
      </c>
    </row>
    <row r="33">
      <c r="A33" s="28" t="inlineStr">
        <is>
          <t>028</t>
        </is>
      </c>
      <c r="B33" s="22" t="inlineStr">
        <is>
          <t>Estimation accuracy by complexity and person</t>
        </is>
      </c>
      <c r="C33" s="28" t="n">
        <v>26</v>
      </c>
      <c r="D33" s="22" t="inlineStr">
        <is>
          <t>Company › Insights › Estimation accuracy (/insights/estimation)</t>
        </is>
      </c>
      <c r="E33" s="22" t="inlineStr">
        <is>
          <t>G15.04</t>
        </is>
      </c>
      <c r="F33" s="22" t="inlineStr">
        <is>
          <t>docs/feature-guide-screens/img-028.jpg</t>
        </is>
      </c>
    </row>
    <row r="34">
      <c r="A34" s="28" t="inlineStr">
        <is>
          <t>029</t>
        </is>
      </c>
      <c r="B34" s="22" t="inlineStr">
        <is>
          <t>Weekly scorecard</t>
        </is>
      </c>
      <c r="C34" s="28" t="n">
        <v>26</v>
      </c>
      <c r="D34" s="22" t="inlineStr">
        <is>
          <t>Company › Weekly scorecard (/scorecard)</t>
        </is>
      </c>
      <c r="E34" s="22" t="inlineStr">
        <is>
          <t>G15.05</t>
        </is>
      </c>
      <c r="F34" s="22" t="inlineStr">
        <is>
          <t>docs/feature-guide-screens/img-029.jpg</t>
        </is>
      </c>
    </row>
    <row r="35">
      <c r="A35" s="28" t="inlineStr">
        <is>
          <t>030</t>
        </is>
      </c>
      <c r="B35" s="22" t="inlineStr">
        <is>
          <t>Client view (money-free status report)</t>
        </is>
      </c>
      <c r="C35" s="28" t="n">
        <v>27</v>
      </c>
      <c r="D35" s="22" t="inlineStr">
        <is>
          <t>Projects &amp; WBS › Client view (/client-view)</t>
        </is>
      </c>
      <c r="E35" s="22" t="inlineStr">
        <is>
          <t>G15.06</t>
        </is>
      </c>
      <c r="F35" s="22" t="inlineStr">
        <is>
          <t>docs/feature-guide-screens/img-030.jpg</t>
        </is>
      </c>
    </row>
    <row r="36">
      <c r="A36" s="28" t="inlineStr">
        <is>
          <t>031</t>
        </is>
      </c>
      <c r="B36" s="22" t="inlineStr">
        <is>
          <t>Team table</t>
        </is>
      </c>
      <c r="C36" s="28" t="n">
        <v>28</v>
      </c>
      <c r="D36" s="22" t="inlineStr">
        <is>
          <t>Admin › Team &amp; settings › Team (/settings/team)</t>
        </is>
      </c>
      <c r="E36" s="22" t="inlineStr">
        <is>
          <t>G16.01</t>
        </is>
      </c>
      <c r="F36" s="22" t="inlineStr">
        <is>
          <t>docs/feature-guide-screens/img-031.jpg</t>
        </is>
      </c>
    </row>
    <row r="37">
      <c r="A37" s="28" t="inlineStr">
        <is>
          <t>032</t>
        </is>
      </c>
      <c r="B37" s="22" t="inlineStr">
        <is>
          <t>Working hours and calendar settings</t>
        </is>
      </c>
      <c r="C37" s="28" t="n">
        <v>28</v>
      </c>
      <c r="D37" s="22" t="inlineStr">
        <is>
          <t>Admin › Team &amp; settings › Working hours &amp; calendar (/settings/company#calendar) + Holiday calendar card</t>
        </is>
      </c>
      <c r="E37" s="22" t="inlineStr">
        <is>
          <t>G16.02, G16.03, G16.06</t>
        </is>
      </c>
      <c r="F37" s="22" t="inlineStr">
        <is>
          <t>docs/feature-guide-screens/img-032.jpg</t>
        </is>
      </c>
    </row>
    <row r="38">
      <c r="A38" s="28" t="inlineStr">
        <is>
          <t>033</t>
        </is>
      </c>
      <c r="B38" s="22" t="inlineStr">
        <is>
          <t>Leave (record leave, leave taken this FY)</t>
        </is>
      </c>
      <c r="C38" s="28" t="n">
        <v>29</v>
      </c>
      <c r="D38" s="22" t="inlineStr">
        <is>
          <t>Admin › Team &amp; settings › Leave (/leave?tab=hr)</t>
        </is>
      </c>
      <c r="E38" s="22" t="inlineStr">
        <is>
          <t>G16.04</t>
        </is>
      </c>
      <c r="F38" s="22" t="inlineStr">
        <is>
          <t>docs/feature-guide-screens/img-033.jpg</t>
        </is>
      </c>
    </row>
    <row r="39">
      <c r="A39" s="28" t="inlineStr">
        <is>
          <t>034</t>
        </is>
      </c>
      <c r="B39" s="22" t="inlineStr">
        <is>
          <t>Delegations</t>
        </is>
      </c>
      <c r="C39" s="28" t="n">
        <v>29</v>
      </c>
      <c r="D39" s="22" t="inlineStr">
        <is>
          <t>Admin › Team &amp; settings › Delegations (/settings/delegations)</t>
        </is>
      </c>
      <c r="E39" s="22" t="inlineStr">
        <is>
          <t>G16.05, G9.05</t>
        </is>
      </c>
      <c r="F39" s="22" t="inlineStr">
        <is>
          <t>docs/feature-guide-screens/img-034.jpg</t>
        </is>
      </c>
    </row>
    <row r="40">
      <c r="A40" s="28" t="inlineStr">
        <is>
          <t>035</t>
        </is>
      </c>
      <c r="B40" s="22" t="inlineStr">
        <is>
          <t>Rules and KPI definitions</t>
        </is>
      </c>
      <c r="C40" s="28" t="n">
        <v>30</v>
      </c>
      <c r="D40" s="22" t="inlineStr">
        <is>
          <t>Company › Rules (/rules)</t>
        </is>
      </c>
      <c r="E40" s="22" t="inlineStr">
        <is>
          <t>G17.01, G17.02</t>
        </is>
      </c>
      <c r="F40" s="22" t="inlineStr">
        <is>
          <t>docs/feature-guide-screens/img-035.jpg</t>
        </is>
      </c>
    </row>
  </sheetData>
  <autoFilter ref="A4:F40"/>
  <printOptions gridLines="0"/>
  <pageMargins left="0.75" right="0.75" top="1" bottom="1" header="0.5" footer="0.5"/>
  <pageSetup orientation="landscape" paperSize="9" fitToHeight="0" fitToWidth="1"/>
  <headerFooter>
    <oddHeader>&amp;C&amp;"Arial,Bold"Guide screenshots → build screens</oddHeader>
    <oddFooter>&amp;LSeereonOS v6 · Feature Guide cross-reference · 2 Oct 2026&amp;RPage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2026-10-14T08:50:19Z</dcterms:created>
  <dcterms:modified xmlns:dcterms="http://purl.org/dc/terms/" xmlns:xsi="http://www.w3.org/2001/XMLSchema-instance" xsi:type="dcterms:W3CDTF">2026-10-14T08:50:21Z</dcterms:modified>
</cp:coreProperties>
</file>